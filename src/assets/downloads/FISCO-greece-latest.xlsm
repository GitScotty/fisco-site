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ml.chartshap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0.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ef7a825b9bce984a/Documents/Consulting/Phase II - Latvia/Model/Finals - Website versions/"/>
    </mc:Choice>
  </mc:AlternateContent>
  <xr:revisionPtr revIDLastSave="979" documentId="8_{E7C7A84B-CA6A-4372-9F1A-A39414DE73F6}" xr6:coauthVersionLast="47" xr6:coauthVersionMax="47" xr10:uidLastSave="{A6F9137A-ACA0-443E-9D51-7C10F334BABE}"/>
  <bookViews>
    <workbookView xWindow="-67320" yWindow="-3945" windowWidth="29040" windowHeight="15720" tabRatio="624"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Assessment" sheetId="64" r:id="rId8"/>
    <sheet name="Chart data" sheetId="65" r:id="rId9"/>
    <sheet name="Validation" sheetId="47" r:id="rId10"/>
    <sheet name="About FISCO" sheetId="4" r:id="rId11"/>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General"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lig" hidden="1" xlm="1">#NAME?</definedName>
    <definedName name="_xlpm.end_col" hidden="1" xlm="1">#NAME?</definedName>
    <definedName name="_xlpm.endc"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lags" hidden="1" xlm="1">#NAME?</definedName>
    <definedName name="_xlpm.gdp" hidden="1" xlm="1">#NAME?</definedName>
    <definedName name="_xlpm.idx"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outturn" hidden="1" xlm="1">#NAME?</definedName>
    <definedName name="_xlpm.outturn_cell" hidden="1" xlm="1">#NAME?</definedName>
    <definedName name="_xlpm.outturnSentence" hidden="1" xlm="1">#NAME?</definedName>
    <definedName name="_xlpm.pGDP" hidden="1" xlm="1">#NAME?</definedName>
    <definedName name="_xlpm.plannedSentence"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ype" hidden="1" xlm="1">#NAME?</definedName>
    <definedName name="_xlpm.v" hidden="1" xlm="1">#NAME?</definedName>
    <definedName name="_xlpm.val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3 (MTP) - Plan and prior'!$C$6</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parameters'!$B$24</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3 (MTP) - Plan and prior'!$C$3</definedName>
    <definedName name="MTP_BaseYearIsTminus2">'Step 3 (MTP) - Plan and prior'!$C$9</definedName>
    <definedName name="MTP_Council_Endorsed">'Step 3 (MTP) - Plan and prior'!$C$8</definedName>
    <definedName name="MTP_EndYear">Validation!$Q$2</definedName>
    <definedName name="MTP_PlanFirstYear">Validation!$Q$11</definedName>
    <definedName name="MTP_PlanningHorizon">'Step 3 (MTP) - Plan and prior'!$C$5</definedName>
    <definedName name="MTP_Requirement">Assessment!$C$204</definedName>
    <definedName name="MTP_YearT">'Step 3 (MTP) - Plan and prior'!$C$4</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utturnThrough">'Step 2 - Update outturn data'!$E$2</definedName>
    <definedName name="PBChart_BlankHelper1">OFFSET('Chart data'!$F$147, 0, 0, 1, MATCH(AdjustmentPeriodEnd, 'Chart data'!$F$2:$M$2, 0))</definedName>
    <definedName name="PBChart_BlankHelper2">OFFSET('Chart data'!$F$148, 0, 0, 1, MATCH(AdjustmentPeriodEnd, 'Chart data'!$F$2:$M$2, 0))</definedName>
    <definedName name="PBChart_Breach">OFFSET('Chart data'!$F$150, 0, 0, 1, MATCH(AdjustmentPeriodEnd, 'Chart data'!$F$2:$M$2, 0))</definedName>
    <definedName name="PBChart_Compliant">OFFSET('Chart data'!$F$149, 0, 0, 1, MATCH(AdjustmentPeriodEnd, 'Chart data'!$F$2:$M$2, 0))</definedName>
    <definedName name="PBChart_MTP">OFFSET('Chart data'!$F$145, 0, 0, 1, MATCH(AdjustmentPeriodEnd, 'Chart data'!$F$2:$M$2, 0))</definedName>
    <definedName name="PBChart_Planned">OFFSET('Chart data'!$F$146,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4" i="65" l="1" a="1"/>
  <c r="G54" i="65"/>
  <c r="H54" i="65" a="1"/>
  <c r="H54" i="65" s="1"/>
  <c r="I54" i="65" a="1"/>
  <c r="I54" i="65"/>
  <c r="J54" i="65" a="1"/>
  <c r="J54" i="65"/>
  <c r="K54" i="65" a="1"/>
  <c r="K54" i="65"/>
  <c r="L54" i="65" a="1"/>
  <c r="L54" i="65" s="1"/>
  <c r="M54" i="65" a="1"/>
  <c r="M54" i="65"/>
  <c r="N54" i="65" a="1"/>
  <c r="N54" i="65"/>
  <c r="O54" i="65" a="1"/>
  <c r="O54" i="65"/>
  <c r="P54" i="65" a="1"/>
  <c r="P54" i="65"/>
  <c r="Q54" i="65" a="1"/>
  <c r="Q54" i="65" s="1"/>
  <c r="R54" i="65" a="1"/>
  <c r="R54" i="65"/>
  <c r="S54" i="65" a="1"/>
  <c r="S54" i="65" s="1"/>
  <c r="T54" i="65" a="1"/>
  <c r="T54" i="65"/>
  <c r="U54" i="65" a="1"/>
  <c r="U54" i="65" s="1"/>
  <c r="V54" i="65" a="1"/>
  <c r="V54" i="65" s="1"/>
  <c r="W54" i="65" a="1"/>
  <c r="W54" i="65"/>
  <c r="F54" i="65" a="1"/>
  <c r="F54" i="65" s="1"/>
  <c r="B70" i="76"/>
  <c r="B72" i="76"/>
  <c r="B74" i="76"/>
  <c r="B75" i="76"/>
  <c r="B76" i="76"/>
  <c r="B77" i="76"/>
  <c r="F62" i="65" l="1" a="1"/>
  <c r="F62" i="65"/>
  <c r="G62" i="65" a="1"/>
  <c r="G62" i="65"/>
  <c r="H62" i="65" a="1"/>
  <c r="H62" i="65" s="1"/>
  <c r="I62" i="65" a="1"/>
  <c r="I62" i="65"/>
  <c r="J62" i="65" a="1"/>
  <c r="J62" i="65"/>
  <c r="K62" i="65" a="1"/>
  <c r="K62" i="65"/>
  <c r="L62" i="65" a="1"/>
  <c r="L62" i="65"/>
  <c r="M62" i="65" a="1"/>
  <c r="M62" i="65"/>
  <c r="N62" i="65" a="1"/>
  <c r="N62" i="65"/>
  <c r="O62" i="65" a="1"/>
  <c r="O62" i="65"/>
  <c r="P62" i="65" a="1"/>
  <c r="P62" i="65" s="1"/>
  <c r="Q62" i="65" a="1"/>
  <c r="Q62" i="65"/>
  <c r="R62" i="65" a="1"/>
  <c r="R62" i="65"/>
  <c r="S62" i="65" a="1"/>
  <c r="S62" i="65"/>
  <c r="T62" i="65" a="1"/>
  <c r="T62" i="65"/>
  <c r="U62" i="65" a="1"/>
  <c r="U62" i="65"/>
  <c r="V62" i="65" a="1"/>
  <c r="V62" i="65" s="1"/>
  <c r="W62" i="65" a="1"/>
  <c r="W62" i="65"/>
  <c r="F63" i="65" a="1"/>
  <c r="F63" i="65" s="1"/>
  <c r="G63" i="65" a="1"/>
  <c r="G63" i="65"/>
  <c r="H63" i="65" a="1"/>
  <c r="H63" i="65"/>
  <c r="I63" i="65" a="1"/>
  <c r="I63" i="65"/>
  <c r="J63" i="65" a="1"/>
  <c r="J63" i="65"/>
  <c r="K63" i="65" a="1"/>
  <c r="K63" i="65"/>
  <c r="L63" i="65" a="1"/>
  <c r="L63" i="65"/>
  <c r="M63" i="65" a="1"/>
  <c r="M63" i="65"/>
  <c r="N63" i="65" a="1"/>
  <c r="N63" i="65" s="1"/>
  <c r="O63" i="65" a="1"/>
  <c r="O63" i="65"/>
  <c r="P63" i="65" a="1"/>
  <c r="P63" i="65"/>
  <c r="Q63" i="65" a="1"/>
  <c r="Q63" i="65"/>
  <c r="R63" i="65" a="1"/>
  <c r="R63" i="65"/>
  <c r="S63" i="65" a="1"/>
  <c r="S63" i="65"/>
  <c r="T63" i="65" a="1"/>
  <c r="T63" i="65"/>
  <c r="U63" i="65" a="1"/>
  <c r="U63" i="65"/>
  <c r="V63" i="65" a="1"/>
  <c r="V63" i="65" s="1"/>
  <c r="W63" i="65" a="1"/>
  <c r="W63" i="65"/>
  <c r="E63" i="65" a="1"/>
  <c r="E63" i="65" s="1"/>
  <c r="E62" i="65" a="1"/>
  <c r="E62" i="65" s="1"/>
  <c r="E21" i="17" a="1"/>
  <c r="E21" i="17" s="1"/>
  <c r="E20" i="17" a="1"/>
  <c r="E20" i="17" s="1"/>
  <c r="G42" i="65" a="1"/>
  <c r="G42" i="65" s="1"/>
  <c r="F42" i="65" a="1"/>
  <c r="F42" i="65"/>
  <c r="F41" i="65" a="1"/>
  <c r="F41" i="65" s="1"/>
  <c r="C88" i="65"/>
  <c r="I16" i="65"/>
  <c r="J16" i="65"/>
  <c r="K16" i="65"/>
  <c r="R16" i="65"/>
  <c r="S16" i="65"/>
  <c r="T16" i="65"/>
  <c r="U16" i="65"/>
  <c r="V16" i="65"/>
  <c r="W16" i="65"/>
  <c r="G15" i="65" a="1"/>
  <c r="G15" i="65" s="1"/>
  <c r="G16" i="65" s="1"/>
  <c r="H15" i="65" a="1"/>
  <c r="H15" i="65" s="1"/>
  <c r="H16" i="65" s="1"/>
  <c r="I15" i="65" a="1"/>
  <c r="I15" i="65" s="1"/>
  <c r="J15" i="65" a="1"/>
  <c r="J15" i="65"/>
  <c r="K15" i="65" a="1"/>
  <c r="K15" i="65"/>
  <c r="L15" i="65" a="1"/>
  <c r="L15" i="65"/>
  <c r="L16" i="65" s="1"/>
  <c r="M15" i="65" a="1"/>
  <c r="M15" i="65" s="1"/>
  <c r="M16" i="65" s="1"/>
  <c r="N15" i="65" a="1"/>
  <c r="N15" i="65" s="1"/>
  <c r="N16" i="65" s="1"/>
  <c r="O15" i="65" a="1"/>
  <c r="O15" i="65"/>
  <c r="O16" i="65" s="1"/>
  <c r="P15" i="65" a="1"/>
  <c r="P15" i="65"/>
  <c r="P16" i="65" s="1"/>
  <c r="Q15" i="65" a="1"/>
  <c r="Q15" i="65" s="1"/>
  <c r="Q16" i="65" s="1"/>
  <c r="R15" i="65" a="1"/>
  <c r="R15" i="65"/>
  <c r="S15" i="65" a="1"/>
  <c r="S15" i="65" s="1"/>
  <c r="T15" i="65" a="1"/>
  <c r="T15" i="65"/>
  <c r="U15" i="65" a="1"/>
  <c r="U15" i="65"/>
  <c r="V15" i="65" a="1"/>
  <c r="V15" i="65"/>
  <c r="W15" i="65" a="1"/>
  <c r="W15" i="65"/>
  <c r="F15" i="65" a="1"/>
  <c r="F15" i="65" s="1"/>
  <c r="F16" i="65" s="1"/>
  <c r="F135" i="64"/>
  <c r="G135" i="64"/>
  <c r="E135" i="64"/>
  <c r="F130" i="64"/>
  <c r="G130" i="64"/>
  <c r="E130" i="64"/>
  <c r="E129" i="64"/>
  <c r="B130" i="64"/>
  <c r="B131" i="64"/>
  <c r="B43" i="76"/>
  <c r="H141" i="64"/>
  <c r="H45" i="76" s="1"/>
  <c r="I141" i="64"/>
  <c r="I45" i="76" s="1"/>
  <c r="J141" i="64"/>
  <c r="J45" i="76" s="1"/>
  <c r="H132" i="64"/>
  <c r="I132" i="64"/>
  <c r="J132" i="64"/>
  <c r="H131" i="64"/>
  <c r="H43" i="76" s="1"/>
  <c r="I131" i="64"/>
  <c r="I43" i="76" s="1"/>
  <c r="J131" i="64"/>
  <c r="J43" i="76" s="1"/>
  <c r="H105" i="64"/>
  <c r="H23" i="76" s="1"/>
  <c r="I105" i="64"/>
  <c r="I23" i="76" s="1"/>
  <c r="J105" i="64"/>
  <c r="J23" i="76" s="1"/>
  <c r="H106" i="64"/>
  <c r="H24" i="76" s="1"/>
  <c r="I106" i="64"/>
  <c r="I24" i="76" s="1"/>
  <c r="J106" i="64"/>
  <c r="J24" i="76" s="1"/>
  <c r="H107" i="64"/>
  <c r="H25" i="76" s="1"/>
  <c r="I107" i="64"/>
  <c r="I25" i="76" s="1"/>
  <c r="J107" i="64"/>
  <c r="J25" i="76" s="1"/>
  <c r="H108" i="64"/>
  <c r="H26" i="76" s="1"/>
  <c r="I108" i="64"/>
  <c r="I26" i="76" s="1"/>
  <c r="J108" i="64"/>
  <c r="J26" i="76" s="1"/>
  <c r="H109" i="64"/>
  <c r="H27" i="76" s="1"/>
  <c r="I109" i="64"/>
  <c r="I27" i="76" s="1"/>
  <c r="J109" i="64"/>
  <c r="J27" i="76" s="1"/>
  <c r="H110" i="64"/>
  <c r="H28" i="76" s="1"/>
  <c r="I110" i="64"/>
  <c r="I28" i="76" s="1"/>
  <c r="J110" i="64"/>
  <c r="J28" i="76" s="1"/>
  <c r="H111" i="64"/>
  <c r="H29" i="76" s="1"/>
  <c r="I111" i="64"/>
  <c r="I29" i="76" s="1"/>
  <c r="J111" i="64"/>
  <c r="J29" i="76" s="1"/>
  <c r="H112" i="64"/>
  <c r="H30" i="76" s="1"/>
  <c r="I112" i="64"/>
  <c r="I30" i="76" s="1"/>
  <c r="J112" i="64"/>
  <c r="J30" i="76" s="1"/>
  <c r="H113" i="64"/>
  <c r="H31" i="76" s="1"/>
  <c r="I113" i="64"/>
  <c r="I31" i="76" s="1"/>
  <c r="J113" i="64"/>
  <c r="J31" i="76" s="1"/>
  <c r="H114" i="64"/>
  <c r="H32" i="76" s="1"/>
  <c r="I114" i="64"/>
  <c r="I32" i="76" s="1"/>
  <c r="J114" i="64"/>
  <c r="J32" i="76" s="1"/>
  <c r="H116" i="64"/>
  <c r="H34" i="76" s="1"/>
  <c r="I116" i="64"/>
  <c r="I34" i="76" s="1"/>
  <c r="J116" i="64"/>
  <c r="J34" i="76" s="1"/>
  <c r="H117" i="64"/>
  <c r="H35" i="76" s="1"/>
  <c r="I117" i="64"/>
  <c r="I35" i="76" s="1"/>
  <c r="J117" i="64"/>
  <c r="J35" i="76" s="1"/>
  <c r="H118" i="64"/>
  <c r="H36" i="76" s="1"/>
  <c r="I118" i="64"/>
  <c r="I36" i="76" s="1"/>
  <c r="J118" i="64"/>
  <c r="J36" i="76" s="1"/>
  <c r="H119" i="64"/>
  <c r="H37" i="76" s="1"/>
  <c r="I119" i="64"/>
  <c r="I37" i="76" s="1"/>
  <c r="J119" i="64"/>
  <c r="J37" i="76" s="1"/>
  <c r="H120" i="64"/>
  <c r="H38" i="76" s="1"/>
  <c r="I120" i="64"/>
  <c r="I38" i="76" s="1"/>
  <c r="J120" i="64"/>
  <c r="J38" i="76" s="1"/>
  <c r="H122" i="64"/>
  <c r="H40" i="76" s="1"/>
  <c r="I122" i="64"/>
  <c r="I40" i="76" s="1"/>
  <c r="J122" i="64"/>
  <c r="J40" i="76" s="1"/>
  <c r="H123" i="64"/>
  <c r="H41" i="76" s="1"/>
  <c r="I123" i="64"/>
  <c r="I41" i="76" s="1"/>
  <c r="J123" i="64"/>
  <c r="J41" i="76" s="1"/>
  <c r="H125" i="64"/>
  <c r="I125" i="64"/>
  <c r="J125" i="64"/>
  <c r="H126" i="64"/>
  <c r="I126" i="64"/>
  <c r="J126" i="64"/>
  <c r="H127" i="64"/>
  <c r="I127" i="64"/>
  <c r="J127" i="64"/>
  <c r="H128" i="64"/>
  <c r="I128" i="64"/>
  <c r="J128" i="64"/>
  <c r="H129" i="64"/>
  <c r="I129" i="64"/>
  <c r="J129" i="64"/>
  <c r="H133" i="64"/>
  <c r="I133" i="64"/>
  <c r="J133" i="64"/>
  <c r="H134" i="64"/>
  <c r="I134" i="64"/>
  <c r="J134" i="64"/>
  <c r="H135" i="64"/>
  <c r="I135" i="64"/>
  <c r="J135" i="64"/>
  <c r="H136" i="64"/>
  <c r="I136" i="64"/>
  <c r="J136" i="64"/>
  <c r="H137" i="64"/>
  <c r="I137" i="64"/>
  <c r="J137" i="64"/>
  <c r="H138" i="64"/>
  <c r="I138" i="64"/>
  <c r="J138" i="64"/>
  <c r="H139" i="64"/>
  <c r="H145" i="64" s="1"/>
  <c r="I139" i="64"/>
  <c r="I145" i="64" s="1"/>
  <c r="J139" i="64"/>
  <c r="J145" i="64" s="1"/>
  <c r="H140" i="64"/>
  <c r="H146" i="64" s="1"/>
  <c r="I140" i="64"/>
  <c r="I146" i="64" s="1"/>
  <c r="J140" i="64"/>
  <c r="J146" i="64" s="1"/>
  <c r="H142" i="64"/>
  <c r="I142" i="64"/>
  <c r="J142" i="64"/>
  <c r="H143" i="64"/>
  <c r="I143" i="64"/>
  <c r="J143" i="64"/>
  <c r="H144" i="64"/>
  <c r="I144" i="64"/>
  <c r="J144" i="64"/>
  <c r="E14" i="17" a="1"/>
  <c r="E14" i="17" s="1"/>
  <c r="E13" i="17" a="1"/>
  <c r="E13" i="17" s="1"/>
  <c r="E144" i="64"/>
  <c r="D21" i="76" a="1"/>
  <c r="D21" i="76" s="1"/>
  <c r="D102" i="64" a="1"/>
  <c r="H6" i="64"/>
  <c r="I6" i="64"/>
  <c r="J6" i="64"/>
  <c r="K6" i="64"/>
  <c r="H7" i="64"/>
  <c r="I7" i="64"/>
  <c r="J7" i="64"/>
  <c r="K7" i="64"/>
  <c r="H8" i="64"/>
  <c r="I8" i="64"/>
  <c r="J8" i="64"/>
  <c r="K8" i="64"/>
  <c r="H9" i="64"/>
  <c r="I9" i="64"/>
  <c r="J9" i="64"/>
  <c r="K9" i="64"/>
  <c r="H10" i="64"/>
  <c r="I10" i="64"/>
  <c r="J10" i="64"/>
  <c r="K10" i="64"/>
  <c r="H11" i="64"/>
  <c r="I11" i="64"/>
  <c r="J11" i="64"/>
  <c r="K11" i="64"/>
  <c r="H12" i="64"/>
  <c r="I12" i="64"/>
  <c r="J12" i="64"/>
  <c r="K12" i="64"/>
  <c r="H13" i="64"/>
  <c r="I13" i="64"/>
  <c r="J13" i="64"/>
  <c r="K13" i="64"/>
  <c r="H14" i="64"/>
  <c r="I14" i="64"/>
  <c r="J14" i="64"/>
  <c r="K14" i="64"/>
  <c r="H15" i="64"/>
  <c r="I15" i="64"/>
  <c r="J15" i="64"/>
  <c r="K15" i="64"/>
  <c r="H16" i="64"/>
  <c r="I16" i="64"/>
  <c r="J16" i="64"/>
  <c r="K16" i="64"/>
  <c r="H17" i="64"/>
  <c r="I17" i="64"/>
  <c r="J17" i="64"/>
  <c r="K17" i="64"/>
  <c r="H18" i="64"/>
  <c r="I18" i="64"/>
  <c r="J18" i="64"/>
  <c r="K18" i="64"/>
  <c r="H19" i="64"/>
  <c r="I19" i="64"/>
  <c r="J19" i="64"/>
  <c r="K19" i="64"/>
  <c r="H20" i="64"/>
  <c r="I20" i="64"/>
  <c r="J20" i="64"/>
  <c r="K20" i="64"/>
  <c r="H21" i="64"/>
  <c r="I21" i="64"/>
  <c r="J21" i="64"/>
  <c r="K21" i="64"/>
  <c r="H22" i="64"/>
  <c r="I22" i="64"/>
  <c r="J22" i="64"/>
  <c r="K22" i="64"/>
  <c r="H23" i="64"/>
  <c r="I23" i="64"/>
  <c r="J23" i="64"/>
  <c r="K23" i="64"/>
  <c r="H24" i="64"/>
  <c r="I24" i="64"/>
  <c r="J24" i="64"/>
  <c r="K24" i="64"/>
  <c r="H25" i="64"/>
  <c r="I25" i="64"/>
  <c r="J25" i="64"/>
  <c r="K25" i="64"/>
  <c r="H26" i="64"/>
  <c r="I26" i="64"/>
  <c r="J26" i="64"/>
  <c r="K26" i="64"/>
  <c r="H27" i="64"/>
  <c r="I27" i="64"/>
  <c r="J27" i="64"/>
  <c r="K27" i="64"/>
  <c r="V4" i="17" a="1"/>
  <c r="E189" i="17"/>
  <c r="F189" i="17"/>
  <c r="G189" i="17"/>
  <c r="H189" i="17"/>
  <c r="I189" i="17"/>
  <c r="J189" i="17"/>
  <c r="K189" i="17"/>
  <c r="L189" i="17"/>
  <c r="M189" i="17"/>
  <c r="N189" i="17"/>
  <c r="O189" i="17"/>
  <c r="D189" i="17"/>
  <c r="B8" i="21"/>
  <c r="B7" i="21" a="1"/>
  <c r="B7" i="21" s="1"/>
  <c r="B6" i="21"/>
  <c r="Q8" i="47"/>
  <c r="D102" i="64" l="1"/>
  <c r="D103" i="64" a="1"/>
  <c r="D103" i="64" s="1"/>
  <c r="D20" i="76" a="1"/>
  <c r="D20" i="76" s="1"/>
  <c r="V4" i="17"/>
  <c r="V5" i="17" s="1" a="1"/>
  <c r="V5" i="17" s="1"/>
  <c r="D44" i="75"/>
  <c r="S37" i="75"/>
  <c r="R37" i="75"/>
  <c r="Q37" i="75"/>
  <c r="P37" i="75"/>
  <c r="O37" i="75"/>
  <c r="N37" i="75"/>
  <c r="M37" i="75"/>
  <c r="L37" i="75"/>
  <c r="K37" i="75"/>
  <c r="J37" i="75"/>
  <c r="I37" i="75"/>
  <c r="H37" i="75"/>
  <c r="G37" i="75"/>
  <c r="F37" i="75"/>
  <c r="E37" i="75"/>
  <c r="D37" i="75"/>
  <c r="C216" i="64"/>
  <c r="B1" i="21"/>
  <c r="B3" i="76"/>
  <c r="B4" i="21"/>
  <c r="E5" i="69"/>
  <c r="C209" i="64"/>
  <c r="C210" i="64" s="1"/>
  <c r="B192" i="64"/>
  <c r="D18" i="76" l="1" a="1"/>
  <c r="D18" i="76" s="1"/>
  <c r="C211" i="64"/>
  <c r="C213" i="64" s="1"/>
  <c r="F10" i="21" s="1"/>
  <c r="Q9" i="47"/>
  <c r="D40" i="75"/>
  <c r="B55" i="75"/>
  <c r="C212" i="64" l="1"/>
  <c r="E10" i="21" s="1"/>
  <c r="D10" i="21" s="1"/>
  <c r="E38" i="75"/>
  <c r="F38" i="75"/>
  <c r="G38" i="75"/>
  <c r="H38" i="75"/>
  <c r="I38" i="75"/>
  <c r="J38" i="75"/>
  <c r="K38" i="75"/>
  <c r="L38" i="75"/>
  <c r="M38" i="75"/>
  <c r="N38" i="75"/>
  <c r="O38" i="75"/>
  <c r="P38" i="75"/>
  <c r="Q38" i="75"/>
  <c r="R38" i="75"/>
  <c r="S38" i="75"/>
  <c r="D38" i="75"/>
  <c r="E35" i="75"/>
  <c r="F35" i="75"/>
  <c r="G35" i="75"/>
  <c r="H35" i="75"/>
  <c r="I35" i="75"/>
  <c r="J35" i="75"/>
  <c r="K35" i="75"/>
  <c r="L35" i="75"/>
  <c r="M35" i="75"/>
  <c r="N35" i="75"/>
  <c r="O35" i="75"/>
  <c r="P35" i="75"/>
  <c r="Q35" i="75"/>
  <c r="R35" i="75"/>
  <c r="S35" i="75"/>
  <c r="D35" i="75"/>
  <c r="E43" i="75" l="1"/>
  <c r="F43" i="75"/>
  <c r="G43" i="75"/>
  <c r="H43" i="75"/>
  <c r="I43" i="75"/>
  <c r="J43" i="75"/>
  <c r="K43" i="75"/>
  <c r="L43" i="75"/>
  <c r="M43" i="75"/>
  <c r="N43" i="75"/>
  <c r="O43" i="75"/>
  <c r="P43" i="75"/>
  <c r="Q43" i="75"/>
  <c r="R43" i="75"/>
  <c r="S43" i="75"/>
  <c r="D43" i="75"/>
  <c r="E42" i="75"/>
  <c r="F42" i="75"/>
  <c r="G42" i="75"/>
  <c r="H42" i="75"/>
  <c r="I42" i="75"/>
  <c r="J42" i="75"/>
  <c r="K42" i="75"/>
  <c r="L42" i="75"/>
  <c r="M42" i="75"/>
  <c r="N42" i="75"/>
  <c r="O42" i="75"/>
  <c r="P42" i="75"/>
  <c r="Q42" i="75"/>
  <c r="R42" i="75"/>
  <c r="S42" i="75"/>
  <c r="D42" i="75"/>
  <c r="E41" i="75"/>
  <c r="F41" i="75"/>
  <c r="G41" i="75"/>
  <c r="H41" i="75"/>
  <c r="I41" i="75"/>
  <c r="J41" i="75"/>
  <c r="K41" i="75"/>
  <c r="L41" i="75"/>
  <c r="M41" i="75"/>
  <c r="N41" i="75"/>
  <c r="O41" i="75"/>
  <c r="P41" i="75"/>
  <c r="Q41" i="75"/>
  <c r="R41" i="75"/>
  <c r="S41" i="75"/>
  <c r="D41" i="75"/>
  <c r="E40" i="75"/>
  <c r="F40" i="75"/>
  <c r="G40" i="75"/>
  <c r="H40" i="75"/>
  <c r="I40" i="75"/>
  <c r="J40" i="75"/>
  <c r="K40" i="75"/>
  <c r="L40" i="75"/>
  <c r="M40" i="75"/>
  <c r="N40" i="75"/>
  <c r="O40" i="75"/>
  <c r="P40" i="75"/>
  <c r="Q40" i="75"/>
  <c r="R40" i="75"/>
  <c r="S40" i="75"/>
  <c r="E26" i="75"/>
  <c r="F26" i="75"/>
  <c r="G26" i="75"/>
  <c r="H26" i="75"/>
  <c r="I26" i="75"/>
  <c r="D26" i="75"/>
  <c r="I25" i="75"/>
  <c r="H25" i="75"/>
  <c r="G25" i="75"/>
  <c r="F25" i="75"/>
  <c r="E25" i="75"/>
  <c r="D25" i="75"/>
  <c r="E24" i="75"/>
  <c r="F24" i="75"/>
  <c r="G24" i="75"/>
  <c r="H24" i="75"/>
  <c r="I24" i="75"/>
  <c r="D24" i="75"/>
  <c r="E23" i="75"/>
  <c r="F23" i="75"/>
  <c r="G23" i="75"/>
  <c r="H23" i="75"/>
  <c r="I23" i="75"/>
  <c r="D23" i="75"/>
  <c r="E22" i="75"/>
  <c r="F22" i="75"/>
  <c r="G22" i="75"/>
  <c r="H22" i="75"/>
  <c r="I22" i="75"/>
  <c r="D22" i="75"/>
  <c r="E21" i="75"/>
  <c r="F21" i="75"/>
  <c r="G21" i="75"/>
  <c r="H21" i="75"/>
  <c r="I21" i="75"/>
  <c r="D21" i="75"/>
  <c r="E20" i="75"/>
  <c r="F20" i="75"/>
  <c r="G20" i="75"/>
  <c r="H20" i="75"/>
  <c r="I20" i="75"/>
  <c r="D20" i="75"/>
  <c r="E19" i="75"/>
  <c r="F19" i="75"/>
  <c r="G19" i="75"/>
  <c r="H19" i="75"/>
  <c r="I19" i="75"/>
  <c r="D19" i="75"/>
  <c r="E18" i="75"/>
  <c r="F18" i="75"/>
  <c r="G18" i="75"/>
  <c r="H18" i="75"/>
  <c r="I18" i="75"/>
  <c r="D18" i="75"/>
  <c r="E17" i="75"/>
  <c r="F17" i="75"/>
  <c r="G17" i="75"/>
  <c r="H17" i="75"/>
  <c r="I17" i="75"/>
  <c r="D17" i="75"/>
  <c r="F16" i="75"/>
  <c r="G16" i="75"/>
  <c r="H16" i="75"/>
  <c r="I16" i="75"/>
  <c r="E16" i="75"/>
  <c r="D139" i="75" l="1"/>
  <c r="D81" i="75"/>
  <c r="S28" i="75"/>
  <c r="B2" i="64" l="1"/>
  <c r="B29" i="64"/>
  <c r="B30" i="17" l="1"/>
  <c r="L115" i="17" l="1"/>
  <c r="M115" i="17"/>
  <c r="N115" i="17"/>
  <c r="O115" i="17"/>
  <c r="P115" i="17"/>
  <c r="Q115" i="17"/>
  <c r="R115" i="17"/>
  <c r="S115" i="17"/>
  <c r="T115" i="17"/>
  <c r="U115" i="17"/>
  <c r="V115" i="17"/>
  <c r="W115" i="17"/>
  <c r="X115" i="17"/>
  <c r="Y115" i="17"/>
  <c r="Z115" i="17"/>
  <c r="L116" i="17"/>
  <c r="M116" i="17"/>
  <c r="N116" i="17"/>
  <c r="O116" i="17"/>
  <c r="P116" i="17"/>
  <c r="Q116" i="17"/>
  <c r="R116" i="17"/>
  <c r="S116" i="17"/>
  <c r="T116" i="17"/>
  <c r="U116" i="17"/>
  <c r="V116" i="17"/>
  <c r="W116" i="17"/>
  <c r="X116" i="17"/>
  <c r="Y116" i="17"/>
  <c r="Z116" i="17"/>
  <c r="L126" i="17"/>
  <c r="M126" i="17"/>
  <c r="N126" i="17"/>
  <c r="O126" i="17"/>
  <c r="P126" i="17"/>
  <c r="Q126" i="17"/>
  <c r="R126" i="17"/>
  <c r="S126" i="17"/>
  <c r="T126" i="17"/>
  <c r="U126" i="17"/>
  <c r="V126" i="17"/>
  <c r="W126" i="17"/>
  <c r="X126" i="17"/>
  <c r="Y126" i="17"/>
  <c r="Z126" i="17"/>
  <c r="L132" i="17"/>
  <c r="M132" i="17"/>
  <c r="N132" i="17"/>
  <c r="O132" i="17"/>
  <c r="P132" i="17"/>
  <c r="Q132" i="17"/>
  <c r="R132" i="17"/>
  <c r="S132" i="17"/>
  <c r="T132" i="17"/>
  <c r="U132" i="17"/>
  <c r="V132" i="17"/>
  <c r="W132" i="17"/>
  <c r="X132" i="17"/>
  <c r="Y132" i="17"/>
  <c r="Z132" i="17"/>
  <c r="L133" i="17"/>
  <c r="M133" i="17"/>
  <c r="N133" i="17"/>
  <c r="O133" i="17"/>
  <c r="P133" i="17"/>
  <c r="Q133" i="17"/>
  <c r="R133" i="17"/>
  <c r="S133" i="17"/>
  <c r="T133" i="17"/>
  <c r="U133" i="17"/>
  <c r="V133" i="17"/>
  <c r="W133" i="17"/>
  <c r="X133" i="17"/>
  <c r="Y133" i="17"/>
  <c r="Z133" i="17"/>
  <c r="L142" i="17"/>
  <c r="M142" i="17"/>
  <c r="N142" i="17"/>
  <c r="O142" i="17"/>
  <c r="P142" i="17"/>
  <c r="Q142" i="17"/>
  <c r="R142" i="17"/>
  <c r="S142" i="17"/>
  <c r="T142" i="17"/>
  <c r="U142" i="17"/>
  <c r="V142" i="17"/>
  <c r="W142" i="17"/>
  <c r="X142" i="17"/>
  <c r="Y142" i="17"/>
  <c r="Z142" i="17"/>
  <c r="L143" i="17"/>
  <c r="M143" i="17"/>
  <c r="N143" i="17"/>
  <c r="O143" i="17"/>
  <c r="P143" i="17"/>
  <c r="Q143" i="17"/>
  <c r="R143" i="17"/>
  <c r="S143" i="17"/>
  <c r="T143" i="17"/>
  <c r="U143" i="17"/>
  <c r="V143" i="17"/>
  <c r="W143" i="17"/>
  <c r="X143" i="17"/>
  <c r="Y143" i="17"/>
  <c r="Z143" i="17"/>
  <c r="L149" i="17"/>
  <c r="M149" i="17"/>
  <c r="N149" i="17"/>
  <c r="O149" i="17"/>
  <c r="P149" i="17"/>
  <c r="Q149" i="17"/>
  <c r="R149" i="17"/>
  <c r="S149" i="17"/>
  <c r="T149" i="17"/>
  <c r="U149" i="17"/>
  <c r="V149" i="17"/>
  <c r="W149" i="17"/>
  <c r="X149" i="17"/>
  <c r="Y149" i="17"/>
  <c r="Z149" i="17"/>
  <c r="L151" i="17"/>
  <c r="M151" i="17"/>
  <c r="N151" i="17"/>
  <c r="O151" i="17"/>
  <c r="P151" i="17"/>
  <c r="Q151" i="17"/>
  <c r="R151" i="17"/>
  <c r="S151" i="17"/>
  <c r="T151" i="17"/>
  <c r="U151" i="17"/>
  <c r="V151" i="17"/>
  <c r="W151" i="17"/>
  <c r="X151" i="17"/>
  <c r="Y151" i="17"/>
  <c r="Z151" i="17"/>
  <c r="L152" i="17"/>
  <c r="M152" i="17"/>
  <c r="N152" i="17"/>
  <c r="O152" i="17"/>
  <c r="P152" i="17"/>
  <c r="Q152" i="17"/>
  <c r="R152" i="17"/>
  <c r="S152" i="17"/>
  <c r="T152" i="17"/>
  <c r="U152" i="17"/>
  <c r="V152" i="17"/>
  <c r="W152" i="17"/>
  <c r="X152" i="17"/>
  <c r="Y152" i="17"/>
  <c r="Z152" i="17"/>
  <c r="L160" i="17"/>
  <c r="M160" i="17"/>
  <c r="N160" i="17"/>
  <c r="O160" i="17"/>
  <c r="P160" i="17"/>
  <c r="P106" i="17" s="1"/>
  <c r="Q160" i="17"/>
  <c r="Q106" i="17" s="1"/>
  <c r="R160" i="17"/>
  <c r="R106" i="17" s="1"/>
  <c r="S160" i="17"/>
  <c r="S106" i="17" s="1"/>
  <c r="T160" i="17"/>
  <c r="T106" i="17" s="1"/>
  <c r="U160" i="17"/>
  <c r="U106" i="17" s="1"/>
  <c r="V160" i="17"/>
  <c r="W160" i="17"/>
  <c r="W106" i="17" s="1"/>
  <c r="X160" i="17"/>
  <c r="X106" i="17" s="1"/>
  <c r="Y160" i="17"/>
  <c r="Y106" i="17" s="1"/>
  <c r="Z160" i="17"/>
  <c r="L161" i="17"/>
  <c r="L107" i="17" s="1"/>
  <c r="M161" i="17"/>
  <c r="M107" i="17" s="1"/>
  <c r="N161" i="17"/>
  <c r="N107" i="17" s="1"/>
  <c r="O161" i="17"/>
  <c r="O107" i="17" s="1"/>
  <c r="P161" i="17"/>
  <c r="P107" i="17" s="1"/>
  <c r="Q161" i="17"/>
  <c r="Q107" i="17" s="1"/>
  <c r="R161" i="17"/>
  <c r="R107" i="17" s="1"/>
  <c r="S161" i="17"/>
  <c r="S107" i="17" s="1"/>
  <c r="T161" i="17"/>
  <c r="T107" i="17" s="1"/>
  <c r="U161" i="17"/>
  <c r="U107" i="17" s="1"/>
  <c r="V161" i="17"/>
  <c r="V107" i="17" s="1"/>
  <c r="W161" i="17"/>
  <c r="X161" i="17"/>
  <c r="X107" i="17" s="1"/>
  <c r="Y161" i="17"/>
  <c r="Y107" i="17" s="1"/>
  <c r="Z161" i="17"/>
  <c r="Z107" i="17" s="1"/>
  <c r="L162" i="17"/>
  <c r="L108" i="17" s="1"/>
  <c r="M162" i="17"/>
  <c r="M108" i="17" s="1"/>
  <c r="N162" i="17"/>
  <c r="N108" i="17" s="1"/>
  <c r="O162" i="17"/>
  <c r="O108" i="17" s="1"/>
  <c r="P162" i="17"/>
  <c r="P108" i="17" s="1"/>
  <c r="Q162" i="17"/>
  <c r="Q108" i="17" s="1"/>
  <c r="R162" i="17"/>
  <c r="R108" i="17" s="1"/>
  <c r="S162" i="17"/>
  <c r="S108" i="17" s="1"/>
  <c r="T162" i="17"/>
  <c r="T108" i="17" s="1"/>
  <c r="U162" i="17"/>
  <c r="U108" i="17" s="1"/>
  <c r="V162" i="17"/>
  <c r="V108" i="17" s="1"/>
  <c r="W162" i="17"/>
  <c r="W108" i="17" s="1"/>
  <c r="X162" i="17"/>
  <c r="Y162" i="17"/>
  <c r="Y108" i="17" s="1"/>
  <c r="Z162" i="17"/>
  <c r="Z108" i="17" s="1"/>
  <c r="L163" i="17"/>
  <c r="L109" i="17" s="1"/>
  <c r="M163" i="17"/>
  <c r="M109" i="17" s="1"/>
  <c r="N163" i="17"/>
  <c r="N109" i="17" s="1"/>
  <c r="O163" i="17"/>
  <c r="O109" i="17" s="1"/>
  <c r="P163" i="17"/>
  <c r="P109" i="17" s="1"/>
  <c r="Q163" i="17"/>
  <c r="Q109" i="17" s="1"/>
  <c r="R163" i="17"/>
  <c r="R109" i="17" s="1"/>
  <c r="S163" i="17"/>
  <c r="S109" i="17" s="1"/>
  <c r="T163" i="17"/>
  <c r="T109" i="17" s="1"/>
  <c r="U163" i="17"/>
  <c r="U109" i="17" s="1"/>
  <c r="V163" i="17"/>
  <c r="V109" i="17" s="1"/>
  <c r="W163" i="17"/>
  <c r="W109" i="17" s="1"/>
  <c r="X163" i="17"/>
  <c r="X109" i="17" s="1"/>
  <c r="Y163" i="17"/>
  <c r="Z163" i="17"/>
  <c r="Z109" i="17" s="1"/>
  <c r="L164" i="17"/>
  <c r="L110" i="17" s="1"/>
  <c r="M164" i="17"/>
  <c r="M110" i="17" s="1"/>
  <c r="N164" i="17"/>
  <c r="N110" i="17" s="1"/>
  <c r="O164" i="17"/>
  <c r="O110" i="17" s="1"/>
  <c r="P164" i="17"/>
  <c r="P110" i="17" s="1"/>
  <c r="Q164" i="17"/>
  <c r="Q110" i="17" s="1"/>
  <c r="R164" i="17"/>
  <c r="R110" i="17" s="1"/>
  <c r="S164" i="17"/>
  <c r="S110" i="17" s="1"/>
  <c r="T164" i="17"/>
  <c r="T110" i="17" s="1"/>
  <c r="U164" i="17"/>
  <c r="U110" i="17" s="1"/>
  <c r="V164" i="17"/>
  <c r="V110" i="17" s="1"/>
  <c r="W164" i="17"/>
  <c r="W110" i="17" s="1"/>
  <c r="X164" i="17"/>
  <c r="X110" i="17" s="1"/>
  <c r="Y164" i="17"/>
  <c r="Y110" i="17" s="1"/>
  <c r="Z164" i="17"/>
  <c r="Z110" i="17" s="1"/>
  <c r="L165" i="17"/>
  <c r="L111" i="17" s="1"/>
  <c r="M165" i="17"/>
  <c r="M111" i="17" s="1"/>
  <c r="N165" i="17"/>
  <c r="N111" i="17" s="1"/>
  <c r="O165" i="17"/>
  <c r="O111" i="17" s="1"/>
  <c r="P165" i="17"/>
  <c r="P111" i="17" s="1"/>
  <c r="Q165" i="17"/>
  <c r="Q111" i="17" s="1"/>
  <c r="R165" i="17"/>
  <c r="R111" i="17" s="1"/>
  <c r="S165" i="17"/>
  <c r="S111" i="17" s="1"/>
  <c r="T165" i="17"/>
  <c r="T111" i="17" s="1"/>
  <c r="U165" i="17"/>
  <c r="U111" i="17" s="1"/>
  <c r="V165" i="17"/>
  <c r="V111" i="17" s="1"/>
  <c r="W165" i="17"/>
  <c r="W111" i="17" s="1"/>
  <c r="X165" i="17"/>
  <c r="X111" i="17" s="1"/>
  <c r="Y165" i="17"/>
  <c r="Y111" i="17" s="1"/>
  <c r="Z165" i="17"/>
  <c r="Z111" i="17" s="1"/>
  <c r="L167" i="17"/>
  <c r="L113" i="17" s="1"/>
  <c r="M167" i="17"/>
  <c r="M113" i="17" s="1"/>
  <c r="N167" i="17"/>
  <c r="N113" i="17" s="1"/>
  <c r="O167" i="17"/>
  <c r="O113" i="17" s="1"/>
  <c r="P167" i="17"/>
  <c r="P113" i="17" s="1"/>
  <c r="Q167" i="17"/>
  <c r="Q113" i="17" s="1"/>
  <c r="R167" i="17"/>
  <c r="R113" i="17" s="1"/>
  <c r="S167" i="17"/>
  <c r="S113" i="17" s="1"/>
  <c r="T167" i="17"/>
  <c r="T113" i="17" s="1"/>
  <c r="U167" i="17"/>
  <c r="U113" i="17" s="1"/>
  <c r="V167" i="17"/>
  <c r="V113" i="17" s="1"/>
  <c r="W167" i="17"/>
  <c r="W113" i="17" s="1"/>
  <c r="X167" i="17"/>
  <c r="X113" i="17" s="1"/>
  <c r="Y167" i="17"/>
  <c r="Y113" i="17" s="1"/>
  <c r="Z167" i="17"/>
  <c r="Z113" i="17" s="1"/>
  <c r="L173" i="17"/>
  <c r="M173" i="17"/>
  <c r="M118" i="17" s="1"/>
  <c r="N173" i="17"/>
  <c r="N118" i="17" s="1"/>
  <c r="O173" i="17"/>
  <c r="O118" i="17" s="1"/>
  <c r="P173" i="17"/>
  <c r="Q173" i="17"/>
  <c r="Q118" i="17" s="1"/>
  <c r="R173" i="17"/>
  <c r="R118" i="17" s="1"/>
  <c r="S173" i="17"/>
  <c r="S118" i="17" s="1"/>
  <c r="T173" i="17"/>
  <c r="T118" i="17" s="1"/>
  <c r="U173" i="17"/>
  <c r="U118" i="17" s="1"/>
  <c r="V173" i="17"/>
  <c r="V118" i="17" s="1"/>
  <c r="W173" i="17"/>
  <c r="X173" i="17"/>
  <c r="Y173" i="17"/>
  <c r="Z173" i="17"/>
  <c r="Z118" i="17" s="1"/>
  <c r="L174" i="17"/>
  <c r="L119" i="17" s="1"/>
  <c r="M174" i="17"/>
  <c r="M119" i="17" s="1"/>
  <c r="N174" i="17"/>
  <c r="N119" i="17" s="1"/>
  <c r="O174" i="17"/>
  <c r="O119" i="17" s="1"/>
  <c r="P174" i="17"/>
  <c r="P119" i="17" s="1"/>
  <c r="Q174" i="17"/>
  <c r="Q119" i="17" s="1"/>
  <c r="R174" i="17"/>
  <c r="R119" i="17" s="1"/>
  <c r="S174" i="17"/>
  <c r="S119" i="17" s="1"/>
  <c r="T174" i="17"/>
  <c r="T119" i="17" s="1"/>
  <c r="U174" i="17"/>
  <c r="V174" i="17"/>
  <c r="V119" i="17" s="1"/>
  <c r="W174" i="17"/>
  <c r="W119" i="17" s="1"/>
  <c r="X174" i="17"/>
  <c r="X119" i="17" s="1"/>
  <c r="Y174" i="17"/>
  <c r="Y119" i="17" s="1"/>
  <c r="Z174" i="17"/>
  <c r="Z119" i="17" s="1"/>
  <c r="L175" i="17"/>
  <c r="L120" i="17" s="1"/>
  <c r="M175" i="17"/>
  <c r="M120" i="17" s="1"/>
  <c r="N175" i="17"/>
  <c r="O175" i="17"/>
  <c r="O205" i="17" s="1"/>
  <c r="O150" i="17" s="1"/>
  <c r="P175" i="17"/>
  <c r="P205" i="17" s="1"/>
  <c r="P150" i="17" s="1"/>
  <c r="Q175" i="17"/>
  <c r="Q205" i="17" s="1"/>
  <c r="Q150" i="17" s="1"/>
  <c r="R175" i="17"/>
  <c r="R205" i="17" s="1"/>
  <c r="R150" i="17" s="1"/>
  <c r="S175" i="17"/>
  <c r="S205" i="17" s="1"/>
  <c r="S150" i="17" s="1"/>
  <c r="T175" i="17"/>
  <c r="T120" i="17" s="1"/>
  <c r="U175" i="17"/>
  <c r="U120" i="17" s="1"/>
  <c r="V175" i="17"/>
  <c r="V120" i="17" s="1"/>
  <c r="W175" i="17"/>
  <c r="W120" i="17" s="1"/>
  <c r="X175" i="17"/>
  <c r="X120" i="17" s="1"/>
  <c r="Y175" i="17"/>
  <c r="Y120" i="17" s="1"/>
  <c r="Z175" i="17"/>
  <c r="L176" i="17"/>
  <c r="L121" i="17" s="1"/>
  <c r="M176" i="17"/>
  <c r="M121" i="17" s="1"/>
  <c r="N176" i="17"/>
  <c r="N121" i="17" s="1"/>
  <c r="O176" i="17"/>
  <c r="P176" i="17"/>
  <c r="P121" i="17" s="1"/>
  <c r="Q176" i="17"/>
  <c r="Q121" i="17" s="1"/>
  <c r="R176" i="17"/>
  <c r="R121" i="17" s="1"/>
  <c r="S176" i="17"/>
  <c r="S121" i="17" s="1"/>
  <c r="T176" i="17"/>
  <c r="T121" i="17" s="1"/>
  <c r="U176" i="17"/>
  <c r="U121" i="17" s="1"/>
  <c r="V176" i="17"/>
  <c r="V121" i="17" s="1"/>
  <c r="W176" i="17"/>
  <c r="W121" i="17" s="1"/>
  <c r="X176" i="17"/>
  <c r="X121" i="17" s="1"/>
  <c r="Y176" i="17"/>
  <c r="Y121" i="17" s="1"/>
  <c r="Z176" i="17"/>
  <c r="Z121" i="17" s="1"/>
  <c r="L177" i="17"/>
  <c r="L122" i="17" s="1"/>
  <c r="M177" i="17"/>
  <c r="M122" i="17" s="1"/>
  <c r="N177" i="17"/>
  <c r="N122" i="17" s="1"/>
  <c r="O177" i="17"/>
  <c r="O122" i="17" s="1"/>
  <c r="P177" i="17"/>
  <c r="P122" i="17" s="1"/>
  <c r="Q177" i="17"/>
  <c r="Q122" i="17" s="1"/>
  <c r="R177" i="17"/>
  <c r="R122" i="17" s="1"/>
  <c r="S177" i="17"/>
  <c r="S122" i="17" s="1"/>
  <c r="T177" i="17"/>
  <c r="T122" i="17" s="1"/>
  <c r="U177" i="17"/>
  <c r="U122" i="17" s="1"/>
  <c r="V177" i="17"/>
  <c r="V122" i="17" s="1"/>
  <c r="W177" i="17"/>
  <c r="W122" i="17" s="1"/>
  <c r="X177" i="17"/>
  <c r="X122" i="17" s="1"/>
  <c r="Y177" i="17"/>
  <c r="Y122" i="17" s="1"/>
  <c r="Z177" i="17"/>
  <c r="Z122" i="17" s="1"/>
  <c r="L178" i="17"/>
  <c r="L123" i="17" s="1"/>
  <c r="M178" i="17"/>
  <c r="M123" i="17" s="1"/>
  <c r="N178" i="17"/>
  <c r="N123" i="17" s="1"/>
  <c r="O178" i="17"/>
  <c r="O123" i="17" s="1"/>
  <c r="P178" i="17"/>
  <c r="P123" i="17" s="1"/>
  <c r="Q178" i="17"/>
  <c r="Q123" i="17" s="1"/>
  <c r="R178" i="17"/>
  <c r="R123" i="17" s="1"/>
  <c r="S178" i="17"/>
  <c r="S123" i="17" s="1"/>
  <c r="T178" i="17"/>
  <c r="T123" i="17" s="1"/>
  <c r="U178" i="17"/>
  <c r="U123" i="17" s="1"/>
  <c r="V178" i="17"/>
  <c r="V123" i="17" s="1"/>
  <c r="W178" i="17"/>
  <c r="W123" i="17" s="1"/>
  <c r="X178" i="17"/>
  <c r="X123" i="17" s="1"/>
  <c r="Y178" i="17"/>
  <c r="Y123" i="17" s="1"/>
  <c r="Z178" i="17"/>
  <c r="Z123" i="17" s="1"/>
  <c r="L179" i="17"/>
  <c r="L124" i="17" s="1"/>
  <c r="M179" i="17"/>
  <c r="M124" i="17" s="1"/>
  <c r="N179" i="17"/>
  <c r="N124" i="17" s="1"/>
  <c r="O179" i="17"/>
  <c r="O124" i="17" s="1"/>
  <c r="P179" i="17"/>
  <c r="P124" i="17" s="1"/>
  <c r="Q179" i="17"/>
  <c r="Q124" i="17" s="1"/>
  <c r="R179" i="17"/>
  <c r="R124" i="17" s="1"/>
  <c r="S179" i="17"/>
  <c r="S124" i="17" s="1"/>
  <c r="T179" i="17"/>
  <c r="T124" i="17" s="1"/>
  <c r="U179" i="17"/>
  <c r="U124" i="17" s="1"/>
  <c r="V179" i="17"/>
  <c r="V124" i="17" s="1"/>
  <c r="W179" i="17"/>
  <c r="W124" i="17" s="1"/>
  <c r="X179" i="17"/>
  <c r="X124" i="17" s="1"/>
  <c r="Y179" i="17"/>
  <c r="Y124" i="17" s="1"/>
  <c r="Z179" i="17"/>
  <c r="Z124" i="17" s="1"/>
  <c r="L180" i="17"/>
  <c r="L125" i="17" s="1"/>
  <c r="M180" i="17"/>
  <c r="M125" i="17" s="1"/>
  <c r="N180" i="17"/>
  <c r="N125" i="17" s="1"/>
  <c r="O180" i="17"/>
  <c r="O125" i="17" s="1"/>
  <c r="P180" i="17"/>
  <c r="P125" i="17" s="1"/>
  <c r="Q180" i="17"/>
  <c r="Q125" i="17" s="1"/>
  <c r="R180" i="17"/>
  <c r="R125" i="17" s="1"/>
  <c r="S180" i="17"/>
  <c r="S125" i="17" s="1"/>
  <c r="T180" i="17"/>
  <c r="T125" i="17" s="1"/>
  <c r="U180" i="17"/>
  <c r="U125" i="17" s="1"/>
  <c r="V180" i="17"/>
  <c r="V125" i="17" s="1"/>
  <c r="W180" i="17"/>
  <c r="W125" i="17" s="1"/>
  <c r="X180" i="17"/>
  <c r="X125" i="17" s="1"/>
  <c r="Y180" i="17"/>
  <c r="Y125" i="17" s="1"/>
  <c r="Z180" i="17"/>
  <c r="Z125" i="17" s="1"/>
  <c r="L182" i="17"/>
  <c r="L127" i="17" s="1"/>
  <c r="M182" i="17"/>
  <c r="M127" i="17" s="1"/>
  <c r="N182" i="17"/>
  <c r="N127" i="17" s="1"/>
  <c r="O182" i="17"/>
  <c r="O127" i="17" s="1"/>
  <c r="P182" i="17"/>
  <c r="P127" i="17" s="1"/>
  <c r="Q182" i="17"/>
  <c r="Q127" i="17" s="1"/>
  <c r="R182" i="17"/>
  <c r="R127" i="17" s="1"/>
  <c r="S182" i="17"/>
  <c r="S127" i="17" s="1"/>
  <c r="T182" i="17"/>
  <c r="T127" i="17" s="1"/>
  <c r="U182" i="17"/>
  <c r="U127" i="17" s="1"/>
  <c r="V182" i="17"/>
  <c r="V127" i="17" s="1"/>
  <c r="W182" i="17"/>
  <c r="W127" i="17" s="1"/>
  <c r="X182" i="17"/>
  <c r="X127" i="17" s="1"/>
  <c r="Y182" i="17"/>
  <c r="Y127" i="17" s="1"/>
  <c r="Z182" i="17"/>
  <c r="Z127" i="17" s="1"/>
  <c r="L183" i="17"/>
  <c r="L128" i="17" s="1"/>
  <c r="M183" i="17"/>
  <c r="M128" i="17" s="1"/>
  <c r="N183" i="17"/>
  <c r="N128" i="17" s="1"/>
  <c r="O183" i="17"/>
  <c r="O128" i="17" s="1"/>
  <c r="P183" i="17"/>
  <c r="P128" i="17" s="1"/>
  <c r="Q183" i="17"/>
  <c r="Q128" i="17" s="1"/>
  <c r="R183" i="17"/>
  <c r="R128" i="17" s="1"/>
  <c r="S183" i="17"/>
  <c r="S128" i="17" s="1"/>
  <c r="T183" i="17"/>
  <c r="T128" i="17" s="1"/>
  <c r="U183" i="17"/>
  <c r="U128" i="17" s="1"/>
  <c r="V183" i="17"/>
  <c r="V128" i="17" s="1"/>
  <c r="W183" i="17"/>
  <c r="W128" i="17" s="1"/>
  <c r="X183" i="17"/>
  <c r="X128" i="17" s="1"/>
  <c r="Y183" i="17"/>
  <c r="Y128" i="17" s="1"/>
  <c r="Z183" i="17"/>
  <c r="Z128" i="17" s="1"/>
  <c r="L134" i="17"/>
  <c r="M134" i="17"/>
  <c r="N134" i="17"/>
  <c r="O134" i="17"/>
  <c r="P189" i="17"/>
  <c r="P134" i="17" s="1"/>
  <c r="Q189" i="17"/>
  <c r="Q134" i="17" s="1"/>
  <c r="R189" i="17"/>
  <c r="R134" i="17" s="1"/>
  <c r="S189" i="17"/>
  <c r="S134" i="17" s="1"/>
  <c r="T189" i="17"/>
  <c r="T134" i="17" s="1"/>
  <c r="U189" i="17"/>
  <c r="U134" i="17" s="1"/>
  <c r="V189" i="17"/>
  <c r="V134" i="17" s="1"/>
  <c r="W189" i="17"/>
  <c r="W134" i="17" s="1"/>
  <c r="X189" i="17"/>
  <c r="X134" i="17" s="1"/>
  <c r="Y189" i="17"/>
  <c r="Y134" i="17" s="1"/>
  <c r="Z189" i="17"/>
  <c r="Z134" i="17" s="1"/>
  <c r="L200" i="17"/>
  <c r="L145" i="17" s="1"/>
  <c r="M200" i="17"/>
  <c r="M145" i="17" s="1"/>
  <c r="N200" i="17"/>
  <c r="O200" i="17"/>
  <c r="P200" i="17"/>
  <c r="Q200" i="17"/>
  <c r="Q145" i="17" s="1"/>
  <c r="R200" i="17"/>
  <c r="S200" i="17"/>
  <c r="T200" i="17"/>
  <c r="U200" i="17"/>
  <c r="V200" i="17"/>
  <c r="W200" i="17"/>
  <c r="X200" i="17"/>
  <c r="Y200" i="17"/>
  <c r="Y145" i="17" s="1"/>
  <c r="Z200" i="17"/>
  <c r="Z145" i="17" s="1"/>
  <c r="E149" i="17"/>
  <c r="F149" i="17"/>
  <c r="G149" i="17"/>
  <c r="H149" i="17"/>
  <c r="I149" i="17"/>
  <c r="J149" i="17"/>
  <c r="K149" i="17"/>
  <c r="E151" i="17"/>
  <c r="F151" i="17"/>
  <c r="G151" i="17"/>
  <c r="H151" i="17"/>
  <c r="I151" i="17"/>
  <c r="J151" i="17"/>
  <c r="K151" i="17"/>
  <c r="E152" i="17"/>
  <c r="F152" i="17"/>
  <c r="G152" i="17"/>
  <c r="H152" i="17"/>
  <c r="I152" i="17"/>
  <c r="J152" i="17"/>
  <c r="K152" i="17"/>
  <c r="E142" i="17"/>
  <c r="F142" i="17"/>
  <c r="G142" i="17"/>
  <c r="H142" i="17"/>
  <c r="I142" i="17"/>
  <c r="J142" i="17"/>
  <c r="K142" i="17"/>
  <c r="E143" i="17"/>
  <c r="F143" i="17"/>
  <c r="G143" i="17"/>
  <c r="H143" i="17"/>
  <c r="I143" i="17"/>
  <c r="J143" i="17"/>
  <c r="K143" i="17"/>
  <c r="E126" i="17"/>
  <c r="F126" i="17"/>
  <c r="G126" i="17"/>
  <c r="H126" i="17"/>
  <c r="I126" i="17"/>
  <c r="J126" i="17"/>
  <c r="K126" i="17"/>
  <c r="K132" i="17"/>
  <c r="K133" i="17"/>
  <c r="G115" i="17"/>
  <c r="H115" i="17"/>
  <c r="I115" i="17"/>
  <c r="J115" i="17"/>
  <c r="K115" i="17"/>
  <c r="E116" i="17"/>
  <c r="F116" i="17"/>
  <c r="G116" i="17"/>
  <c r="H116" i="17"/>
  <c r="I116" i="17"/>
  <c r="J116" i="17"/>
  <c r="K116" i="17"/>
  <c r="D152" i="17"/>
  <c r="D151" i="17"/>
  <c r="D149" i="17"/>
  <c r="D146" i="17"/>
  <c r="D143" i="17"/>
  <c r="D142" i="17"/>
  <c r="D126" i="17"/>
  <c r="D116" i="17"/>
  <c r="P201" i="17" l="1"/>
  <c r="P146" i="17" s="1"/>
  <c r="W201" i="17"/>
  <c r="X201" i="17"/>
  <c r="X146" i="17" s="1"/>
  <c r="V166" i="17"/>
  <c r="V168" i="17" s="1"/>
  <c r="V114" i="17" s="1"/>
  <c r="U201" i="17"/>
  <c r="U146" i="17" s="1"/>
  <c r="U166" i="17"/>
  <c r="U112" i="17" s="1"/>
  <c r="U184" i="17"/>
  <c r="U129" i="17" s="1"/>
  <c r="U131" i="17" s="1"/>
  <c r="U135" i="17" s="1"/>
  <c r="T184" i="17"/>
  <c r="T129" i="17" s="1"/>
  <c r="T131" i="17" s="1"/>
  <c r="T135" i="17" s="1"/>
  <c r="S184" i="17"/>
  <c r="S186" i="17" s="1"/>
  <c r="S190" i="17" s="1"/>
  <c r="Q201" i="17"/>
  <c r="Q146" i="17" s="1"/>
  <c r="R184" i="17"/>
  <c r="R129" i="17" s="1"/>
  <c r="R131" i="17" s="1"/>
  <c r="V201" i="17"/>
  <c r="V146" i="17" s="1"/>
  <c r="R201" i="17"/>
  <c r="R146" i="17" s="1"/>
  <c r="W166" i="17"/>
  <c r="W168" i="17" s="1"/>
  <c r="W114" i="17" s="1"/>
  <c r="U119" i="17"/>
  <c r="Y166" i="17"/>
  <c r="Y168" i="17" s="1"/>
  <c r="Y114" i="17" s="1"/>
  <c r="X166" i="17"/>
  <c r="X168" i="17" s="1"/>
  <c r="X114" i="17" s="1"/>
  <c r="N201" i="17"/>
  <c r="N146" i="17" s="1"/>
  <c r="M205" i="17"/>
  <c r="M150" i="17" s="1"/>
  <c r="L205" i="17"/>
  <c r="L150" i="17" s="1"/>
  <c r="N145" i="17"/>
  <c r="M201" i="17"/>
  <c r="M146" i="17" s="1"/>
  <c r="W107" i="17"/>
  <c r="Q184" i="17"/>
  <c r="Q186" i="17" s="1"/>
  <c r="Q190" i="17" s="1"/>
  <c r="Y109" i="17"/>
  <c r="Y205" i="17"/>
  <c r="Y150" i="17" s="1"/>
  <c r="S120" i="17"/>
  <c r="X205" i="17"/>
  <c r="X150" i="17" s="1"/>
  <c r="R120" i="17"/>
  <c r="W205" i="17"/>
  <c r="W150" i="17" s="1"/>
  <c r="Q120" i="17"/>
  <c r="V205" i="17"/>
  <c r="V150" i="17" s="1"/>
  <c r="X145" i="17"/>
  <c r="P120" i="17"/>
  <c r="U205" i="17"/>
  <c r="U150" i="17" s="1"/>
  <c r="O184" i="17"/>
  <c r="O186" i="17" s="1"/>
  <c r="O190" i="17" s="1"/>
  <c r="N184" i="17"/>
  <c r="N129" i="17" s="1"/>
  <c r="N131" i="17" s="1"/>
  <c r="M184" i="17"/>
  <c r="M186" i="17" s="1"/>
  <c r="M190" i="17" s="1"/>
  <c r="Z166" i="17"/>
  <c r="Z112" i="17" s="1"/>
  <c r="W145" i="17"/>
  <c r="O120" i="17"/>
  <c r="X108" i="17"/>
  <c r="V106" i="17"/>
  <c r="T205" i="17"/>
  <c r="T150" i="17" s="1"/>
  <c r="V145" i="17"/>
  <c r="N120" i="17"/>
  <c r="U145" i="17"/>
  <c r="O201" i="17"/>
  <c r="O146" i="17" s="1"/>
  <c r="O145" i="17"/>
  <c r="W146" i="17"/>
  <c r="O106" i="17"/>
  <c r="O166" i="17"/>
  <c r="M106" i="17"/>
  <c r="M166" i="17"/>
  <c r="S201" i="17"/>
  <c r="S145" i="17"/>
  <c r="R166" i="17"/>
  <c r="Q166" i="17"/>
  <c r="Z106" i="17"/>
  <c r="Z201" i="17"/>
  <c r="P166" i="17"/>
  <c r="Y201" i="17"/>
  <c r="Y118" i="17"/>
  <c r="Y184" i="17"/>
  <c r="Z184" i="17"/>
  <c r="X118" i="17"/>
  <c r="X184" i="17"/>
  <c r="N106" i="17"/>
  <c r="N166" i="17"/>
  <c r="L106" i="17"/>
  <c r="L166" i="17"/>
  <c r="T166" i="17"/>
  <c r="T201" i="17"/>
  <c r="T145" i="17"/>
  <c r="P184" i="17"/>
  <c r="P118" i="17"/>
  <c r="S166" i="17"/>
  <c r="L118" i="17"/>
  <c r="L184" i="17"/>
  <c r="O121" i="17"/>
  <c r="Z120" i="17"/>
  <c r="Z205" i="17"/>
  <c r="Z150" i="17" s="1"/>
  <c r="N205" i="17"/>
  <c r="N150" i="17" s="1"/>
  <c r="V184" i="17"/>
  <c r="V194" i="17" s="1"/>
  <c r="W118" i="17"/>
  <c r="W184" i="17"/>
  <c r="P145" i="17"/>
  <c r="R145" i="17"/>
  <c r="E167" i="17"/>
  <c r="F167" i="17"/>
  <c r="E169" i="17"/>
  <c r="E115" i="17" s="1"/>
  <c r="F169" i="17"/>
  <c r="F115" i="17" s="1"/>
  <c r="D169" i="17"/>
  <c r="D115" i="17" s="1"/>
  <c r="E188" i="17"/>
  <c r="E133" i="17" s="1"/>
  <c r="F188" i="17"/>
  <c r="F133" i="17" s="1"/>
  <c r="G188" i="17"/>
  <c r="G133" i="17" s="1"/>
  <c r="H188" i="17"/>
  <c r="H133" i="17" s="1"/>
  <c r="I188" i="17"/>
  <c r="I133" i="17" s="1"/>
  <c r="J188" i="17"/>
  <c r="J133" i="17" s="1"/>
  <c r="D188" i="17"/>
  <c r="D133" i="17" s="1"/>
  <c r="E187" i="17"/>
  <c r="E132" i="17" s="1"/>
  <c r="F187" i="17"/>
  <c r="F132" i="17" s="1"/>
  <c r="G187" i="17"/>
  <c r="G132" i="17" s="1"/>
  <c r="H187" i="17"/>
  <c r="H132" i="17" s="1"/>
  <c r="I187" i="17"/>
  <c r="I132" i="17" s="1"/>
  <c r="J187" i="17"/>
  <c r="J132" i="17" s="1"/>
  <c r="D187" i="17"/>
  <c r="D132" i="17" s="1"/>
  <c r="U194" i="17" l="1"/>
  <c r="U195" i="17" s="1"/>
  <c r="U203" i="17" s="1"/>
  <c r="U168" i="17"/>
  <c r="U114" i="17" s="1"/>
  <c r="S129" i="17"/>
  <c r="S131" i="17" s="1"/>
  <c r="S135" i="17" s="1"/>
  <c r="R186" i="17"/>
  <c r="R190" i="17" s="1"/>
  <c r="V112" i="17"/>
  <c r="T186" i="17"/>
  <c r="T190" i="17" s="1"/>
  <c r="U186" i="17"/>
  <c r="U190" i="17" s="1"/>
  <c r="Y112" i="17"/>
  <c r="Q129" i="17"/>
  <c r="Q131" i="17" s="1"/>
  <c r="Q135" i="17" s="1"/>
  <c r="X112" i="17"/>
  <c r="W112" i="17"/>
  <c r="Y194" i="17"/>
  <c r="Y139" i="17" s="1"/>
  <c r="Z168" i="17"/>
  <c r="Z114" i="17" s="1"/>
  <c r="N186" i="17"/>
  <c r="N190" i="17" s="1"/>
  <c r="O129" i="17"/>
  <c r="O131" i="17" s="1"/>
  <c r="O135" i="17" s="1"/>
  <c r="F185" i="17"/>
  <c r="F113" i="17"/>
  <c r="E185" i="17"/>
  <c r="E113" i="17"/>
  <c r="N135" i="17"/>
  <c r="R135" i="17"/>
  <c r="M129" i="17"/>
  <c r="M131" i="17" s="1"/>
  <c r="M135" i="17" s="1"/>
  <c r="S146" i="17"/>
  <c r="L168" i="17"/>
  <c r="L114" i="17" s="1"/>
  <c r="L194" i="17"/>
  <c r="L112" i="17"/>
  <c r="Y146" i="17"/>
  <c r="L129" i="17"/>
  <c r="L131" i="17" s="1"/>
  <c r="L135" i="17" s="1"/>
  <c r="L186" i="17"/>
  <c r="L190" i="17" s="1"/>
  <c r="M168" i="17"/>
  <c r="M114" i="17" s="1"/>
  <c r="M194" i="17"/>
  <c r="M112" i="17"/>
  <c r="N168" i="17"/>
  <c r="N114" i="17" s="1"/>
  <c r="N112" i="17"/>
  <c r="N194" i="17"/>
  <c r="P168" i="17"/>
  <c r="P114" i="17" s="1"/>
  <c r="P194" i="17"/>
  <c r="P112" i="17"/>
  <c r="V139" i="17"/>
  <c r="V195" i="17"/>
  <c r="S112" i="17"/>
  <c r="S168" i="17"/>
  <c r="S114" i="17" s="1"/>
  <c r="S194" i="17"/>
  <c r="Z146" i="17"/>
  <c r="W129" i="17"/>
  <c r="W131" i="17" s="1"/>
  <c r="W135" i="17" s="1"/>
  <c r="W186" i="17"/>
  <c r="W190" i="17" s="1"/>
  <c r="O112" i="17"/>
  <c r="O168" i="17"/>
  <c r="O114" i="17" s="1"/>
  <c r="O194" i="17"/>
  <c r="P186" i="17"/>
  <c r="P190" i="17" s="1"/>
  <c r="P129" i="17"/>
  <c r="P131" i="17" s="1"/>
  <c r="P135" i="17" s="1"/>
  <c r="X186" i="17"/>
  <c r="X190" i="17" s="1"/>
  <c r="X129" i="17"/>
  <c r="X131" i="17" s="1"/>
  <c r="X135" i="17" s="1"/>
  <c r="V129" i="17"/>
  <c r="V131" i="17" s="1"/>
  <c r="V135" i="17" s="1"/>
  <c r="V186" i="17"/>
  <c r="V190" i="17" s="1"/>
  <c r="Q168" i="17"/>
  <c r="Q114" i="17" s="1"/>
  <c r="Q112" i="17"/>
  <c r="Q194" i="17"/>
  <c r="Z186" i="17"/>
  <c r="Z190" i="17" s="1"/>
  <c r="Z129" i="17"/>
  <c r="Z131" i="17" s="1"/>
  <c r="Z135" i="17" s="1"/>
  <c r="W194" i="17"/>
  <c r="T146" i="17"/>
  <c r="Y186" i="17"/>
  <c r="Y190" i="17" s="1"/>
  <c r="Y129" i="17"/>
  <c r="Y131" i="17" s="1"/>
  <c r="Y135" i="17" s="1"/>
  <c r="Z194" i="17"/>
  <c r="R112" i="17"/>
  <c r="R168" i="17"/>
  <c r="R114" i="17" s="1"/>
  <c r="R194" i="17"/>
  <c r="T112" i="17"/>
  <c r="T168" i="17"/>
  <c r="T114" i="17" s="1"/>
  <c r="T194" i="17"/>
  <c r="X194" i="17"/>
  <c r="F143" i="64"/>
  <c r="G143" i="64"/>
  <c r="E143" i="64"/>
  <c r="B16" i="75"/>
  <c r="U139" i="17" l="1"/>
  <c r="U140" i="17"/>
  <c r="Y195" i="17"/>
  <c r="Y140" i="17" s="1"/>
  <c r="O195" i="17"/>
  <c r="O139" i="17"/>
  <c r="N195" i="17"/>
  <c r="N139" i="17"/>
  <c r="W139" i="17"/>
  <c r="W195" i="17"/>
  <c r="U208" i="17"/>
  <c r="U153" i="17" s="1"/>
  <c r="U148" i="17"/>
  <c r="M195" i="17"/>
  <c r="M139" i="17"/>
  <c r="X139" i="17"/>
  <c r="X195" i="17"/>
  <c r="T139" i="17"/>
  <c r="T195" i="17"/>
  <c r="Q195" i="17"/>
  <c r="Q139" i="17"/>
  <c r="S139" i="17"/>
  <c r="S195" i="17"/>
  <c r="R195" i="17"/>
  <c r="R139" i="17"/>
  <c r="V203" i="17"/>
  <c r="V140" i="17"/>
  <c r="L195" i="17"/>
  <c r="L139" i="17"/>
  <c r="Z139" i="17"/>
  <c r="Z195" i="17"/>
  <c r="P195" i="17"/>
  <c r="P139" i="17"/>
  <c r="Q11" i="47"/>
  <c r="J28" i="74"/>
  <c r="J27" i="74"/>
  <c r="J26" i="74"/>
  <c r="J25" i="74"/>
  <c r="J24" i="74"/>
  <c r="J23" i="74"/>
  <c r="J22" i="74"/>
  <c r="J21" i="74"/>
  <c r="J20" i="74"/>
  <c r="J19" i="74"/>
  <c r="J17" i="74"/>
  <c r="J16" i="74"/>
  <c r="J15" i="74"/>
  <c r="J14" i="74"/>
  <c r="J13" i="74"/>
  <c r="J12" i="74"/>
  <c r="J11" i="74"/>
  <c r="J10" i="74"/>
  <c r="J9" i="74"/>
  <c r="J8" i="74"/>
  <c r="Y203" i="17" l="1"/>
  <c r="Q203" i="17"/>
  <c r="Q140" i="17"/>
  <c r="T140" i="17"/>
  <c r="T203" i="17"/>
  <c r="P203" i="17"/>
  <c r="P140" i="17"/>
  <c r="Z140" i="17"/>
  <c r="Z203" i="17"/>
  <c r="X140" i="17"/>
  <c r="X203" i="17"/>
  <c r="L140" i="17"/>
  <c r="L203" i="17"/>
  <c r="M140" i="17"/>
  <c r="M203" i="17"/>
  <c r="V208" i="17"/>
  <c r="V153" i="17" s="1"/>
  <c r="V148" i="17"/>
  <c r="W203" i="17"/>
  <c r="W140" i="17"/>
  <c r="R203" i="17"/>
  <c r="R140" i="17"/>
  <c r="S140" i="17"/>
  <c r="S203" i="17"/>
  <c r="N140" i="17"/>
  <c r="N203" i="17"/>
  <c r="Y148" i="17"/>
  <c r="Y208" i="17"/>
  <c r="Y153" i="17" s="1"/>
  <c r="O203" i="17"/>
  <c r="O140" i="17"/>
  <c r="D48" i="75" a="1"/>
  <c r="D48" i="75" s="1"/>
  <c r="D31" i="75" a="1"/>
  <c r="D31" i="75" s="1"/>
  <c r="D92" i="74"/>
  <c r="D34" i="74"/>
  <c r="D6" i="74" a="1"/>
  <c r="P145" i="65"/>
  <c r="Q145" i="65"/>
  <c r="R145" i="65"/>
  <c r="S145" i="65"/>
  <c r="T145" i="65"/>
  <c r="U145" i="65"/>
  <c r="V145" i="65"/>
  <c r="W145" i="65"/>
  <c r="M148" i="17" l="1"/>
  <c r="M208" i="17"/>
  <c r="M153" i="17" s="1"/>
  <c r="L148" i="17"/>
  <c r="O148" i="17"/>
  <c r="O208" i="17"/>
  <c r="O153" i="17" s="1"/>
  <c r="X148" i="17"/>
  <c r="X208" i="17"/>
  <c r="X153" i="17" s="1"/>
  <c r="N148" i="17"/>
  <c r="N208" i="17"/>
  <c r="N153" i="17" s="1"/>
  <c r="Z148" i="17"/>
  <c r="Z208" i="17"/>
  <c r="Z153" i="17" s="1"/>
  <c r="S148" i="17"/>
  <c r="S208" i="17"/>
  <c r="S153" i="17" s="1"/>
  <c r="P148" i="17"/>
  <c r="P208" i="17"/>
  <c r="P153" i="17" s="1"/>
  <c r="T148" i="17"/>
  <c r="T208" i="17"/>
  <c r="T153" i="17" s="1"/>
  <c r="R148" i="17"/>
  <c r="R208" i="17"/>
  <c r="R153" i="17" s="1"/>
  <c r="W148" i="17"/>
  <c r="W208" i="17"/>
  <c r="W153" i="17" s="1"/>
  <c r="Q148" i="17"/>
  <c r="Q208" i="17"/>
  <c r="Q153" i="17" s="1"/>
  <c r="D6" i="74"/>
  <c r="E23" i="74"/>
  <c r="C298" i="64"/>
  <c r="C296" i="64"/>
  <c r="C297" i="64"/>
  <c r="C295" i="64"/>
  <c r="B33" i="75"/>
  <c r="B59" i="75"/>
  <c r="B74" i="64" s="1"/>
  <c r="B54" i="75"/>
  <c r="B69" i="64" l="1"/>
  <c r="B48" i="64"/>
  <c r="D18" i="74"/>
  <c r="D23" i="74"/>
  <c r="B7" i="76" a="1"/>
  <c r="B7" i="76" s="1"/>
  <c r="K172" i="64"/>
  <c r="B6" i="76"/>
  <c r="B4" i="76"/>
  <c r="B1" i="76"/>
  <c r="Q10" i="47"/>
  <c r="Q6" i="47"/>
  <c r="Q5" i="47"/>
  <c r="Q3" i="47"/>
  <c r="Q2" i="47"/>
  <c r="B68" i="76"/>
  <c r="B66" i="76"/>
  <c r="B63" i="76"/>
  <c r="B61" i="76"/>
  <c r="B59" i="76"/>
  <c r="B57" i="76"/>
  <c r="B55" i="76"/>
  <c r="B53" i="76"/>
  <c r="C49" i="76" a="1"/>
  <c r="C49" i="76" s="1"/>
  <c r="E65" i="64"/>
  <c r="F65" i="64"/>
  <c r="G65" i="64"/>
  <c r="H65" i="64"/>
  <c r="I65" i="64"/>
  <c r="J65" i="64"/>
  <c r="K65" i="64"/>
  <c r="L65" i="64"/>
  <c r="M65" i="64"/>
  <c r="N65" i="64"/>
  <c r="O65" i="64"/>
  <c r="P65" i="64"/>
  <c r="Q65" i="64"/>
  <c r="R65" i="64"/>
  <c r="S65" i="64"/>
  <c r="T65" i="64"/>
  <c r="U65" i="64"/>
  <c r="V65" i="64"/>
  <c r="W65" i="64"/>
  <c r="X65" i="64"/>
  <c r="E66" i="64"/>
  <c r="F66" i="64"/>
  <c r="G66" i="64"/>
  <c r="H66" i="64"/>
  <c r="I66" i="64"/>
  <c r="J66" i="64"/>
  <c r="K66" i="64"/>
  <c r="L66" i="64"/>
  <c r="M66" i="64"/>
  <c r="N66" i="64"/>
  <c r="O66" i="64"/>
  <c r="P66" i="64"/>
  <c r="Q66" i="64"/>
  <c r="R66" i="64"/>
  <c r="S66" i="64"/>
  <c r="T66" i="64"/>
  <c r="U66" i="64"/>
  <c r="V66" i="64"/>
  <c r="W66" i="64"/>
  <c r="X66" i="64"/>
  <c r="E67" i="64"/>
  <c r="F67" i="64"/>
  <c r="G67" i="64"/>
  <c r="H67" i="64"/>
  <c r="I67" i="64"/>
  <c r="J67" i="64"/>
  <c r="K67" i="64"/>
  <c r="L67" i="64"/>
  <c r="M67" i="64"/>
  <c r="N67" i="64"/>
  <c r="O67" i="64"/>
  <c r="P67" i="64"/>
  <c r="Q67" i="64"/>
  <c r="R67" i="64"/>
  <c r="S67" i="64"/>
  <c r="T67" i="64"/>
  <c r="U67" i="64"/>
  <c r="V67" i="64"/>
  <c r="W67" i="64"/>
  <c r="X67" i="64"/>
  <c r="E68" i="64"/>
  <c r="F68" i="64"/>
  <c r="G68" i="64"/>
  <c r="H68" i="64"/>
  <c r="I68" i="64"/>
  <c r="J68" i="64"/>
  <c r="K68" i="64"/>
  <c r="L68" i="64"/>
  <c r="M68" i="64"/>
  <c r="N68" i="64"/>
  <c r="O68" i="64"/>
  <c r="P68" i="64"/>
  <c r="Q68" i="64"/>
  <c r="R68" i="64"/>
  <c r="S68" i="64"/>
  <c r="T68" i="64"/>
  <c r="U68" i="64"/>
  <c r="V68" i="64"/>
  <c r="W68" i="64"/>
  <c r="X68" i="64"/>
  <c r="E69" i="64"/>
  <c r="F69" i="64"/>
  <c r="G69" i="64"/>
  <c r="H69" i="64"/>
  <c r="I69" i="64"/>
  <c r="J69" i="64"/>
  <c r="K69" i="64"/>
  <c r="L69" i="64"/>
  <c r="M69" i="64"/>
  <c r="N69" i="64"/>
  <c r="O69" i="64"/>
  <c r="P69" i="64"/>
  <c r="Q69" i="64"/>
  <c r="R69" i="64"/>
  <c r="S69" i="64"/>
  <c r="T69" i="64"/>
  <c r="U69" i="64"/>
  <c r="V69" i="64"/>
  <c r="W69" i="64"/>
  <c r="X69" i="64"/>
  <c r="E70" i="64"/>
  <c r="F70" i="64"/>
  <c r="G70" i="64"/>
  <c r="H70" i="64"/>
  <c r="I70" i="64"/>
  <c r="J70" i="64"/>
  <c r="K70" i="64"/>
  <c r="L70" i="64"/>
  <c r="M70" i="64"/>
  <c r="N70" i="64"/>
  <c r="O70" i="64"/>
  <c r="P70" i="64"/>
  <c r="Q70" i="64"/>
  <c r="R70" i="64"/>
  <c r="S70" i="64"/>
  <c r="T70" i="64"/>
  <c r="U70" i="64"/>
  <c r="V70" i="64"/>
  <c r="W70" i="64"/>
  <c r="X70" i="64"/>
  <c r="E71" i="64"/>
  <c r="F71" i="64"/>
  <c r="G71" i="64"/>
  <c r="H71" i="64"/>
  <c r="I71" i="64"/>
  <c r="J71" i="64"/>
  <c r="K71" i="64"/>
  <c r="L71" i="64"/>
  <c r="M71" i="64"/>
  <c r="N71" i="64"/>
  <c r="O71" i="64"/>
  <c r="P71" i="64"/>
  <c r="Q71" i="64"/>
  <c r="R71" i="64"/>
  <c r="S71" i="64"/>
  <c r="T71" i="64"/>
  <c r="U71" i="64"/>
  <c r="V71" i="64"/>
  <c r="W71" i="64"/>
  <c r="X71" i="64"/>
  <c r="E72" i="64"/>
  <c r="F72" i="64"/>
  <c r="G72" i="64"/>
  <c r="H72" i="64"/>
  <c r="I72" i="64"/>
  <c r="J72" i="64"/>
  <c r="K72" i="64"/>
  <c r="L72" i="64"/>
  <c r="M72" i="64"/>
  <c r="N72" i="64"/>
  <c r="O72" i="64"/>
  <c r="P72" i="64"/>
  <c r="Q72" i="64"/>
  <c r="R72" i="64"/>
  <c r="S72" i="64"/>
  <c r="T72" i="64"/>
  <c r="U72" i="64"/>
  <c r="V72" i="64"/>
  <c r="W72" i="64"/>
  <c r="X72" i="64"/>
  <c r="E73" i="64"/>
  <c r="F73" i="64"/>
  <c r="G73" i="64"/>
  <c r="H73" i="64"/>
  <c r="I73" i="64"/>
  <c r="J73" i="64"/>
  <c r="K73" i="64"/>
  <c r="L73" i="64"/>
  <c r="M73" i="64"/>
  <c r="N73" i="64"/>
  <c r="O73" i="64"/>
  <c r="P73" i="64"/>
  <c r="Q73" i="64"/>
  <c r="R73" i="64"/>
  <c r="S73" i="64"/>
  <c r="T73" i="64"/>
  <c r="U73" i="64"/>
  <c r="V73" i="64"/>
  <c r="W73" i="64"/>
  <c r="X73" i="64"/>
  <c r="E74" i="64"/>
  <c r="F74" i="64"/>
  <c r="G74" i="64"/>
  <c r="H74" i="64"/>
  <c r="I74" i="64"/>
  <c r="J74" i="64"/>
  <c r="K74" i="64"/>
  <c r="L74" i="64"/>
  <c r="M74" i="64"/>
  <c r="N74" i="64"/>
  <c r="O74" i="64"/>
  <c r="P74" i="64"/>
  <c r="Q74" i="64"/>
  <c r="R74" i="64"/>
  <c r="S74" i="64"/>
  <c r="T74" i="64"/>
  <c r="U74" i="64"/>
  <c r="V74" i="64"/>
  <c r="W74" i="64"/>
  <c r="X74" i="64"/>
  <c r="E75" i="64"/>
  <c r="F75" i="64"/>
  <c r="G75" i="64"/>
  <c r="H75" i="64"/>
  <c r="I75" i="64"/>
  <c r="J75" i="64"/>
  <c r="K75" i="64"/>
  <c r="L75" i="64"/>
  <c r="M75" i="64"/>
  <c r="N75" i="64"/>
  <c r="O75" i="64"/>
  <c r="P75" i="64"/>
  <c r="Q75" i="64"/>
  <c r="R75" i="64"/>
  <c r="S75" i="64"/>
  <c r="T75" i="64"/>
  <c r="U75" i="64"/>
  <c r="V75" i="64"/>
  <c r="W75" i="64"/>
  <c r="X75" i="64"/>
  <c r="E76" i="64"/>
  <c r="F76" i="64"/>
  <c r="G76" i="64"/>
  <c r="H76" i="64"/>
  <c r="I76" i="64"/>
  <c r="J76" i="64"/>
  <c r="K76" i="64"/>
  <c r="L76" i="64"/>
  <c r="M76" i="64"/>
  <c r="N76" i="64"/>
  <c r="O76" i="64"/>
  <c r="P76" i="64"/>
  <c r="Q76" i="64"/>
  <c r="R76" i="64"/>
  <c r="S76" i="64"/>
  <c r="T76" i="64"/>
  <c r="U76" i="64"/>
  <c r="V76" i="64"/>
  <c r="W76" i="64"/>
  <c r="X76" i="64"/>
  <c r="E77" i="64"/>
  <c r="F77" i="64"/>
  <c r="G77" i="64"/>
  <c r="H77" i="64"/>
  <c r="I77" i="64"/>
  <c r="J77" i="64"/>
  <c r="K77" i="64"/>
  <c r="L77" i="64"/>
  <c r="M77" i="64"/>
  <c r="N77" i="64"/>
  <c r="O77" i="64"/>
  <c r="P77" i="64"/>
  <c r="Q77" i="64"/>
  <c r="R77" i="64"/>
  <c r="S77" i="64"/>
  <c r="T77" i="64"/>
  <c r="U77" i="64"/>
  <c r="V77" i="64"/>
  <c r="W77" i="64"/>
  <c r="X77" i="64"/>
  <c r="E78" i="64"/>
  <c r="F78" i="64"/>
  <c r="G78" i="64"/>
  <c r="H78" i="64"/>
  <c r="I78" i="64"/>
  <c r="J78" i="64"/>
  <c r="K78" i="64"/>
  <c r="L78" i="64"/>
  <c r="M78" i="64"/>
  <c r="N78" i="64"/>
  <c r="O78" i="64"/>
  <c r="P78" i="64"/>
  <c r="Q78" i="64"/>
  <c r="R78" i="64"/>
  <c r="S78" i="64"/>
  <c r="T78" i="64"/>
  <c r="U78" i="64"/>
  <c r="V78" i="64"/>
  <c r="W78" i="64"/>
  <c r="X78" i="64"/>
  <c r="E79" i="64"/>
  <c r="F79" i="64"/>
  <c r="G79" i="64"/>
  <c r="H79" i="64"/>
  <c r="I79" i="64"/>
  <c r="J79" i="64"/>
  <c r="K79" i="64"/>
  <c r="L79" i="64"/>
  <c r="M79" i="64"/>
  <c r="N79" i="64"/>
  <c r="O79" i="64"/>
  <c r="P79" i="64"/>
  <c r="Q79" i="64"/>
  <c r="R79" i="64"/>
  <c r="S79" i="64"/>
  <c r="T79" i="64"/>
  <c r="U79" i="64"/>
  <c r="V79" i="64"/>
  <c r="W79" i="64"/>
  <c r="X79" i="64"/>
  <c r="E80" i="64"/>
  <c r="F80" i="64"/>
  <c r="G80" i="64"/>
  <c r="H80" i="64"/>
  <c r="I80" i="64"/>
  <c r="J80" i="64"/>
  <c r="K80" i="64"/>
  <c r="L80" i="64"/>
  <c r="M80" i="64"/>
  <c r="N80" i="64"/>
  <c r="O80" i="64"/>
  <c r="P80" i="64"/>
  <c r="Q80" i="64"/>
  <c r="R80" i="64"/>
  <c r="S80" i="64"/>
  <c r="T80" i="64"/>
  <c r="U80" i="64"/>
  <c r="V80" i="64"/>
  <c r="W80" i="64"/>
  <c r="X80" i="64"/>
  <c r="E81" i="64"/>
  <c r="F102" i="65" s="1"/>
  <c r="F81" i="64"/>
  <c r="G102" i="65" s="1"/>
  <c r="G81" i="64"/>
  <c r="H102" i="65" s="1"/>
  <c r="H81" i="64"/>
  <c r="I102" i="65" s="1"/>
  <c r="I81" i="64"/>
  <c r="J102" i="65" s="1"/>
  <c r="J81" i="64"/>
  <c r="K102" i="65" s="1"/>
  <c r="K81" i="64"/>
  <c r="L102" i="65" s="1"/>
  <c r="L81" i="64"/>
  <c r="M102" i="65" s="1"/>
  <c r="M81" i="64"/>
  <c r="N102" i="65" s="1"/>
  <c r="N81" i="64"/>
  <c r="O102" i="65" s="1"/>
  <c r="O81" i="64"/>
  <c r="P102" i="65" s="1"/>
  <c r="P81" i="64"/>
  <c r="Q102" i="65" s="1"/>
  <c r="Q81" i="64"/>
  <c r="R102" i="65" s="1"/>
  <c r="R81" i="64"/>
  <c r="S102" i="65" s="1"/>
  <c r="S81" i="64"/>
  <c r="T102" i="65" s="1"/>
  <c r="T81" i="64"/>
  <c r="U102" i="65" s="1"/>
  <c r="U81" i="64"/>
  <c r="V102" i="65" s="1"/>
  <c r="V81" i="64"/>
  <c r="W102" i="65" s="1"/>
  <c r="W81" i="64"/>
  <c r="X81" i="64"/>
  <c r="E82" i="64"/>
  <c r="F103" i="65" s="1"/>
  <c r="F82" i="64"/>
  <c r="G103" i="65" s="1"/>
  <c r="G82" i="64"/>
  <c r="H103" i="65" s="1"/>
  <c r="H82" i="64"/>
  <c r="I103" i="65" s="1"/>
  <c r="I82" i="64"/>
  <c r="J103" i="65" s="1"/>
  <c r="J82" i="64"/>
  <c r="K103" i="65" s="1"/>
  <c r="K82" i="64"/>
  <c r="L103" i="65" s="1"/>
  <c r="L82" i="64"/>
  <c r="M103" i="65" s="1"/>
  <c r="M82" i="64"/>
  <c r="N103" i="65" s="1"/>
  <c r="N82" i="64"/>
  <c r="O103" i="65" s="1"/>
  <c r="O82" i="64"/>
  <c r="P103" i="65" s="1"/>
  <c r="P82" i="64"/>
  <c r="Q103" i="65" s="1"/>
  <c r="Q82" i="64"/>
  <c r="R103" i="65" s="1"/>
  <c r="R82" i="64"/>
  <c r="S103" i="65" s="1"/>
  <c r="S82" i="64"/>
  <c r="T103" i="65" s="1"/>
  <c r="T82" i="64"/>
  <c r="U103" i="65" s="1"/>
  <c r="U82" i="64"/>
  <c r="V103" i="65" s="1"/>
  <c r="V82" i="64"/>
  <c r="W103" i="65" s="1"/>
  <c r="W82" i="64"/>
  <c r="X82" i="64"/>
  <c r="E83" i="64"/>
  <c r="F104" i="65" s="1"/>
  <c r="F83" i="64"/>
  <c r="G104" i="65" s="1"/>
  <c r="G83" i="64"/>
  <c r="H104" i="65" s="1"/>
  <c r="H83" i="64"/>
  <c r="I104" i="65" s="1"/>
  <c r="I83" i="64"/>
  <c r="J104" i="65" s="1"/>
  <c r="J83" i="64"/>
  <c r="K104" i="65" s="1"/>
  <c r="K83" i="64"/>
  <c r="L104" i="65" s="1"/>
  <c r="L83" i="64"/>
  <c r="M104" i="65" s="1"/>
  <c r="M83" i="64"/>
  <c r="N104" i="65" s="1"/>
  <c r="N83" i="64"/>
  <c r="O104" i="65" s="1"/>
  <c r="O83" i="64"/>
  <c r="P104" i="65" s="1"/>
  <c r="P83" i="64"/>
  <c r="Q104" i="65" s="1"/>
  <c r="Q83" i="64"/>
  <c r="R104" i="65" s="1"/>
  <c r="R83" i="64"/>
  <c r="S104" i="65" s="1"/>
  <c r="S83" i="64"/>
  <c r="T104" i="65" s="1"/>
  <c r="T83" i="64"/>
  <c r="U104" i="65" s="1"/>
  <c r="U83" i="64"/>
  <c r="V104" i="65" s="1"/>
  <c r="V83" i="64"/>
  <c r="W104" i="65" s="1"/>
  <c r="W83" i="64"/>
  <c r="X83" i="64"/>
  <c r="E84" i="64"/>
  <c r="F105" i="65" s="1"/>
  <c r="F84" i="64"/>
  <c r="G105" i="65" s="1"/>
  <c r="G84" i="64"/>
  <c r="H105" i="65" s="1"/>
  <c r="H84" i="64"/>
  <c r="I105" i="65" s="1"/>
  <c r="I84" i="64"/>
  <c r="J105" i="65" s="1"/>
  <c r="J84" i="64"/>
  <c r="K105" i="65" s="1"/>
  <c r="K84" i="64"/>
  <c r="L105" i="65" s="1"/>
  <c r="L84" i="64"/>
  <c r="M105" i="65" s="1"/>
  <c r="M84" i="64"/>
  <c r="N105" i="65" s="1"/>
  <c r="N84" i="64"/>
  <c r="O105" i="65" s="1"/>
  <c r="O84" i="64"/>
  <c r="P105" i="65" s="1"/>
  <c r="P84" i="64"/>
  <c r="Q105" i="65" s="1"/>
  <c r="Q84" i="64"/>
  <c r="R105" i="65" s="1"/>
  <c r="R84" i="64"/>
  <c r="S105" i="65" s="1"/>
  <c r="S84" i="64"/>
  <c r="T105" i="65" s="1"/>
  <c r="T84" i="64"/>
  <c r="U105" i="65" s="1"/>
  <c r="U84" i="64"/>
  <c r="V105" i="65" s="1"/>
  <c r="V84" i="64"/>
  <c r="W105" i="65" s="1"/>
  <c r="W84" i="64"/>
  <c r="X84" i="64"/>
  <c r="E85" i="64"/>
  <c r="F85" i="64"/>
  <c r="G85" i="64"/>
  <c r="H85" i="64"/>
  <c r="I85" i="64"/>
  <c r="J85" i="64"/>
  <c r="K85" i="64"/>
  <c r="L85" i="64"/>
  <c r="M85" i="64"/>
  <c r="N85" i="64"/>
  <c r="O85" i="64"/>
  <c r="P85" i="64"/>
  <c r="Q85" i="64"/>
  <c r="R85" i="64"/>
  <c r="S85" i="64"/>
  <c r="T85" i="64"/>
  <c r="U85" i="64"/>
  <c r="V85" i="64"/>
  <c r="W85" i="64"/>
  <c r="X85" i="64"/>
  <c r="E86" i="64"/>
  <c r="F86" i="64"/>
  <c r="G86" i="64"/>
  <c r="H86" i="64"/>
  <c r="I86" i="64"/>
  <c r="J86" i="64"/>
  <c r="K86" i="64"/>
  <c r="L86" i="64"/>
  <c r="M86" i="64"/>
  <c r="N86" i="64"/>
  <c r="O86" i="64"/>
  <c r="P86" i="64"/>
  <c r="Q86" i="64"/>
  <c r="R86" i="64"/>
  <c r="S86" i="64"/>
  <c r="T86" i="64"/>
  <c r="U86" i="64"/>
  <c r="V86" i="64"/>
  <c r="W86" i="64"/>
  <c r="X86" i="64"/>
  <c r="E87" i="64"/>
  <c r="F87" i="64"/>
  <c r="G87" i="64"/>
  <c r="H87" i="64"/>
  <c r="I87" i="64"/>
  <c r="J87" i="64"/>
  <c r="K87" i="64"/>
  <c r="L87" i="64"/>
  <c r="M87" i="64"/>
  <c r="N87" i="64"/>
  <c r="O87" i="64"/>
  <c r="P87" i="64"/>
  <c r="Q87" i="64"/>
  <c r="R87" i="64"/>
  <c r="S87" i="64"/>
  <c r="T87" i="64"/>
  <c r="U87" i="64"/>
  <c r="V87" i="64"/>
  <c r="W87" i="64"/>
  <c r="X87" i="64"/>
  <c r="E88" i="64"/>
  <c r="F88" i="64"/>
  <c r="G88" i="64"/>
  <c r="H109" i="65" s="1"/>
  <c r="H88" i="64"/>
  <c r="I88" i="64"/>
  <c r="J88" i="64"/>
  <c r="K88" i="64"/>
  <c r="L88" i="64"/>
  <c r="M88" i="64"/>
  <c r="N88" i="64"/>
  <c r="O88" i="64"/>
  <c r="P88" i="64"/>
  <c r="Q88" i="64"/>
  <c r="R88" i="64"/>
  <c r="S88" i="64"/>
  <c r="T88" i="64"/>
  <c r="U88" i="64"/>
  <c r="V88" i="64"/>
  <c r="W88" i="64"/>
  <c r="X88" i="64"/>
  <c r="E89" i="64"/>
  <c r="F89" i="64"/>
  <c r="G89" i="64"/>
  <c r="H89" i="64"/>
  <c r="I89" i="64"/>
  <c r="J89" i="64"/>
  <c r="K89" i="64"/>
  <c r="L89" i="64"/>
  <c r="M89" i="64"/>
  <c r="N89" i="64"/>
  <c r="O89" i="64"/>
  <c r="P89" i="64"/>
  <c r="Q89" i="64"/>
  <c r="R89" i="64"/>
  <c r="S89" i="64"/>
  <c r="T89" i="64"/>
  <c r="U89" i="64"/>
  <c r="V89" i="64"/>
  <c r="W89" i="64"/>
  <c r="X89" i="64"/>
  <c r="D66" i="64"/>
  <c r="D67" i="64"/>
  <c r="D68" i="64"/>
  <c r="D69" i="64"/>
  <c r="D70" i="64"/>
  <c r="D71" i="64"/>
  <c r="D72" i="64"/>
  <c r="D73" i="64"/>
  <c r="D74" i="64"/>
  <c r="D75" i="64"/>
  <c r="D76" i="64"/>
  <c r="D77" i="64"/>
  <c r="D78" i="64"/>
  <c r="D79" i="64"/>
  <c r="D80" i="64"/>
  <c r="D81" i="64"/>
  <c r="E102" i="65" s="1"/>
  <c r="D82" i="64"/>
  <c r="E103" i="65" s="1"/>
  <c r="D83" i="64"/>
  <c r="E104" i="65" s="1"/>
  <c r="D84" i="64"/>
  <c r="E105" i="65" s="1"/>
  <c r="D85" i="64"/>
  <c r="D86" i="64"/>
  <c r="D87" i="64"/>
  <c r="D88" i="64"/>
  <c r="D89" i="64"/>
  <c r="D65" i="64"/>
  <c r="E49" i="64"/>
  <c r="F49" i="64"/>
  <c r="G49" i="64"/>
  <c r="H49" i="64"/>
  <c r="I49" i="64"/>
  <c r="J49" i="64"/>
  <c r="K49" i="64"/>
  <c r="L49" i="64"/>
  <c r="M49" i="64"/>
  <c r="N49" i="64"/>
  <c r="O49" i="64"/>
  <c r="P49" i="64"/>
  <c r="Q49" i="64"/>
  <c r="R49" i="64"/>
  <c r="S49" i="64"/>
  <c r="T49" i="64"/>
  <c r="U49" i="64"/>
  <c r="V49" i="64"/>
  <c r="W49" i="64"/>
  <c r="E50" i="64"/>
  <c r="F50" i="64"/>
  <c r="G50" i="64"/>
  <c r="H50" i="64"/>
  <c r="I50" i="64"/>
  <c r="J50" i="64"/>
  <c r="K50" i="64"/>
  <c r="L50" i="64"/>
  <c r="M50" i="64"/>
  <c r="N50" i="64"/>
  <c r="O50" i="64"/>
  <c r="P50" i="64"/>
  <c r="Q50" i="64"/>
  <c r="R50" i="64"/>
  <c r="S50" i="64"/>
  <c r="T50" i="64"/>
  <c r="U50" i="64"/>
  <c r="V50" i="64"/>
  <c r="W50" i="64"/>
  <c r="E51" i="64"/>
  <c r="F51" i="64"/>
  <c r="G51" i="64"/>
  <c r="H51" i="64"/>
  <c r="I51" i="64"/>
  <c r="J51" i="64"/>
  <c r="K51" i="64"/>
  <c r="L51" i="64"/>
  <c r="M51" i="64"/>
  <c r="N51" i="64"/>
  <c r="O51" i="64"/>
  <c r="P51" i="64"/>
  <c r="Q51" i="64"/>
  <c r="R51" i="64"/>
  <c r="S51" i="64"/>
  <c r="T51" i="64"/>
  <c r="U51" i="64"/>
  <c r="V51" i="64"/>
  <c r="W51" i="64"/>
  <c r="E52" i="64"/>
  <c r="F52" i="64"/>
  <c r="G52" i="64"/>
  <c r="H52" i="64"/>
  <c r="I52" i="64"/>
  <c r="J52" i="64"/>
  <c r="K52" i="64"/>
  <c r="L52" i="64"/>
  <c r="M52" i="64"/>
  <c r="N52" i="64"/>
  <c r="O52" i="64"/>
  <c r="P52" i="64"/>
  <c r="Q52" i="64"/>
  <c r="R52" i="64"/>
  <c r="S52" i="64"/>
  <c r="T52" i="64"/>
  <c r="U52" i="64"/>
  <c r="V52" i="64"/>
  <c r="W52" i="64"/>
  <c r="E53" i="64"/>
  <c r="F53" i="64"/>
  <c r="G53" i="64"/>
  <c r="H53" i="64"/>
  <c r="I53" i="64"/>
  <c r="J53" i="64"/>
  <c r="K53" i="64"/>
  <c r="L53" i="64"/>
  <c r="M53" i="64"/>
  <c r="N53" i="64"/>
  <c r="O53" i="64"/>
  <c r="P53" i="64"/>
  <c r="Q53" i="64"/>
  <c r="R53" i="64"/>
  <c r="S53" i="64"/>
  <c r="T53" i="64"/>
  <c r="U53" i="64"/>
  <c r="V53" i="64"/>
  <c r="W53" i="64"/>
  <c r="E55" i="64"/>
  <c r="F55" i="64"/>
  <c r="G55" i="64"/>
  <c r="H55" i="64"/>
  <c r="I55" i="64"/>
  <c r="J55" i="64"/>
  <c r="K55" i="64"/>
  <c r="L55" i="64"/>
  <c r="M55" i="64"/>
  <c r="N55" i="64"/>
  <c r="O55" i="64"/>
  <c r="P55" i="64"/>
  <c r="Q55" i="64"/>
  <c r="R55" i="64"/>
  <c r="S55" i="64"/>
  <c r="T55" i="64"/>
  <c r="U55" i="64"/>
  <c r="V55" i="64"/>
  <c r="W55" i="64"/>
  <c r="E56" i="64"/>
  <c r="F56" i="64"/>
  <c r="G56" i="64"/>
  <c r="H56" i="64"/>
  <c r="I56" i="64"/>
  <c r="J56" i="64"/>
  <c r="K56" i="64"/>
  <c r="L56" i="64"/>
  <c r="M56" i="64"/>
  <c r="N56" i="64"/>
  <c r="O56" i="64"/>
  <c r="P56" i="64"/>
  <c r="Q56" i="64"/>
  <c r="R56" i="64"/>
  <c r="S56" i="64"/>
  <c r="T56" i="64"/>
  <c r="U56" i="64"/>
  <c r="V56" i="64"/>
  <c r="W56" i="64"/>
  <c r="E57" i="64"/>
  <c r="F57" i="64"/>
  <c r="G57" i="64"/>
  <c r="H57" i="64"/>
  <c r="I57" i="64"/>
  <c r="J57" i="64"/>
  <c r="K57" i="64"/>
  <c r="L57" i="64"/>
  <c r="M57" i="64"/>
  <c r="N57" i="64"/>
  <c r="O57" i="64"/>
  <c r="P57" i="64"/>
  <c r="Q57" i="64"/>
  <c r="R57" i="64"/>
  <c r="S57" i="64"/>
  <c r="T57" i="64"/>
  <c r="U57" i="64"/>
  <c r="V57" i="64"/>
  <c r="W57" i="64"/>
  <c r="E58" i="64"/>
  <c r="F58" i="64"/>
  <c r="G58" i="64"/>
  <c r="H58" i="64"/>
  <c r="I58" i="64"/>
  <c r="J58" i="64"/>
  <c r="K58" i="64"/>
  <c r="L58" i="64"/>
  <c r="M58" i="64"/>
  <c r="N58" i="64"/>
  <c r="O58" i="64"/>
  <c r="P58" i="64"/>
  <c r="Q58" i="64"/>
  <c r="R58" i="64"/>
  <c r="S58" i="64"/>
  <c r="T58" i="64"/>
  <c r="U58" i="64"/>
  <c r="V58" i="64"/>
  <c r="W58" i="64"/>
  <c r="E59" i="64"/>
  <c r="F59" i="64"/>
  <c r="G59" i="64"/>
  <c r="H59" i="64"/>
  <c r="I59" i="64"/>
  <c r="J59" i="64"/>
  <c r="K59" i="64"/>
  <c r="L59" i="64"/>
  <c r="M59" i="64"/>
  <c r="N59" i="64"/>
  <c r="O59" i="64"/>
  <c r="P59" i="64"/>
  <c r="Q59" i="64"/>
  <c r="R59" i="64"/>
  <c r="S59" i="64"/>
  <c r="T59" i="64"/>
  <c r="U59" i="64"/>
  <c r="V59" i="64"/>
  <c r="W59" i="64"/>
  <c r="D49" i="64"/>
  <c r="D50" i="64"/>
  <c r="D51" i="64"/>
  <c r="D52" i="64"/>
  <c r="D53" i="64"/>
  <c r="D55" i="64"/>
  <c r="D56" i="64"/>
  <c r="D57" i="64"/>
  <c r="D58" i="64"/>
  <c r="D59" i="64"/>
  <c r="D44" i="64"/>
  <c r="E44" i="64"/>
  <c r="F44" i="64"/>
  <c r="G44" i="64"/>
  <c r="H44" i="64"/>
  <c r="I44" i="64"/>
  <c r="J44" i="64"/>
  <c r="K44" i="64"/>
  <c r="L44" i="64"/>
  <c r="M44" i="64"/>
  <c r="N44" i="64"/>
  <c r="D35" i="64"/>
  <c r="E35" i="64"/>
  <c r="F145" i="65" s="1"/>
  <c r="F35" i="64"/>
  <c r="G145" i="65" s="1"/>
  <c r="G35" i="64"/>
  <c r="H145" i="65" s="1"/>
  <c r="H35" i="64"/>
  <c r="I145" i="65" s="1"/>
  <c r="I35" i="64"/>
  <c r="J145" i="65" s="1"/>
  <c r="J35" i="64"/>
  <c r="K145" i="65" s="1"/>
  <c r="K35" i="64"/>
  <c r="L145" i="65" s="1"/>
  <c r="L35" i="64"/>
  <c r="M145" i="65" s="1"/>
  <c r="M35" i="64"/>
  <c r="N145" i="65" s="1"/>
  <c r="N35" i="64"/>
  <c r="O145" i="65" s="1"/>
  <c r="D36" i="64"/>
  <c r="E36" i="64"/>
  <c r="F36" i="64"/>
  <c r="G36" i="64"/>
  <c r="H36" i="64"/>
  <c r="I36" i="64"/>
  <c r="J36" i="64"/>
  <c r="K36" i="64"/>
  <c r="L36" i="64"/>
  <c r="M36" i="64"/>
  <c r="N36" i="64"/>
  <c r="D37" i="64"/>
  <c r="E37" i="64"/>
  <c r="F37" i="64"/>
  <c r="G37" i="64"/>
  <c r="H37" i="64"/>
  <c r="I37" i="64"/>
  <c r="J37" i="64"/>
  <c r="K37" i="64"/>
  <c r="L37" i="64"/>
  <c r="M37" i="64"/>
  <c r="N37" i="64"/>
  <c r="D38" i="64"/>
  <c r="E59" i="65" s="1"/>
  <c r="E38" i="64"/>
  <c r="F38" i="64"/>
  <c r="G38" i="64"/>
  <c r="H38" i="64"/>
  <c r="I38" i="64"/>
  <c r="J38" i="64"/>
  <c r="K38" i="64"/>
  <c r="L38" i="64"/>
  <c r="M38" i="64"/>
  <c r="N38" i="64"/>
  <c r="D39" i="64"/>
  <c r="E39" i="64"/>
  <c r="F39" i="64"/>
  <c r="G39" i="64"/>
  <c r="H39" i="64"/>
  <c r="I39" i="64"/>
  <c r="J39" i="64"/>
  <c r="K39" i="64"/>
  <c r="L39" i="64"/>
  <c r="M39" i="64"/>
  <c r="N39" i="64"/>
  <c r="D40" i="64"/>
  <c r="E40" i="64"/>
  <c r="F40" i="64"/>
  <c r="G40" i="64"/>
  <c r="H40" i="64"/>
  <c r="I40" i="64"/>
  <c r="J40" i="64"/>
  <c r="K40" i="64"/>
  <c r="L40" i="64"/>
  <c r="M40" i="64"/>
  <c r="N40" i="64"/>
  <c r="D41" i="64"/>
  <c r="E41" i="64"/>
  <c r="F41" i="64"/>
  <c r="G41" i="64"/>
  <c r="H41" i="64"/>
  <c r="I41" i="64"/>
  <c r="J41" i="64"/>
  <c r="K41" i="64"/>
  <c r="L41" i="64"/>
  <c r="M41" i="64"/>
  <c r="N41" i="64"/>
  <c r="D42" i="64"/>
  <c r="E42" i="64"/>
  <c r="F42" i="64"/>
  <c r="G42" i="64"/>
  <c r="H42" i="64"/>
  <c r="I42" i="64"/>
  <c r="J42" i="64"/>
  <c r="K42" i="64"/>
  <c r="L42" i="64"/>
  <c r="M42" i="64"/>
  <c r="N42" i="64"/>
  <c r="D43" i="64"/>
  <c r="E43" i="64"/>
  <c r="F43" i="64"/>
  <c r="G43" i="64"/>
  <c r="H43" i="64"/>
  <c r="I43" i="64"/>
  <c r="J43" i="64"/>
  <c r="K43" i="64"/>
  <c r="L43" i="64"/>
  <c r="M43" i="64"/>
  <c r="N43" i="64"/>
  <c r="E34" i="64"/>
  <c r="F34" i="64"/>
  <c r="G34" i="64"/>
  <c r="H34" i="64"/>
  <c r="I34" i="64"/>
  <c r="J34" i="64"/>
  <c r="K34" i="64"/>
  <c r="L34" i="64"/>
  <c r="M34" i="64"/>
  <c r="N34" i="64"/>
  <c r="D34" i="64"/>
  <c r="M111" i="65"/>
  <c r="N111" i="65"/>
  <c r="O111" i="65"/>
  <c r="P111" i="65"/>
  <c r="Q111" i="65"/>
  <c r="R111" i="65"/>
  <c r="S111" i="65"/>
  <c r="T111" i="65"/>
  <c r="D4" i="64" a="1"/>
  <c r="B5" i="74"/>
  <c r="B243" i="64" l="1"/>
  <c r="B244" i="64"/>
  <c r="E11" i="21"/>
  <c r="D11" i="21" s="1"/>
  <c r="E81" i="75" a="1"/>
  <c r="E139" i="75" a="1"/>
  <c r="E139" i="75" s="1"/>
  <c r="D7" i="74" a="1"/>
  <c r="D7" i="74" s="1"/>
  <c r="Q4" i="47"/>
  <c r="E34" i="74" a="1"/>
  <c r="E92" i="74" a="1"/>
  <c r="E92" i="74" s="1"/>
  <c r="D14" i="75" a="1"/>
  <c r="D14" i="75" s="1"/>
  <c r="D49" i="75" a="1"/>
  <c r="D49" i="75" s="1"/>
  <c r="D15" i="75" a="1"/>
  <c r="D15" i="75" s="1"/>
  <c r="D32" i="75" a="1"/>
  <c r="D32" i="75" s="1"/>
  <c r="B10" i="15" a="1"/>
  <c r="D4" i="64"/>
  <c r="F59" i="65"/>
  <c r="E21" i="64"/>
  <c r="U111" i="65"/>
  <c r="V111" i="65"/>
  <c r="W111" i="65"/>
  <c r="E212" i="75" l="1"/>
  <c r="B64" i="75"/>
  <c r="B79" i="64" s="1"/>
  <c r="E81" i="75"/>
  <c r="E177" i="75" s="1" a="1"/>
  <c r="E177" i="75" s="1"/>
  <c r="H25" i="74"/>
  <c r="I24" i="74"/>
  <c r="I27" i="74"/>
  <c r="I25" i="74"/>
  <c r="I28" i="74"/>
  <c r="H24" i="74"/>
  <c r="H27" i="74"/>
  <c r="I26" i="74"/>
  <c r="H28" i="74"/>
  <c r="H26" i="74"/>
  <c r="E34" i="74"/>
  <c r="B10" i="15"/>
  <c r="B11" i="15" s="1" a="1"/>
  <c r="B11" i="15" s="1"/>
  <c r="D21" i="64"/>
  <c r="E64" i="65" s="1"/>
  <c r="E4" i="17" a="1"/>
  <c r="D157" i="17" a="1"/>
  <c r="D157" i="17" s="1"/>
  <c r="D103" i="17" a="1"/>
  <c r="D33" i="17" a="1"/>
  <c r="D33" i="17" s="1"/>
  <c r="E8" i="17" l="1" a="1"/>
  <c r="E8" i="17" s="1"/>
  <c r="E144" i="75" a="1"/>
  <c r="E144" i="75" s="1"/>
  <c r="E169" i="75" a="1"/>
  <c r="E169" i="75" s="1"/>
  <c r="E82" i="75" a="1"/>
  <c r="E82" i="75" s="1"/>
  <c r="E155" i="75" a="1"/>
  <c r="E155" i="75" s="1"/>
  <c r="E94" i="75" a="1"/>
  <c r="E94" i="75" s="1"/>
  <c r="E113" i="75" a="1"/>
  <c r="E113" i="75" s="1"/>
  <c r="E118" i="75" a="1"/>
  <c r="E118" i="75" s="1"/>
  <c r="E171" i="75" a="1"/>
  <c r="E171" i="75" s="1"/>
  <c r="E115" i="75" a="1"/>
  <c r="E115" i="75" s="1"/>
  <c r="E162" i="75" a="1"/>
  <c r="E162" i="75" s="1"/>
  <c r="E131" i="75" a="1"/>
  <c r="E131" i="75" s="1"/>
  <c r="E140" i="75" a="1"/>
  <c r="E140" i="75" s="1"/>
  <c r="E130" i="74" a="1"/>
  <c r="E130" i="74" s="1"/>
  <c r="G17" i="74"/>
  <c r="E115" i="74" a="1"/>
  <c r="E115" i="74" s="1"/>
  <c r="E108" i="74" a="1"/>
  <c r="E108" i="74" s="1"/>
  <c r="E124" i="74" a="1"/>
  <c r="E124" i="74" s="1"/>
  <c r="E84" i="74" a="1"/>
  <c r="E84" i="74" s="1"/>
  <c r="E66" i="74" a="1"/>
  <c r="E66" i="74" s="1"/>
  <c r="D103" i="17"/>
  <c r="D158" i="17" s="1" a="1"/>
  <c r="D158" i="17" s="1"/>
  <c r="H19" i="74"/>
  <c r="I22" i="74"/>
  <c r="I23" i="74"/>
  <c r="I20" i="74"/>
  <c r="H21" i="74"/>
  <c r="I19" i="74"/>
  <c r="H20" i="74"/>
  <c r="H22" i="74"/>
  <c r="H23" i="74"/>
  <c r="H17" i="74"/>
  <c r="I17" i="74"/>
  <c r="I21" i="74"/>
  <c r="E122" i="74" a="1"/>
  <c r="E122" i="74" s="1"/>
  <c r="E68" i="74" a="1"/>
  <c r="E68" i="74" s="1"/>
  <c r="E35" i="74" a="1"/>
  <c r="E35" i="74" s="1"/>
  <c r="F23" i="74"/>
  <c r="F21" i="64" s="1"/>
  <c r="G23" i="74"/>
  <c r="G21" i="64" s="1"/>
  <c r="E93" i="74" a="1"/>
  <c r="E93" i="74" s="1"/>
  <c r="E97" i="74" a="1"/>
  <c r="E97" i="74" s="1"/>
  <c r="E71" i="74" a="1"/>
  <c r="E71" i="74" s="1"/>
  <c r="E47" i="74" a="1"/>
  <c r="E47" i="74" s="1"/>
  <c r="E4" i="17"/>
  <c r="E5" i="17" s="1" a="1"/>
  <c r="E5" i="17" s="1"/>
  <c r="F160" i="17"/>
  <c r="F106" i="17" s="1"/>
  <c r="G160" i="17"/>
  <c r="G106" i="17" s="1"/>
  <c r="H160" i="17"/>
  <c r="H106" i="17" s="1"/>
  <c r="I160" i="17"/>
  <c r="I106" i="17" s="1"/>
  <c r="J160" i="17"/>
  <c r="J106" i="17" s="1"/>
  <c r="K160" i="17"/>
  <c r="K106" i="17" s="1"/>
  <c r="F161" i="17"/>
  <c r="F107" i="17" s="1"/>
  <c r="G161" i="17"/>
  <c r="G107" i="17" s="1"/>
  <c r="H161" i="17"/>
  <c r="H107" i="17" s="1"/>
  <c r="I161" i="17"/>
  <c r="I107" i="17" s="1"/>
  <c r="J161" i="17"/>
  <c r="J107" i="17" s="1"/>
  <c r="K161" i="17"/>
  <c r="K107" i="17" s="1"/>
  <c r="F162" i="17"/>
  <c r="F108" i="17" s="1"/>
  <c r="G162" i="17"/>
  <c r="G108" i="17" s="1"/>
  <c r="H162" i="17"/>
  <c r="H108" i="17" s="1"/>
  <c r="I162" i="17"/>
  <c r="I108" i="17" s="1"/>
  <c r="J162" i="17"/>
  <c r="J108" i="17" s="1"/>
  <c r="K162" i="17"/>
  <c r="K108" i="17" s="1"/>
  <c r="F163" i="17"/>
  <c r="F109" i="17" s="1"/>
  <c r="G163" i="17"/>
  <c r="G109" i="17" s="1"/>
  <c r="H163" i="17"/>
  <c r="H109" i="17" s="1"/>
  <c r="I163" i="17"/>
  <c r="I109" i="17" s="1"/>
  <c r="J163" i="17"/>
  <c r="J109" i="17" s="1"/>
  <c r="K163" i="17"/>
  <c r="K109" i="17" s="1"/>
  <c r="F164" i="17"/>
  <c r="F110" i="17" s="1"/>
  <c r="G164" i="17"/>
  <c r="G110" i="17" s="1"/>
  <c r="H164" i="17"/>
  <c r="H110" i="17" s="1"/>
  <c r="I164" i="17"/>
  <c r="I110" i="17" s="1"/>
  <c r="J164" i="17"/>
  <c r="J110" i="17" s="1"/>
  <c r="K164" i="17"/>
  <c r="K110" i="17" s="1"/>
  <c r="F165" i="17"/>
  <c r="F111" i="17" s="1"/>
  <c r="G165" i="17"/>
  <c r="G111" i="17" s="1"/>
  <c r="H165" i="17"/>
  <c r="H111" i="17" s="1"/>
  <c r="I165" i="17"/>
  <c r="I111" i="17" s="1"/>
  <c r="J165" i="17"/>
  <c r="J111" i="17" s="1"/>
  <c r="K165" i="17"/>
  <c r="K111" i="17" s="1"/>
  <c r="G167" i="17"/>
  <c r="G113" i="17" s="1"/>
  <c r="H167" i="17"/>
  <c r="H113" i="17" s="1"/>
  <c r="I167" i="17"/>
  <c r="I113" i="17" s="1"/>
  <c r="J167" i="17"/>
  <c r="J113" i="17" s="1"/>
  <c r="K167" i="17"/>
  <c r="K113" i="17" s="1"/>
  <c r="F173" i="17"/>
  <c r="F118" i="17" s="1"/>
  <c r="G173" i="17"/>
  <c r="G118" i="17" s="1"/>
  <c r="H173" i="17"/>
  <c r="H118" i="17" s="1"/>
  <c r="I173" i="17"/>
  <c r="I118" i="17" s="1"/>
  <c r="J173" i="17"/>
  <c r="J118" i="17" s="1"/>
  <c r="K173" i="17"/>
  <c r="K118" i="17" s="1"/>
  <c r="F174" i="17"/>
  <c r="F119" i="17" s="1"/>
  <c r="G174" i="17"/>
  <c r="G119" i="17" s="1"/>
  <c r="H174" i="17"/>
  <c r="H119" i="17" s="1"/>
  <c r="I174" i="17"/>
  <c r="I119" i="17" s="1"/>
  <c r="J174" i="17"/>
  <c r="J119" i="17" s="1"/>
  <c r="K174" i="17"/>
  <c r="K119" i="17" s="1"/>
  <c r="F175" i="17"/>
  <c r="F120" i="17" s="1"/>
  <c r="G175" i="17"/>
  <c r="G120" i="17" s="1"/>
  <c r="H175" i="17"/>
  <c r="H120" i="17" s="1"/>
  <c r="I175" i="17"/>
  <c r="I120" i="17" s="1"/>
  <c r="J175" i="17"/>
  <c r="K175" i="17"/>
  <c r="K120" i="17" s="1"/>
  <c r="F176" i="17"/>
  <c r="F121" i="17" s="1"/>
  <c r="G176" i="17"/>
  <c r="G121" i="17" s="1"/>
  <c r="H176" i="17"/>
  <c r="H121" i="17" s="1"/>
  <c r="I176" i="17"/>
  <c r="I121" i="17" s="1"/>
  <c r="J176" i="17"/>
  <c r="J121" i="17" s="1"/>
  <c r="K176" i="17"/>
  <c r="K121" i="17" s="1"/>
  <c r="F177" i="17"/>
  <c r="F122" i="17" s="1"/>
  <c r="G177" i="17"/>
  <c r="G122" i="17" s="1"/>
  <c r="H177" i="17"/>
  <c r="H122" i="17" s="1"/>
  <c r="I177" i="17"/>
  <c r="I122" i="17" s="1"/>
  <c r="J177" i="17"/>
  <c r="J122" i="17" s="1"/>
  <c r="K177" i="17"/>
  <c r="K122" i="17" s="1"/>
  <c r="F178" i="17"/>
  <c r="F123" i="17" s="1"/>
  <c r="G178" i="17"/>
  <c r="G123" i="17" s="1"/>
  <c r="H178" i="17"/>
  <c r="H123" i="17" s="1"/>
  <c r="I178" i="17"/>
  <c r="I123" i="17" s="1"/>
  <c r="J178" i="17"/>
  <c r="J123" i="17" s="1"/>
  <c r="K178" i="17"/>
  <c r="K123" i="17" s="1"/>
  <c r="F179" i="17"/>
  <c r="F124" i="17" s="1"/>
  <c r="G179" i="17"/>
  <c r="G124" i="17" s="1"/>
  <c r="H179" i="17"/>
  <c r="H124" i="17" s="1"/>
  <c r="I179" i="17"/>
  <c r="I124" i="17" s="1"/>
  <c r="J179" i="17"/>
  <c r="J124" i="17" s="1"/>
  <c r="K179" i="17"/>
  <c r="K124" i="17" s="1"/>
  <c r="F180" i="17"/>
  <c r="F125" i="17" s="1"/>
  <c r="G180" i="17"/>
  <c r="G125" i="17" s="1"/>
  <c r="H180" i="17"/>
  <c r="H125" i="17" s="1"/>
  <c r="I180" i="17"/>
  <c r="I125" i="17" s="1"/>
  <c r="J180" i="17"/>
  <c r="J125" i="17" s="1"/>
  <c r="K180" i="17"/>
  <c r="K125" i="17" s="1"/>
  <c r="F182" i="17"/>
  <c r="F127" i="17" s="1"/>
  <c r="G182" i="17"/>
  <c r="G127" i="17" s="1"/>
  <c r="H182" i="17"/>
  <c r="H127" i="17" s="1"/>
  <c r="I182" i="17"/>
  <c r="I127" i="17" s="1"/>
  <c r="J182" i="17"/>
  <c r="J127" i="17" s="1"/>
  <c r="K182" i="17"/>
  <c r="K127" i="17" s="1"/>
  <c r="F183" i="17"/>
  <c r="F128" i="17" s="1"/>
  <c r="G183" i="17"/>
  <c r="G128" i="17" s="1"/>
  <c r="H183" i="17"/>
  <c r="H128" i="17" s="1"/>
  <c r="I183" i="17"/>
  <c r="I128" i="17" s="1"/>
  <c r="J183" i="17"/>
  <c r="J128" i="17" s="1"/>
  <c r="K183" i="17"/>
  <c r="K128" i="17" s="1"/>
  <c r="F134" i="17"/>
  <c r="G134" i="17"/>
  <c r="H134" i="17"/>
  <c r="I134" i="17"/>
  <c r="J134" i="17"/>
  <c r="K134" i="17"/>
  <c r="F200" i="17"/>
  <c r="F145" i="17" s="1"/>
  <c r="G200" i="17"/>
  <c r="G145" i="17" s="1"/>
  <c r="H200" i="17"/>
  <c r="H145" i="17" s="1"/>
  <c r="I200" i="17"/>
  <c r="I145" i="17" s="1"/>
  <c r="J200" i="17"/>
  <c r="J145" i="17" s="1"/>
  <c r="K200" i="17"/>
  <c r="E9" i="17" l="1" a="1"/>
  <c r="E9" i="17" s="1"/>
  <c r="E11" i="17" a="1"/>
  <c r="E11" i="17" s="1"/>
  <c r="D104" i="17" a="1"/>
  <c r="D104" i="17" s="1"/>
  <c r="K145" i="17"/>
  <c r="L201" i="17"/>
  <c r="J205" i="17"/>
  <c r="J150" i="17" s="1"/>
  <c r="J120" i="17"/>
  <c r="E25" i="17" a="1"/>
  <c r="E22" i="17" a="1"/>
  <c r="E24" i="17" a="1"/>
  <c r="E23" i="17" a="1"/>
  <c r="E26" i="17" a="1"/>
  <c r="J185" i="17"/>
  <c r="H185" i="17"/>
  <c r="I185" i="17"/>
  <c r="G185" i="17"/>
  <c r="K201" i="17"/>
  <c r="K146" i="17" s="1"/>
  <c r="K205" i="17"/>
  <c r="K150" i="17" s="1"/>
  <c r="I205" i="17"/>
  <c r="I150" i="17" s="1"/>
  <c r="H205" i="17"/>
  <c r="H150" i="17" s="1"/>
  <c r="E19" i="17" a="1"/>
  <c r="E18" i="17" a="1"/>
  <c r="E27" i="17" a="1"/>
  <c r="E10" i="17" a="1"/>
  <c r="J166" i="17"/>
  <c r="J112" i="17" s="1"/>
  <c r="I166" i="17"/>
  <c r="H166" i="17"/>
  <c r="H112" i="17" s="1"/>
  <c r="G201" i="17"/>
  <c r="G146" i="17" s="1"/>
  <c r="H201" i="17"/>
  <c r="H146" i="17" s="1"/>
  <c r="I201" i="17"/>
  <c r="I146" i="17" s="1"/>
  <c r="J201" i="17"/>
  <c r="J146" i="17" s="1"/>
  <c r="K166" i="17"/>
  <c r="K112" i="17" s="1"/>
  <c r="K184" i="17"/>
  <c r="K129" i="17" s="1"/>
  <c r="K131" i="17" s="1"/>
  <c r="K135" i="17" s="1"/>
  <c r="G166" i="17"/>
  <c r="G112" i="17" s="1"/>
  <c r="F166" i="17"/>
  <c r="F112" i="17" s="1"/>
  <c r="J184" i="17"/>
  <c r="J129" i="17" s="1"/>
  <c r="J131" i="17" s="1"/>
  <c r="J135" i="17" s="1"/>
  <c r="G184" i="17"/>
  <c r="G129" i="17" s="1"/>
  <c r="G131" i="17" s="1"/>
  <c r="G135" i="17" s="1"/>
  <c r="I184" i="17"/>
  <c r="I129" i="17" s="1"/>
  <c r="I131" i="17" s="1"/>
  <c r="I135" i="17" s="1"/>
  <c r="F184" i="17"/>
  <c r="F129" i="17" s="1"/>
  <c r="F131" i="17" s="1"/>
  <c r="F135" i="17" s="1"/>
  <c r="H184" i="17"/>
  <c r="H129" i="17" s="1"/>
  <c r="H131" i="17" s="1"/>
  <c r="H135" i="17" s="1"/>
  <c r="G205" i="17"/>
  <c r="G150" i="17" s="1"/>
  <c r="F205" i="17"/>
  <c r="F150" i="17" s="1"/>
  <c r="L146" i="17" l="1"/>
  <c r="L208" i="17"/>
  <c r="L153" i="17" s="1"/>
  <c r="I168" i="17"/>
  <c r="I114" i="17" s="1"/>
  <c r="I112" i="17"/>
  <c r="E24" i="17"/>
  <c r="D26" i="74" s="1"/>
  <c r="G26" i="74"/>
  <c r="G24" i="64" s="1"/>
  <c r="D11" i="74"/>
  <c r="G20" i="74"/>
  <c r="G18" i="64" s="1"/>
  <c r="G21" i="74"/>
  <c r="G19" i="64" s="1"/>
  <c r="F28" i="74"/>
  <c r="F26" i="64" s="1"/>
  <c r="G28" i="74"/>
  <c r="G26" i="64" s="1"/>
  <c r="E23" i="17"/>
  <c r="D25" i="74" s="1"/>
  <c r="G25" i="74"/>
  <c r="G23" i="64" s="1"/>
  <c r="E22" i="17"/>
  <c r="D24" i="74" s="1"/>
  <c r="G24" i="74"/>
  <c r="G22" i="64" s="1"/>
  <c r="E25" i="17"/>
  <c r="D27" i="74" s="1"/>
  <c r="G27" i="74"/>
  <c r="G25" i="64" s="1"/>
  <c r="E27" i="74"/>
  <c r="E25" i="64" s="1"/>
  <c r="F27" i="74"/>
  <c r="F25" i="64" s="1"/>
  <c r="E26" i="17"/>
  <c r="E28" i="74"/>
  <c r="E26" i="64"/>
  <c r="E25" i="74"/>
  <c r="E23" i="64" s="1"/>
  <c r="F25" i="74"/>
  <c r="F23" i="64" s="1"/>
  <c r="E21" i="74"/>
  <c r="F21" i="74"/>
  <c r="F19" i="64" s="1"/>
  <c r="E24" i="74"/>
  <c r="F24" i="74"/>
  <c r="F22" i="64" s="1"/>
  <c r="E26" i="74"/>
  <c r="E24" i="64" s="1"/>
  <c r="F26" i="74"/>
  <c r="F24" i="64" s="1"/>
  <c r="E20" i="74"/>
  <c r="F20" i="74"/>
  <c r="F18" i="64" s="1"/>
  <c r="E27" i="17"/>
  <c r="D29" i="74" s="1"/>
  <c r="E29" i="74" s="1"/>
  <c r="D16" i="74"/>
  <c r="E10" i="17"/>
  <c r="D12" i="74" s="1"/>
  <c r="E19" i="17"/>
  <c r="D21" i="74" s="1"/>
  <c r="D10" i="74"/>
  <c r="D15" i="74"/>
  <c r="E18" i="17"/>
  <c r="D20" i="74" s="1"/>
  <c r="J168" i="17"/>
  <c r="J114" i="17" s="1"/>
  <c r="H168" i="17"/>
  <c r="H114" i="17" s="1"/>
  <c r="J194" i="17"/>
  <c r="J139" i="17" s="1"/>
  <c r="E22" i="64"/>
  <c r="H194" i="17"/>
  <c r="H139" i="17" s="1"/>
  <c r="H186" i="17"/>
  <c r="H190" i="17" s="1"/>
  <c r="K186" i="17"/>
  <c r="K190" i="17" s="1"/>
  <c r="G186" i="17"/>
  <c r="G190" i="17" s="1"/>
  <c r="J186" i="17"/>
  <c r="J190" i="17" s="1"/>
  <c r="K168" i="17"/>
  <c r="K114" i="17" s="1"/>
  <c r="K194" i="17"/>
  <c r="K139" i="17" s="1"/>
  <c r="F186" i="17"/>
  <c r="F190" i="17" s="1"/>
  <c r="F194" i="17"/>
  <c r="F139" i="17" s="1"/>
  <c r="F168" i="17"/>
  <c r="F114" i="17" s="1"/>
  <c r="I186" i="17"/>
  <c r="I190" i="17" s="1"/>
  <c r="I194" i="17"/>
  <c r="I139" i="17" s="1"/>
  <c r="G194" i="17"/>
  <c r="G139" i="17" s="1"/>
  <c r="G168" i="17"/>
  <c r="G114" i="17" s="1"/>
  <c r="F144" i="64"/>
  <c r="G144" i="64"/>
  <c r="D25" i="64" l="1"/>
  <c r="D28" i="74"/>
  <c r="D26" i="64"/>
  <c r="F29" i="74"/>
  <c r="G29" i="74" s="1"/>
  <c r="H29" i="74" s="1"/>
  <c r="I29" i="74" s="1"/>
  <c r="E12" i="74"/>
  <c r="E11" i="74"/>
  <c r="E15" i="74"/>
  <c r="E16" i="74"/>
  <c r="E10" i="74"/>
  <c r="D23" i="64"/>
  <c r="D22" i="64"/>
  <c r="D24" i="64"/>
  <c r="J195" i="17"/>
  <c r="H195" i="17"/>
  <c r="K195" i="17"/>
  <c r="K140" i="17" s="1"/>
  <c r="F195" i="17"/>
  <c r="F140" i="17" s="1"/>
  <c r="I195" i="17"/>
  <c r="I140" i="17" s="1"/>
  <c r="G195" i="17"/>
  <c r="G140" i="17" s="1"/>
  <c r="G142" i="64"/>
  <c r="F142" i="64"/>
  <c r="E142" i="64"/>
  <c r="J46" i="76" l="1"/>
  <c r="J203" i="17"/>
  <c r="J148" i="17" s="1"/>
  <c r="J140" i="17"/>
  <c r="H203" i="17"/>
  <c r="H148" i="17" s="1"/>
  <c r="H140" i="17"/>
  <c r="I12" i="74"/>
  <c r="I16" i="74"/>
  <c r="I8" i="74"/>
  <c r="I14" i="74"/>
  <c r="I15" i="74"/>
  <c r="I13" i="74"/>
  <c r="I11" i="74"/>
  <c r="I9" i="74"/>
  <c r="I10" i="74"/>
  <c r="H12" i="74"/>
  <c r="H8" i="74"/>
  <c r="H9" i="74"/>
  <c r="H16" i="74"/>
  <c r="H11" i="74"/>
  <c r="H10" i="74"/>
  <c r="H13" i="74"/>
  <c r="H15" i="74"/>
  <c r="H14" i="74"/>
  <c r="F15" i="74"/>
  <c r="F13" i="64" s="1"/>
  <c r="F12" i="74"/>
  <c r="F10" i="64" s="1"/>
  <c r="F16" i="74"/>
  <c r="F14" i="64" s="1"/>
  <c r="F10" i="74"/>
  <c r="F8" i="64" s="1"/>
  <c r="F11" i="74"/>
  <c r="F9" i="64" s="1"/>
  <c r="G11" i="74"/>
  <c r="G9" i="64" s="1"/>
  <c r="G15" i="74"/>
  <c r="G13" i="64" s="1"/>
  <c r="G12" i="74"/>
  <c r="G10" i="64" s="1"/>
  <c r="G16" i="74"/>
  <c r="G14" i="64" s="1"/>
  <c r="G10" i="74"/>
  <c r="G8" i="64" s="1"/>
  <c r="I203" i="17"/>
  <c r="I148" i="17" s="1"/>
  <c r="F203" i="17"/>
  <c r="F148" i="17" s="1"/>
  <c r="K203" i="17"/>
  <c r="K148" i="17" s="1"/>
  <c r="G203" i="17"/>
  <c r="G148" i="17" s="1"/>
  <c r="J47" i="76" l="1"/>
  <c r="H208" i="17"/>
  <c r="H153" i="17" s="1"/>
  <c r="J208" i="17"/>
  <c r="J153" i="17" s="1"/>
  <c r="G208" i="17"/>
  <c r="G153" i="17" s="1"/>
  <c r="K208" i="17"/>
  <c r="K153" i="17" s="1"/>
  <c r="I208" i="17"/>
  <c r="I153" i="17" s="1"/>
  <c r="E165" i="17" l="1"/>
  <c r="E111" i="17" s="1"/>
  <c r="D165" i="17"/>
  <c r="D111" i="17" s="1"/>
  <c r="D167" i="17"/>
  <c r="I47" i="76" l="1"/>
  <c r="D185" i="17"/>
  <c r="D113" i="17"/>
  <c r="D33" i="64" a="1"/>
  <c r="D33" i="64" s="1"/>
  <c r="L19" i="65" l="1"/>
  <c r="M19" i="65"/>
  <c r="N19" i="65"/>
  <c r="O19" i="65"/>
  <c r="P19" i="65"/>
  <c r="Q19" i="65"/>
  <c r="R19" i="65"/>
  <c r="S19" i="65"/>
  <c r="T19" i="65"/>
  <c r="U19" i="65"/>
  <c r="V19" i="65"/>
  <c r="W19" i="65"/>
  <c r="L18" i="65"/>
  <c r="M18" i="65"/>
  <c r="N18" i="65"/>
  <c r="O18" i="65"/>
  <c r="P18" i="65"/>
  <c r="Q18" i="65"/>
  <c r="R18" i="65"/>
  <c r="S18" i="65"/>
  <c r="T18" i="65"/>
  <c r="U18" i="65"/>
  <c r="V18" i="65"/>
  <c r="W18" i="65"/>
  <c r="U21" i="65"/>
  <c r="V21" i="65"/>
  <c r="W21" i="65"/>
  <c r="L21" i="65"/>
  <c r="M21" i="65"/>
  <c r="N21" i="65"/>
  <c r="O21" i="65"/>
  <c r="P21" i="65"/>
  <c r="Q21" i="65"/>
  <c r="R21" i="65"/>
  <c r="S21" i="65"/>
  <c r="T21" i="65"/>
  <c r="D19" i="76" a="1"/>
  <c r="D19" i="76" s="1"/>
  <c r="B142" i="64"/>
  <c r="J19" i="65" l="1"/>
  <c r="J18" i="65"/>
  <c r="K21" i="65"/>
  <c r="D163" i="17" l="1"/>
  <c r="D109" i="17" s="1"/>
  <c r="E200" i="17"/>
  <c r="E145" i="17" s="1"/>
  <c r="D200" i="17"/>
  <c r="D145" i="17" s="1"/>
  <c r="E183" i="17"/>
  <c r="E128" i="17" s="1"/>
  <c r="D183" i="17"/>
  <c r="D128" i="17" s="1"/>
  <c r="E182" i="17"/>
  <c r="E127" i="17" s="1"/>
  <c r="D182" i="17"/>
  <c r="D127" i="17" s="1"/>
  <c r="E180" i="17"/>
  <c r="E125" i="17" s="1"/>
  <c r="D180" i="17"/>
  <c r="D125" i="17" s="1"/>
  <c r="E179" i="17"/>
  <c r="E124" i="17" s="1"/>
  <c r="D179" i="17"/>
  <c r="D124" i="17" s="1"/>
  <c r="E178" i="17"/>
  <c r="E123" i="17" s="1"/>
  <c r="D178" i="17"/>
  <c r="D123" i="17" s="1"/>
  <c r="E177" i="17"/>
  <c r="E122" i="17" s="1"/>
  <c r="D177" i="17"/>
  <c r="D122" i="17" s="1"/>
  <c r="E176" i="17"/>
  <c r="E121" i="17" s="1"/>
  <c r="D176" i="17"/>
  <c r="D121" i="17" s="1"/>
  <c r="E175" i="17"/>
  <c r="E120" i="17" s="1"/>
  <c r="D175" i="17"/>
  <c r="D120" i="17" s="1"/>
  <c r="E174" i="17"/>
  <c r="E119" i="17" s="1"/>
  <c r="D174" i="17"/>
  <c r="D119" i="17" s="1"/>
  <c r="E173" i="17"/>
  <c r="D173" i="17"/>
  <c r="D118" i="17" s="1"/>
  <c r="E164" i="17"/>
  <c r="E110" i="17" s="1"/>
  <c r="D164" i="17"/>
  <c r="D110" i="17" s="1"/>
  <c r="E162" i="17"/>
  <c r="E108" i="17" s="1"/>
  <c r="D162" i="17"/>
  <c r="D108" i="17" s="1"/>
  <c r="E161" i="17"/>
  <c r="E107" i="17" s="1"/>
  <c r="D161" i="17"/>
  <c r="D107" i="17" s="1"/>
  <c r="E160" i="17"/>
  <c r="E106" i="17" s="1"/>
  <c r="D160" i="17"/>
  <c r="D106" i="17" s="1"/>
  <c r="E163" i="17"/>
  <c r="E109" i="17" s="1"/>
  <c r="D134" i="17"/>
  <c r="E134" i="17"/>
  <c r="E118" i="17" l="1"/>
  <c r="E184" i="17"/>
  <c r="E129" i="17" s="1"/>
  <c r="E131" i="17" s="1"/>
  <c r="E135" i="17" s="1"/>
  <c r="E201" i="17"/>
  <c r="E146" i="17" s="1"/>
  <c r="E205" i="17"/>
  <c r="E150" i="17" s="1"/>
  <c r="E7" i="17" a="1"/>
  <c r="F201" i="17"/>
  <c r="F146" i="17" s="1"/>
  <c r="D184" i="17"/>
  <c r="D129" i="17" s="1"/>
  <c r="D131" i="17" s="1"/>
  <c r="D135" i="17" s="1"/>
  <c r="E6" i="17" a="1"/>
  <c r="D166" i="17"/>
  <c r="D112" i="17" s="1"/>
  <c r="E166" i="17"/>
  <c r="E112" i="17" s="1"/>
  <c r="D205" i="17"/>
  <c r="D150" i="17" s="1"/>
  <c r="G8" i="74" l="1"/>
  <c r="K111" i="65"/>
  <c r="L111" i="65"/>
  <c r="G22" i="74"/>
  <c r="G9" i="74"/>
  <c r="G7" i="64" s="1"/>
  <c r="G13" i="74"/>
  <c r="G11" i="64" s="1"/>
  <c r="F13" i="74"/>
  <c r="F11" i="64" s="1"/>
  <c r="E13" i="74"/>
  <c r="E11" i="64" s="1"/>
  <c r="D13" i="74"/>
  <c r="E8" i="74"/>
  <c r="F8" i="74"/>
  <c r="E22" i="74"/>
  <c r="F22" i="74"/>
  <c r="E9" i="74"/>
  <c r="E7" i="64" s="1"/>
  <c r="F9" i="74"/>
  <c r="F7" i="64" s="1"/>
  <c r="D22" i="74"/>
  <c r="E6" i="17"/>
  <c r="D8" i="74" s="1"/>
  <c r="E7" i="17"/>
  <c r="D9" i="74" s="1"/>
  <c r="F208" i="17"/>
  <c r="F153" i="17" s="1"/>
  <c r="E13" i="64"/>
  <c r="E14" i="64"/>
  <c r="E9" i="64"/>
  <c r="E19" i="64"/>
  <c r="E18" i="64"/>
  <c r="E10" i="64"/>
  <c r="E8" i="64"/>
  <c r="D186" i="17"/>
  <c r="D190" i="17" s="1"/>
  <c r="E186" i="17"/>
  <c r="E190" i="17" s="1"/>
  <c r="E12" i="17" s="1" a="1"/>
  <c r="E194" i="17"/>
  <c r="E168" i="17"/>
  <c r="E114" i="17" s="1"/>
  <c r="D194" i="17"/>
  <c r="D139" i="17" s="1"/>
  <c r="D168" i="17"/>
  <c r="D114" i="17" s="1"/>
  <c r="E139" i="17" l="1"/>
  <c r="E17" i="17" s="1" a="1"/>
  <c r="E19" i="74" s="1"/>
  <c r="G14" i="74"/>
  <c r="E14" i="74"/>
  <c r="F14" i="74"/>
  <c r="E12" i="17"/>
  <c r="D14" i="74" s="1"/>
  <c r="D6" i="64"/>
  <c r="E27" i="64"/>
  <c r="F27" i="64"/>
  <c r="G27" i="64"/>
  <c r="E6" i="64"/>
  <c r="G6" i="64"/>
  <c r="F6" i="64"/>
  <c r="E20" i="64"/>
  <c r="G20" i="64"/>
  <c r="H111" i="65" s="1"/>
  <c r="I111" i="65"/>
  <c r="J111" i="65"/>
  <c r="F20" i="64"/>
  <c r="G111" i="65" s="1"/>
  <c r="D13" i="64"/>
  <c r="D14" i="64"/>
  <c r="D9" i="64"/>
  <c r="D18" i="64"/>
  <c r="D7" i="64"/>
  <c r="D19" i="64"/>
  <c r="D27" i="64"/>
  <c r="D20" i="64"/>
  <c r="C195" i="64" s="1"/>
  <c r="D8" i="64"/>
  <c r="D11" i="64"/>
  <c r="D10" i="64"/>
  <c r="D195" i="17"/>
  <c r="D140" i="17" s="1"/>
  <c r="E195" i="17"/>
  <c r="E140" i="17" s="1"/>
  <c r="C196" i="64" l="1"/>
  <c r="G19" i="74"/>
  <c r="E17" i="17"/>
  <c r="D19" i="74" s="1"/>
  <c r="F19" i="74"/>
  <c r="E15" i="17" a="1"/>
  <c r="C160" i="64"/>
  <c r="F111" i="65"/>
  <c r="F65" i="65"/>
  <c r="E111" i="65"/>
  <c r="E65" i="65"/>
  <c r="D203" i="17"/>
  <c r="D148" i="17" s="1"/>
  <c r="E203" i="17"/>
  <c r="E148" i="17" s="1"/>
  <c r="I46" i="76" l="1"/>
  <c r="E17" i="74"/>
  <c r="E18" i="74" s="1"/>
  <c r="F17" i="74"/>
  <c r="F15" i="64"/>
  <c r="G15" i="64"/>
  <c r="E15" i="17"/>
  <c r="D17" i="74" s="1"/>
  <c r="E17" i="64"/>
  <c r="G17" i="64"/>
  <c r="F17" i="64"/>
  <c r="E12" i="64"/>
  <c r="G12" i="64"/>
  <c r="F12" i="64"/>
  <c r="D12" i="64"/>
  <c r="D17" i="64"/>
  <c r="E208" i="17"/>
  <c r="E153" i="17" s="1"/>
  <c r="D208" i="17"/>
  <c r="D153" i="17" s="1"/>
  <c r="E15" i="64" l="1"/>
  <c r="F18" i="74"/>
  <c r="G18" i="74" s="1"/>
  <c r="H18" i="74" s="1"/>
  <c r="I18" i="74" s="1"/>
  <c r="C200" i="64"/>
  <c r="C199" i="64"/>
  <c r="Q7" i="47" s="1"/>
  <c r="B3" i="21" s="1"/>
  <c r="E16" i="17" a="1"/>
  <c r="F16" i="64" s="1"/>
  <c r="C220" i="64"/>
  <c r="C221" i="64" s="1" a="1"/>
  <c r="C221" i="64" s="1"/>
  <c r="C222" i="64"/>
  <c r="E16" i="17" l="1"/>
  <c r="D15" i="64"/>
  <c r="C78" i="65"/>
  <c r="V39" i="65"/>
  <c r="W39" i="65"/>
  <c r="U43" i="65"/>
  <c r="V43" i="65"/>
  <c r="W43" i="65"/>
  <c r="U49" i="65"/>
  <c r="V49" i="65"/>
  <c r="W49" i="65"/>
  <c r="U83" i="65"/>
  <c r="V83" i="65"/>
  <c r="W83" i="65"/>
  <c r="U93" i="65"/>
  <c r="V93" i="65"/>
  <c r="W93" i="65"/>
  <c r="B51" i="75" l="1"/>
  <c r="W79" i="65"/>
  <c r="W84" i="65" s="1"/>
  <c r="V79" i="65"/>
  <c r="V84" i="65" s="1"/>
  <c r="K18" i="65" l="1"/>
  <c r="K19" i="65"/>
  <c r="E16" i="64"/>
  <c r="G16" i="64"/>
  <c r="D16" i="64"/>
  <c r="W44" i="65"/>
  <c r="V44" i="65"/>
  <c r="U96" i="65"/>
  <c r="V96" i="65"/>
  <c r="W96" i="65"/>
  <c r="U97" i="65"/>
  <c r="V97" i="65"/>
  <c r="W97" i="65"/>
  <c r="U98" i="65"/>
  <c r="V98" i="65"/>
  <c r="W98" i="65"/>
  <c r="U99" i="65"/>
  <c r="V99" i="65"/>
  <c r="W99" i="65"/>
  <c r="F96" i="65"/>
  <c r="G96" i="65"/>
  <c r="H96" i="65"/>
  <c r="I96" i="65"/>
  <c r="J96" i="65"/>
  <c r="K96" i="65"/>
  <c r="L96" i="65"/>
  <c r="M96" i="65"/>
  <c r="N96" i="65"/>
  <c r="O96" i="65"/>
  <c r="P96" i="65"/>
  <c r="Q96" i="65"/>
  <c r="R96" i="65"/>
  <c r="S96" i="65"/>
  <c r="T96" i="65"/>
  <c r="F97" i="65"/>
  <c r="G97" i="65"/>
  <c r="H97" i="65"/>
  <c r="I97" i="65"/>
  <c r="J97" i="65"/>
  <c r="K97" i="65"/>
  <c r="L97" i="65"/>
  <c r="M97" i="65"/>
  <c r="N97" i="65"/>
  <c r="O97" i="65"/>
  <c r="P97" i="65"/>
  <c r="Q97" i="65"/>
  <c r="R97" i="65"/>
  <c r="S97" i="65"/>
  <c r="T97" i="65"/>
  <c r="F98" i="65"/>
  <c r="G98" i="65"/>
  <c r="H98" i="65"/>
  <c r="I98" i="65"/>
  <c r="J98" i="65"/>
  <c r="K98" i="65"/>
  <c r="L98" i="65"/>
  <c r="M98" i="65"/>
  <c r="N98" i="65"/>
  <c r="O98" i="65"/>
  <c r="P98" i="65"/>
  <c r="Q98" i="65"/>
  <c r="R98" i="65"/>
  <c r="S98" i="65"/>
  <c r="T98" i="65"/>
  <c r="F99" i="65"/>
  <c r="G99" i="65"/>
  <c r="H99" i="65"/>
  <c r="I99" i="65"/>
  <c r="J99" i="65"/>
  <c r="K99" i="65"/>
  <c r="L99" i="65"/>
  <c r="M99" i="65"/>
  <c r="N99" i="65"/>
  <c r="O99" i="65"/>
  <c r="P99" i="65"/>
  <c r="Q99" i="65"/>
  <c r="R99" i="65"/>
  <c r="S99" i="65"/>
  <c r="T99" i="65"/>
  <c r="E97" i="65"/>
  <c r="E98" i="65"/>
  <c r="E99" i="65"/>
  <c r="E96" i="65"/>
  <c r="W134" i="65" l="1"/>
  <c r="V134" i="65"/>
  <c r="U134" i="65"/>
  <c r="T134" i="65"/>
  <c r="S134" i="65"/>
  <c r="R134" i="65"/>
  <c r="Q134" i="65"/>
  <c r="P134" i="65"/>
  <c r="O134" i="65"/>
  <c r="U34" i="65"/>
  <c r="V34" i="65"/>
  <c r="W34" i="65"/>
  <c r="P59" i="65"/>
  <c r="Q59" i="65"/>
  <c r="R59" i="65"/>
  <c r="S59" i="65"/>
  <c r="T59" i="65"/>
  <c r="U59" i="65"/>
  <c r="V59" i="65"/>
  <c r="W59" i="65"/>
  <c r="E43" i="69"/>
  <c r="E42" i="69"/>
  <c r="E41" i="69"/>
  <c r="E40" i="69"/>
  <c r="E39" i="69"/>
  <c r="E38" i="69"/>
  <c r="E37" i="69"/>
  <c r="E36" i="69"/>
  <c r="E35" i="69"/>
  <c r="E34" i="69"/>
  <c r="E33" i="69"/>
  <c r="E32" i="69"/>
  <c r="E31" i="69"/>
  <c r="E18" i="69"/>
  <c r="F12" i="21"/>
  <c r="E12" i="21"/>
  <c r="D12" i="21" s="1"/>
  <c r="C308" i="64"/>
  <c r="C50" i="76" l="1" a="1"/>
  <c r="D32" i="64" a="1"/>
  <c r="D32" i="64" s="1"/>
  <c r="C228" i="64" s="1"/>
  <c r="P70" i="65"/>
  <c r="Q70" i="65"/>
  <c r="R70" i="65"/>
  <c r="S70" i="65"/>
  <c r="T70" i="65"/>
  <c r="U70" i="65"/>
  <c r="V70" i="65"/>
  <c r="W70" i="65"/>
  <c r="T49" i="65"/>
  <c r="S49" i="65"/>
  <c r="R49" i="65"/>
  <c r="Q49" i="65"/>
  <c r="P49" i="65"/>
  <c r="O49" i="65"/>
  <c r="K134" i="65"/>
  <c r="L134" i="65"/>
  <c r="M134" i="65"/>
  <c r="N134" i="65"/>
  <c r="L49" i="65"/>
  <c r="M49" i="65"/>
  <c r="N49" i="65"/>
  <c r="O59" i="65"/>
  <c r="F43" i="65"/>
  <c r="E46" i="69"/>
  <c r="T93" i="65"/>
  <c r="S93" i="65"/>
  <c r="R93" i="65"/>
  <c r="Q93" i="65"/>
  <c r="P93" i="65"/>
  <c r="O93" i="65"/>
  <c r="N93" i="65"/>
  <c r="M93" i="65"/>
  <c r="L93" i="65"/>
  <c r="K93" i="65"/>
  <c r="J93" i="65"/>
  <c r="I93" i="65"/>
  <c r="H93" i="65"/>
  <c r="G93" i="65"/>
  <c r="F93" i="65"/>
  <c r="T83" i="65"/>
  <c r="S83" i="65"/>
  <c r="R83" i="65"/>
  <c r="Q83" i="65"/>
  <c r="P83" i="65"/>
  <c r="O83" i="65"/>
  <c r="N83" i="65"/>
  <c r="M83" i="65"/>
  <c r="L83" i="65"/>
  <c r="K83" i="65"/>
  <c r="J83" i="65"/>
  <c r="I83" i="65"/>
  <c r="H83" i="65"/>
  <c r="G83" i="65"/>
  <c r="F83" i="65"/>
  <c r="T34" i="65"/>
  <c r="S34" i="65"/>
  <c r="R34" i="65"/>
  <c r="Q34" i="65"/>
  <c r="P34" i="65"/>
  <c r="O34" i="65"/>
  <c r="N34" i="65"/>
  <c r="M34" i="65"/>
  <c r="L34" i="65"/>
  <c r="K34" i="65"/>
  <c r="J34" i="65"/>
  <c r="I34" i="65"/>
  <c r="H34" i="65"/>
  <c r="G34" i="65"/>
  <c r="F34" i="65"/>
  <c r="T43" i="65"/>
  <c r="S43" i="65"/>
  <c r="R43" i="65"/>
  <c r="Q43" i="65"/>
  <c r="P43" i="65"/>
  <c r="O43" i="65"/>
  <c r="N43" i="65"/>
  <c r="M43" i="65"/>
  <c r="L43" i="65"/>
  <c r="K43" i="65"/>
  <c r="J43" i="65"/>
  <c r="I43" i="65"/>
  <c r="H43" i="65"/>
  <c r="G43" i="65"/>
  <c r="I51" i="76" l="1"/>
  <c r="C69" i="76" a="1"/>
  <c r="C69" i="76" s="1"/>
  <c r="C70" i="76" a="1"/>
  <c r="C70" i="76" s="1"/>
  <c r="C71" i="76" a="1"/>
  <c r="C71" i="76" s="1"/>
  <c r="C73" i="76" a="1"/>
  <c r="C73" i="76" s="1"/>
  <c r="C74" i="76" a="1"/>
  <c r="C74" i="76" s="1"/>
  <c r="C72" i="76" a="1"/>
  <c r="C72" i="76" s="1"/>
  <c r="C67" i="76" a="1"/>
  <c r="C67" i="76" s="1"/>
  <c r="C56" i="76" a="1"/>
  <c r="C56" i="76" s="1"/>
  <c r="C62" i="76" a="1"/>
  <c r="C62" i="76" s="1"/>
  <c r="C52" i="76" a="1"/>
  <c r="C52" i="76" s="1"/>
  <c r="C58" i="76" a="1"/>
  <c r="C58" i="76" s="1"/>
  <c r="C65" i="76" a="1"/>
  <c r="C65" i="76" s="1"/>
  <c r="C54" i="76" a="1"/>
  <c r="C54" i="76" s="1"/>
  <c r="C60" i="76" a="1"/>
  <c r="C60" i="76" s="1"/>
  <c r="E51" i="76"/>
  <c r="D51" i="76"/>
  <c r="C50" i="76"/>
  <c r="C51" i="76" s="1"/>
  <c r="H51" i="76"/>
  <c r="G51" i="76"/>
  <c r="F51" i="76"/>
  <c r="C55" i="76" a="1"/>
  <c r="C55" i="76" s="1"/>
  <c r="C61" i="76" a="1"/>
  <c r="C61" i="76" s="1"/>
  <c r="C63" i="76" a="1"/>
  <c r="C63" i="76" s="1"/>
  <c r="C66" i="76" a="1"/>
  <c r="C66" i="76" s="1"/>
  <c r="C57" i="76" a="1"/>
  <c r="C57" i="76" s="1"/>
  <c r="C59" i="76" a="1"/>
  <c r="C59" i="76" s="1"/>
  <c r="C53" i="76" a="1"/>
  <c r="C53" i="76" s="1"/>
  <c r="C68" i="76" a="1"/>
  <c r="C68" i="76" s="1"/>
  <c r="N59" i="65"/>
  <c r="M59" i="65"/>
  <c r="L59" i="65"/>
  <c r="L70" i="65"/>
  <c r="O70" i="65"/>
  <c r="N70" i="65"/>
  <c r="M70" i="65"/>
  <c r="K49" i="65"/>
  <c r="D168" i="64" a="1"/>
  <c r="D168" i="64" s="1"/>
  <c r="M322" i="64" l="1"/>
  <c r="I65" i="65" l="1"/>
  <c r="J65" i="65"/>
  <c r="K65" i="65"/>
  <c r="L65" i="65"/>
  <c r="M65" i="65"/>
  <c r="N65" i="65"/>
  <c r="O65" i="65"/>
  <c r="P65" i="65"/>
  <c r="Q65" i="65"/>
  <c r="R65" i="65"/>
  <c r="S65" i="65"/>
  <c r="T65" i="65"/>
  <c r="N4" i="65"/>
  <c r="O4" i="65"/>
  <c r="P4" i="65"/>
  <c r="Q4" i="65"/>
  <c r="R4" i="65"/>
  <c r="S4" i="65"/>
  <c r="T4" i="65"/>
  <c r="U4" i="65"/>
  <c r="V4" i="65"/>
  <c r="W4" i="65"/>
  <c r="K29" i="65"/>
  <c r="L29" i="65"/>
  <c r="M29" i="65"/>
  <c r="N29" i="65"/>
  <c r="O29" i="65"/>
  <c r="P29" i="65"/>
  <c r="Q29" i="65"/>
  <c r="R29" i="65"/>
  <c r="S29" i="65"/>
  <c r="T29" i="65"/>
  <c r="U29" i="65"/>
  <c r="V29" i="65"/>
  <c r="W29" i="65"/>
  <c r="U114" i="65"/>
  <c r="V114" i="65"/>
  <c r="W114" i="65"/>
  <c r="F124" i="65"/>
  <c r="G124" i="65"/>
  <c r="H124" i="65"/>
  <c r="I124" i="65"/>
  <c r="J124" i="65"/>
  <c r="K124" i="65"/>
  <c r="L124" i="65"/>
  <c r="M124" i="65"/>
  <c r="N124" i="65"/>
  <c r="O124" i="65"/>
  <c r="P124" i="65"/>
  <c r="Q124" i="65"/>
  <c r="R124" i="65"/>
  <c r="S124" i="65"/>
  <c r="T124" i="65"/>
  <c r="U124" i="65"/>
  <c r="V124" i="65"/>
  <c r="W124" i="65"/>
  <c r="E89" i="65"/>
  <c r="F89" i="65"/>
  <c r="G89" i="65"/>
  <c r="H89" i="65"/>
  <c r="I89" i="65"/>
  <c r="J89" i="65"/>
  <c r="K89" i="65"/>
  <c r="L89" i="65"/>
  <c r="M89" i="65"/>
  <c r="N89" i="65"/>
  <c r="O89" i="65"/>
  <c r="P89" i="65"/>
  <c r="Q89" i="65"/>
  <c r="R89" i="65"/>
  <c r="S89" i="65"/>
  <c r="T89" i="65"/>
  <c r="U89" i="65"/>
  <c r="V89" i="65"/>
  <c r="W89" i="65"/>
  <c r="E101" i="65"/>
  <c r="U101" i="65"/>
  <c r="V101" i="65"/>
  <c r="W101" i="65"/>
  <c r="U106" i="65"/>
  <c r="V106" i="65"/>
  <c r="W106" i="65"/>
  <c r="U107" i="65"/>
  <c r="V107" i="65"/>
  <c r="W107" i="65"/>
  <c r="U108" i="65"/>
  <c r="V108" i="65"/>
  <c r="W108" i="65"/>
  <c r="U109" i="65"/>
  <c r="V109" i="65"/>
  <c r="W109" i="65"/>
  <c r="U110" i="65"/>
  <c r="V110" i="65"/>
  <c r="W110" i="65"/>
  <c r="G106" i="64" l="1"/>
  <c r="G24" i="76" s="1"/>
  <c r="F106" i="64"/>
  <c r="F24" i="76" s="1"/>
  <c r="G113" i="64"/>
  <c r="G31" i="76" s="1"/>
  <c r="G105" i="64"/>
  <c r="G23" i="76" s="1"/>
  <c r="F105" i="64"/>
  <c r="F23" i="76" s="1"/>
  <c r="G111" i="64"/>
  <c r="F111" i="64"/>
  <c r="F29" i="76" s="1"/>
  <c r="G110" i="64"/>
  <c r="G28" i="76" s="1"/>
  <c r="G107" i="64"/>
  <c r="G25" i="76" s="1"/>
  <c r="F113" i="64"/>
  <c r="F31" i="76" s="1"/>
  <c r="F110" i="64"/>
  <c r="F28" i="76" s="1"/>
  <c r="H65" i="65"/>
  <c r="F109" i="64"/>
  <c r="F27" i="76" s="1"/>
  <c r="G120" i="64"/>
  <c r="G38" i="76" s="1"/>
  <c r="G108" i="64"/>
  <c r="G26" i="76" s="1"/>
  <c r="F120" i="64"/>
  <c r="F38" i="76" s="1"/>
  <c r="E110" i="64"/>
  <c r="E28" i="76" s="1"/>
  <c r="E108" i="64"/>
  <c r="E26" i="76" s="1"/>
  <c r="E105" i="64"/>
  <c r="E23" i="76" s="1"/>
  <c r="E107" i="64"/>
  <c r="E25" i="76" s="1"/>
  <c r="E109" i="64"/>
  <c r="E27" i="76" s="1"/>
  <c r="E113" i="64"/>
  <c r="E31" i="76" s="1"/>
  <c r="E106" i="64"/>
  <c r="E24" i="76" s="1"/>
  <c r="E120" i="64"/>
  <c r="E38" i="76" s="1"/>
  <c r="E111" i="64"/>
  <c r="E29" i="76" s="1"/>
  <c r="F107" i="64"/>
  <c r="F25" i="76" s="1"/>
  <c r="G65" i="65"/>
  <c r="F108" i="64"/>
  <c r="F26" i="76" s="1"/>
  <c r="G109" i="64"/>
  <c r="G27" i="76" s="1"/>
  <c r="U65" i="65"/>
  <c r="W65" i="65"/>
  <c r="V65" i="65"/>
  <c r="C217" i="64"/>
  <c r="M4" i="65"/>
  <c r="L4" i="65"/>
  <c r="K4" i="65"/>
  <c r="C302" i="64"/>
  <c r="A32" i="47"/>
  <c r="F39" i="65"/>
  <c r="G79" i="65"/>
  <c r="H39" i="65"/>
  <c r="I79" i="65"/>
  <c r="J39" i="65"/>
  <c r="K39" i="65"/>
  <c r="L79" i="65"/>
  <c r="M39" i="65"/>
  <c r="N39" i="65"/>
  <c r="O79" i="65"/>
  <c r="P39" i="65"/>
  <c r="Q79" i="65"/>
  <c r="R39" i="65"/>
  <c r="S39" i="65"/>
  <c r="T39" i="65"/>
  <c r="G29" i="76" l="1"/>
  <c r="C304" i="64"/>
  <c r="C299" i="64" a="1"/>
  <c r="C299" i="64" s="1"/>
  <c r="C300" i="64" s="1" a="1"/>
  <c r="C300" i="64" s="1"/>
  <c r="F11" i="21"/>
  <c r="D120" i="64"/>
  <c r="D38" i="76" s="1"/>
  <c r="D105" i="64"/>
  <c r="D23" i="76" s="1"/>
  <c r="D106" i="64"/>
  <c r="D24" i="76" s="1"/>
  <c r="D109" i="64"/>
  <c r="D27" i="76" s="1"/>
  <c r="D110" i="64"/>
  <c r="D28" i="76" s="1"/>
  <c r="D107" i="64"/>
  <c r="D25" i="76" s="1"/>
  <c r="D108" i="64"/>
  <c r="D26" i="76" s="1"/>
  <c r="D111" i="64"/>
  <c r="G112" i="64"/>
  <c r="E127" i="64"/>
  <c r="E131" i="64" s="1"/>
  <c r="E126" i="64"/>
  <c r="G127" i="64"/>
  <c r="G131" i="64" s="1"/>
  <c r="G43" i="76" s="1"/>
  <c r="G126" i="64"/>
  <c r="F127" i="64"/>
  <c r="F131" i="64" s="1"/>
  <c r="F43" i="76" s="1"/>
  <c r="F126" i="64"/>
  <c r="F112" i="64"/>
  <c r="D5" i="64" a="1"/>
  <c r="D5" i="64" s="1"/>
  <c r="C185" i="64" a="1"/>
  <c r="C185" i="64" s="1"/>
  <c r="C184" i="64" a="1"/>
  <c r="C184" i="64" s="1"/>
  <c r="U39" i="65"/>
  <c r="U79" i="65"/>
  <c r="J79" i="65"/>
  <c r="J44" i="65" s="1"/>
  <c r="H79" i="65"/>
  <c r="H44" i="65" s="1"/>
  <c r="F79" i="65"/>
  <c r="F44" i="65" s="1"/>
  <c r="I39" i="65"/>
  <c r="T79" i="65"/>
  <c r="T84" i="65" s="1"/>
  <c r="M79" i="65"/>
  <c r="M84" i="65" s="1"/>
  <c r="S79" i="65"/>
  <c r="S84" i="65" s="1"/>
  <c r="K79" i="65"/>
  <c r="K84" i="65" s="1"/>
  <c r="O39" i="65"/>
  <c r="P79" i="65"/>
  <c r="P44" i="65" s="1"/>
  <c r="N79" i="65"/>
  <c r="N84" i="65" s="1"/>
  <c r="G39" i="65"/>
  <c r="L39" i="65"/>
  <c r="R79" i="65"/>
  <c r="R84" i="65" s="1"/>
  <c r="Q39" i="65"/>
  <c r="I84" i="65"/>
  <c r="I44" i="65"/>
  <c r="O44" i="65"/>
  <c r="O84" i="65"/>
  <c r="L44" i="65"/>
  <c r="L84" i="65"/>
  <c r="G44" i="65"/>
  <c r="G84" i="65"/>
  <c r="Q44" i="65"/>
  <c r="Q84" i="65"/>
  <c r="C301" i="64"/>
  <c r="F128" i="64" l="1"/>
  <c r="G128" i="64"/>
  <c r="G114" i="64"/>
  <c r="G30" i="76"/>
  <c r="E112" i="64"/>
  <c r="D29" i="76"/>
  <c r="F114" i="64"/>
  <c r="F30" i="76"/>
  <c r="F19" i="21"/>
  <c r="F129" i="64"/>
  <c r="D127" i="64"/>
  <c r="D126" i="64"/>
  <c r="E128" i="64" s="1"/>
  <c r="U44" i="65"/>
  <c r="U84" i="65"/>
  <c r="F84" i="65"/>
  <c r="P84" i="65"/>
  <c r="H84" i="65"/>
  <c r="J84" i="65"/>
  <c r="N44" i="65"/>
  <c r="M44" i="65"/>
  <c r="R44" i="65"/>
  <c r="T44" i="65"/>
  <c r="K44" i="65"/>
  <c r="S44" i="65"/>
  <c r="C303" i="64"/>
  <c r="E117" i="64"/>
  <c r="M284" i="64"/>
  <c r="F117" i="64"/>
  <c r="G117" i="64"/>
  <c r="E114" i="64" l="1"/>
  <c r="E30" i="76"/>
  <c r="G129" i="64"/>
  <c r="G35" i="76"/>
  <c r="G116" i="64"/>
  <c r="G34" i="76" s="1"/>
  <c r="G32" i="76"/>
  <c r="E35" i="76"/>
  <c r="F116" i="64"/>
  <c r="F34" i="76" s="1"/>
  <c r="F32" i="76"/>
  <c r="F35" i="76"/>
  <c r="B46" i="75"/>
  <c r="B53" i="75"/>
  <c r="B50" i="75"/>
  <c r="B65" i="64" s="1"/>
  <c r="B52" i="75"/>
  <c r="B67" i="64" s="1"/>
  <c r="B66" i="64"/>
  <c r="E19" i="21"/>
  <c r="D19" i="21" s="1"/>
  <c r="G49" i="65"/>
  <c r="H70" i="65"/>
  <c r="J134" i="65"/>
  <c r="I134" i="65"/>
  <c r="H134" i="65"/>
  <c r="G134" i="65"/>
  <c r="F134" i="65"/>
  <c r="I4" i="65"/>
  <c r="F4" i="65"/>
  <c r="H4" i="65"/>
  <c r="J4" i="65"/>
  <c r="G4" i="65"/>
  <c r="F118" i="64" l="1"/>
  <c r="F133" i="64" s="1"/>
  <c r="F134" i="64" s="1"/>
  <c r="G118" i="64"/>
  <c r="E116" i="64"/>
  <c r="E32" i="76"/>
  <c r="C94" i="64" a="1"/>
  <c r="C94" i="64" s="1"/>
  <c r="C96" i="64" a="1"/>
  <c r="C96" i="64" s="1"/>
  <c r="D10" i="76" s="1"/>
  <c r="C10" i="76" s="1"/>
  <c r="C95" i="64" a="1"/>
  <c r="C95" i="64" s="1"/>
  <c r="I19" i="65"/>
  <c r="I18" i="65"/>
  <c r="H29" i="65"/>
  <c r="I59" i="65"/>
  <c r="I29" i="65"/>
  <c r="J59" i="65"/>
  <c r="F29" i="65"/>
  <c r="G59" i="65"/>
  <c r="J29" i="65"/>
  <c r="K59" i="65"/>
  <c r="G29" i="65"/>
  <c r="H59" i="65"/>
  <c r="E29" i="65"/>
  <c r="I70" i="65"/>
  <c r="J70" i="65"/>
  <c r="K70" i="65"/>
  <c r="G70" i="65"/>
  <c r="J49" i="65"/>
  <c r="F49" i="65"/>
  <c r="I49" i="65"/>
  <c r="H49" i="65"/>
  <c r="F36" i="76" l="1"/>
  <c r="F122" i="64"/>
  <c r="F40" i="76" s="1"/>
  <c r="F125" i="64"/>
  <c r="F132" i="64" s="1"/>
  <c r="E34" i="76"/>
  <c r="E118" i="64"/>
  <c r="F136" i="64"/>
  <c r="G122" i="64"/>
  <c r="G40" i="76" s="1"/>
  <c r="G36" i="76"/>
  <c r="G125" i="64"/>
  <c r="G132" i="64" s="1"/>
  <c r="G133" i="64"/>
  <c r="C98" i="64" a="1"/>
  <c r="C98" i="64" s="1"/>
  <c r="E10" i="76" s="1"/>
  <c r="G19" i="65"/>
  <c r="G18" i="65"/>
  <c r="F101" i="65"/>
  <c r="G101" i="65"/>
  <c r="H101" i="65"/>
  <c r="I101" i="65"/>
  <c r="J101" i="65"/>
  <c r="K101" i="65"/>
  <c r="L101" i="65"/>
  <c r="M101" i="65"/>
  <c r="N101" i="65"/>
  <c r="O101" i="65"/>
  <c r="P101" i="65"/>
  <c r="Q101" i="65"/>
  <c r="R101" i="65"/>
  <c r="S101" i="65"/>
  <c r="T101" i="65"/>
  <c r="E106" i="65"/>
  <c r="F106" i="65"/>
  <c r="G106" i="65"/>
  <c r="H106" i="65"/>
  <c r="I106" i="65"/>
  <c r="J106" i="65"/>
  <c r="K106" i="65"/>
  <c r="L106" i="65"/>
  <c r="M106" i="65"/>
  <c r="N106" i="65"/>
  <c r="O106" i="65"/>
  <c r="P106" i="65"/>
  <c r="Q106" i="65"/>
  <c r="R106" i="65"/>
  <c r="S106" i="65"/>
  <c r="T106" i="65"/>
  <c r="E107" i="65"/>
  <c r="F107" i="65"/>
  <c r="G107" i="65"/>
  <c r="H107" i="65"/>
  <c r="I107" i="65"/>
  <c r="J107" i="65"/>
  <c r="K107" i="65"/>
  <c r="L107" i="65"/>
  <c r="M107" i="65"/>
  <c r="N107" i="65"/>
  <c r="O107" i="65"/>
  <c r="P107" i="65"/>
  <c r="Q107" i="65"/>
  <c r="R107" i="65"/>
  <c r="S107" i="65"/>
  <c r="T107" i="65"/>
  <c r="E108" i="65"/>
  <c r="F108" i="65"/>
  <c r="G108" i="65"/>
  <c r="H108" i="65"/>
  <c r="I108" i="65"/>
  <c r="J108" i="65"/>
  <c r="K108" i="65"/>
  <c r="L108" i="65"/>
  <c r="M108" i="65"/>
  <c r="N108" i="65"/>
  <c r="O108" i="65"/>
  <c r="P108" i="65"/>
  <c r="Q108" i="65"/>
  <c r="R108" i="65"/>
  <c r="S108" i="65"/>
  <c r="T108" i="65"/>
  <c r="E110" i="65"/>
  <c r="F110" i="65"/>
  <c r="G110" i="65"/>
  <c r="H110" i="65"/>
  <c r="I110" i="65"/>
  <c r="J110" i="65"/>
  <c r="K110" i="65"/>
  <c r="L110" i="65"/>
  <c r="M110" i="65"/>
  <c r="N110" i="65"/>
  <c r="O110" i="65"/>
  <c r="P110" i="65"/>
  <c r="Q110" i="65"/>
  <c r="R110" i="65"/>
  <c r="S110" i="65"/>
  <c r="T110" i="65"/>
  <c r="F137" i="64" l="1"/>
  <c r="G134" i="64"/>
  <c r="G136" i="64"/>
  <c r="E36" i="76"/>
  <c r="E133" i="64"/>
  <c r="E119" i="64"/>
  <c r="E122" i="64"/>
  <c r="E125" i="64"/>
  <c r="E132" i="64" s="1"/>
  <c r="H19" i="65"/>
  <c r="H18" i="65"/>
  <c r="D170" i="64" a="1"/>
  <c r="D169" i="64" a="1"/>
  <c r="J172" i="64" s="1"/>
  <c r="R109" i="65"/>
  <c r="P109" i="65"/>
  <c r="G109" i="65"/>
  <c r="Q109" i="65"/>
  <c r="O109" i="65"/>
  <c r="E109" i="65"/>
  <c r="T109" i="65"/>
  <c r="N109" i="65"/>
  <c r="I109" i="65"/>
  <c r="M109" i="65"/>
  <c r="J109" i="65"/>
  <c r="F109" i="65"/>
  <c r="S109" i="65"/>
  <c r="L109" i="65"/>
  <c r="K109" i="65"/>
  <c r="F139" i="64" l="1"/>
  <c r="F44" i="76" s="1"/>
  <c r="E40" i="76"/>
  <c r="C153" i="64" a="1"/>
  <c r="C153" i="64" s="1"/>
  <c r="E123" i="64"/>
  <c r="E37" i="76"/>
  <c r="F119" i="64"/>
  <c r="E136" i="64"/>
  <c r="E134" i="64"/>
  <c r="F21" i="65"/>
  <c r="I21" i="65"/>
  <c r="J21" i="65"/>
  <c r="H172" i="64"/>
  <c r="I172" i="64"/>
  <c r="D169" i="64"/>
  <c r="D172" i="64" s="1"/>
  <c r="G172" i="64"/>
  <c r="E172" i="64"/>
  <c r="F172" i="64"/>
  <c r="D170" i="64"/>
  <c r="E171" i="64" s="1" a="1"/>
  <c r="E171" i="64" s="1"/>
  <c r="F145" i="64" l="1"/>
  <c r="E41" i="76"/>
  <c r="E141" i="64"/>
  <c r="E137" i="64"/>
  <c r="G137" i="64"/>
  <c r="G119" i="64"/>
  <c r="F37" i="76"/>
  <c r="F123" i="64"/>
  <c r="F114" i="65"/>
  <c r="G114" i="65"/>
  <c r="H114" i="65"/>
  <c r="I114" i="65"/>
  <c r="J114" i="65"/>
  <c r="K114" i="65"/>
  <c r="L114" i="65"/>
  <c r="M114" i="65"/>
  <c r="N114" i="65"/>
  <c r="O114" i="65"/>
  <c r="P114" i="65"/>
  <c r="Q114" i="65"/>
  <c r="R114" i="65"/>
  <c r="S114" i="65"/>
  <c r="T114" i="65"/>
  <c r="F41" i="76" l="1"/>
  <c r="F141" i="64"/>
  <c r="F45" i="76" s="1"/>
  <c r="G139" i="64"/>
  <c r="G44" i="76" s="1"/>
  <c r="E139" i="64"/>
  <c r="E44" i="76" s="1"/>
  <c r="E138" i="64"/>
  <c r="E140" i="64" s="1"/>
  <c r="G37" i="76"/>
  <c r="G123" i="64"/>
  <c r="G41" i="76" l="1"/>
  <c r="G141" i="64"/>
  <c r="G45" i="76" s="1"/>
  <c r="F138" i="64"/>
  <c r="C150" i="64"/>
  <c r="C148" i="64"/>
  <c r="G145" i="64"/>
  <c r="E4" i="69"/>
  <c r="F140" i="64" l="1"/>
  <c r="C151" i="64" s="1"/>
  <c r="G138" i="64"/>
  <c r="E3" i="69"/>
  <c r="E28" i="69"/>
  <c r="E27" i="69"/>
  <c r="E26" i="69"/>
  <c r="E25" i="69"/>
  <c r="E24" i="69"/>
  <c r="E23" i="69"/>
  <c r="E22" i="69"/>
  <c r="E21" i="69"/>
  <c r="E20" i="69"/>
  <c r="E19" i="69"/>
  <c r="E17" i="69"/>
  <c r="E16" i="69"/>
  <c r="E15" i="69"/>
  <c r="E14" i="69"/>
  <c r="E13" i="69"/>
  <c r="E12" i="69"/>
  <c r="E11" i="69"/>
  <c r="E10" i="69"/>
  <c r="E9" i="69"/>
  <c r="G140" i="64" l="1"/>
  <c r="F146" i="64"/>
  <c r="C182" i="64" a="1"/>
  <c r="C182" i="64" s="1"/>
  <c r="C183" i="64" a="1"/>
  <c r="C183" i="64" s="1"/>
  <c r="C186" i="64" s="1"/>
  <c r="D14" i="76" s="1"/>
  <c r="C14" i="76" s="1"/>
  <c r="W47" i="64"/>
  <c r="V47" i="64"/>
  <c r="W64" i="64"/>
  <c r="U47" i="64"/>
  <c r="D63" i="64" a="1"/>
  <c r="B242" i="64"/>
  <c r="C229" i="64"/>
  <c r="D318" i="64" a="1"/>
  <c r="D46" i="64" a="1"/>
  <c r="T47" i="64" s="1"/>
  <c r="B342" i="64"/>
  <c r="B341" i="64"/>
  <c r="D282" i="64" a="1"/>
  <c r="D283" i="64" s="1" a="1"/>
  <c r="E2" i="65" a="1"/>
  <c r="C152" i="64" l="1" a="1"/>
  <c r="C152" i="64" s="1"/>
  <c r="G146" i="64"/>
  <c r="C149" i="64"/>
  <c r="C155" i="64" a="1"/>
  <c r="C155" i="64" s="1"/>
  <c r="C154" i="64" a="1"/>
  <c r="C154" i="64" s="1"/>
  <c r="C157" i="64" s="1"/>
  <c r="R47" i="64"/>
  <c r="E47" i="64"/>
  <c r="F47" i="64"/>
  <c r="I47" i="64"/>
  <c r="J47" i="64"/>
  <c r="K47" i="64"/>
  <c r="Q47" i="64"/>
  <c r="S47" i="64"/>
  <c r="H47" i="64"/>
  <c r="L47" i="64"/>
  <c r="O47" i="64"/>
  <c r="G47" i="64"/>
  <c r="M47" i="64"/>
  <c r="N47" i="64"/>
  <c r="P47" i="64"/>
  <c r="M149" i="65" a="1"/>
  <c r="M149" i="65" s="1"/>
  <c r="N149" i="65" a="1"/>
  <c r="N149" i="65" s="1"/>
  <c r="R149" i="65" a="1"/>
  <c r="R149" i="65" s="1"/>
  <c r="S149" i="65" a="1"/>
  <c r="S149" i="65" s="1"/>
  <c r="T149" i="65" a="1"/>
  <c r="T149" i="65" s="1"/>
  <c r="K149" i="65" a="1"/>
  <c r="K149" i="65" s="1"/>
  <c r="O149" i="65" a="1"/>
  <c r="O149" i="65" s="1"/>
  <c r="P149" i="65" a="1"/>
  <c r="P149" i="65" s="1"/>
  <c r="Q149" i="65" a="1"/>
  <c r="Q149" i="65" s="1"/>
  <c r="F150" i="65" a="1"/>
  <c r="F150" i="65" s="1"/>
  <c r="F149" i="65" a="1"/>
  <c r="F149" i="65" s="1"/>
  <c r="G149" i="65" a="1"/>
  <c r="G149" i="65" s="1"/>
  <c r="H149" i="65" a="1"/>
  <c r="H149" i="65" s="1"/>
  <c r="I149" i="65" a="1"/>
  <c r="I149" i="65" s="1"/>
  <c r="J149" i="65" a="1"/>
  <c r="J149" i="65" s="1"/>
  <c r="L149" i="65" a="1"/>
  <c r="L149" i="65" s="1"/>
  <c r="M150" i="65" a="1"/>
  <c r="M150" i="65" s="1"/>
  <c r="I150" i="65" a="1"/>
  <c r="I150" i="65" s="1"/>
  <c r="T150" i="65" a="1"/>
  <c r="T150" i="65" s="1"/>
  <c r="L150" i="65" a="1"/>
  <c r="L150" i="65" s="1"/>
  <c r="N150" i="65" a="1"/>
  <c r="N150" i="65" s="1"/>
  <c r="P150" i="65" a="1"/>
  <c r="P150" i="65" s="1"/>
  <c r="Q150" i="65" a="1"/>
  <c r="Q150" i="65" s="1"/>
  <c r="R150" i="65" a="1"/>
  <c r="R150" i="65" s="1"/>
  <c r="O150" i="65" a="1"/>
  <c r="O150" i="65" s="1"/>
  <c r="S150" i="65" a="1"/>
  <c r="S150" i="65" s="1"/>
  <c r="G150" i="65" a="1"/>
  <c r="G150" i="65" s="1"/>
  <c r="H150" i="65" a="1"/>
  <c r="H150" i="65" s="1"/>
  <c r="J150" i="65" a="1"/>
  <c r="J150" i="65" s="1"/>
  <c r="K150" i="65" a="1"/>
  <c r="K150" i="65" s="1"/>
  <c r="C230" i="64"/>
  <c r="D283" i="64"/>
  <c r="E284" i="64" s="1"/>
  <c r="J284" i="64"/>
  <c r="L284" i="64"/>
  <c r="K284" i="64"/>
  <c r="F138" i="65" a="1"/>
  <c r="F138" i="65" s="1"/>
  <c r="V129" i="65" a="1"/>
  <c r="V129" i="65" s="1"/>
  <c r="V82" i="65" a="1"/>
  <c r="V82" i="65" s="1"/>
  <c r="W129" i="65" a="1"/>
  <c r="W129" i="65" s="1"/>
  <c r="W82" i="65" a="1"/>
  <c r="W82" i="65" s="1"/>
  <c r="U91" i="65" a="1"/>
  <c r="U91" i="65" s="1"/>
  <c r="W118" i="65" a="1"/>
  <c r="W118" i="65" s="1"/>
  <c r="U119" i="65" a="1"/>
  <c r="U119" i="65" s="1"/>
  <c r="U92" i="65" a="1"/>
  <c r="U92" i="65" s="1"/>
  <c r="W42" i="65" a="1"/>
  <c r="W42" i="65" s="1"/>
  <c r="W119" i="65" a="1"/>
  <c r="W119" i="65" s="1"/>
  <c r="U128" i="65" a="1"/>
  <c r="U128" i="65" s="1"/>
  <c r="V81" i="65" a="1"/>
  <c r="V81" i="65" s="1"/>
  <c r="W81" i="65" a="1"/>
  <c r="W81" i="65" s="1"/>
  <c r="U82" i="65" a="1"/>
  <c r="U82" i="65" s="1"/>
  <c r="U53" i="65" a="1"/>
  <c r="U53" i="65" s="1"/>
  <c r="U41" i="65" a="1"/>
  <c r="U41" i="65" s="1"/>
  <c r="U118" i="65" a="1"/>
  <c r="U118" i="65" s="1"/>
  <c r="V41" i="65" a="1"/>
  <c r="V41" i="65" s="1"/>
  <c r="W53" i="65" a="1"/>
  <c r="W53" i="65" s="1"/>
  <c r="V118" i="65" a="1"/>
  <c r="V118" i="65" s="1"/>
  <c r="W41" i="65" a="1"/>
  <c r="W41" i="65" s="1"/>
  <c r="V91" i="65" a="1"/>
  <c r="V91" i="65" s="1"/>
  <c r="U42" i="65" a="1"/>
  <c r="U42" i="65" s="1"/>
  <c r="W91" i="65" a="1"/>
  <c r="W91" i="65" s="1"/>
  <c r="V42" i="65" a="1"/>
  <c r="V42" i="65" s="1"/>
  <c r="V119" i="65" a="1"/>
  <c r="V119" i="65" s="1"/>
  <c r="V92" i="65" a="1"/>
  <c r="V92" i="65" s="1"/>
  <c r="W92" i="65" a="1"/>
  <c r="W92" i="65" s="1"/>
  <c r="U81" i="65" a="1"/>
  <c r="U81" i="65" s="1"/>
  <c r="V128" i="65" a="1"/>
  <c r="V128" i="65" s="1"/>
  <c r="W128" i="65" a="1"/>
  <c r="W128" i="65" s="1"/>
  <c r="U129" i="65" a="1"/>
  <c r="U129" i="65" s="1"/>
  <c r="V53" i="65" a="1"/>
  <c r="V53" i="65" s="1"/>
  <c r="W139" i="65" a="1"/>
  <c r="W139" i="65" s="1"/>
  <c r="U150" i="65" a="1"/>
  <c r="U150" i="65" s="1"/>
  <c r="V149" i="65" a="1"/>
  <c r="V149" i="65" s="1"/>
  <c r="V139" i="65" a="1"/>
  <c r="V139" i="65" s="1"/>
  <c r="V138" i="65" a="1"/>
  <c r="V138" i="65" s="1"/>
  <c r="V150" i="65" a="1"/>
  <c r="V150" i="65" s="1"/>
  <c r="U139" i="65" a="1"/>
  <c r="U139" i="65" s="1"/>
  <c r="U138" i="65" a="1"/>
  <c r="U138" i="65" s="1"/>
  <c r="W138" i="65" a="1"/>
  <c r="W138" i="65" s="1"/>
  <c r="U64" i="65"/>
  <c r="V64" i="65"/>
  <c r="W149" i="65" a="1"/>
  <c r="W149" i="65" s="1"/>
  <c r="W150" i="65" a="1"/>
  <c r="W150" i="65" s="1"/>
  <c r="U149" i="65" a="1"/>
  <c r="U149" i="65" s="1"/>
  <c r="W64" i="65"/>
  <c r="V74" i="65" a="1"/>
  <c r="V74" i="65" s="1"/>
  <c r="V72" i="65" s="1"/>
  <c r="U32" i="65" a="1"/>
  <c r="U32" i="65" s="1"/>
  <c r="V33" i="65" a="1"/>
  <c r="V33" i="65" s="1"/>
  <c r="W74" i="65" a="1"/>
  <c r="W74" i="65" s="1"/>
  <c r="W72" i="65" s="1"/>
  <c r="U9" i="65" a="1"/>
  <c r="U9" i="65" s="1"/>
  <c r="V9" i="65" a="1"/>
  <c r="V9" i="65" s="1"/>
  <c r="W8" i="65" a="1"/>
  <c r="W8" i="65" s="1"/>
  <c r="U33" i="65" a="1"/>
  <c r="U33" i="65" s="1"/>
  <c r="W33" i="65" a="1"/>
  <c r="W33" i="65" s="1"/>
  <c r="W32" i="65" a="1"/>
  <c r="W32" i="65" s="1"/>
  <c r="W9" i="65" a="1"/>
  <c r="W9" i="65" s="1"/>
  <c r="U8" i="65" a="1"/>
  <c r="U8" i="65" s="1"/>
  <c r="V8" i="65" a="1"/>
  <c r="V8" i="65" s="1"/>
  <c r="V32" i="65" a="1"/>
  <c r="V32" i="65" s="1"/>
  <c r="U74" i="65" a="1"/>
  <c r="U74" i="65" s="1"/>
  <c r="U72" i="65" s="1"/>
  <c r="J322" i="64"/>
  <c r="K322" i="64"/>
  <c r="L322" i="64"/>
  <c r="D63" i="64"/>
  <c r="D64" i="64" s="1"/>
  <c r="T64" i="64"/>
  <c r="U64" i="64"/>
  <c r="V64" i="64"/>
  <c r="I139" i="65" a="1"/>
  <c r="I139" i="65" s="1"/>
  <c r="P139" i="65" a="1"/>
  <c r="P139" i="65" s="1"/>
  <c r="H139" i="65" a="1"/>
  <c r="H139" i="65" s="1"/>
  <c r="R138" i="65" a="1"/>
  <c r="R138" i="65" s="1"/>
  <c r="N139" i="65" a="1"/>
  <c r="N139" i="65" s="1"/>
  <c r="G138" i="65" a="1"/>
  <c r="G138" i="65" s="1"/>
  <c r="Q138" i="65" a="1"/>
  <c r="Q138" i="65" s="1"/>
  <c r="L139" i="65" a="1"/>
  <c r="L139" i="65" s="1"/>
  <c r="T139" i="65" a="1"/>
  <c r="T139" i="65" s="1"/>
  <c r="K139" i="65" a="1"/>
  <c r="K139" i="65" s="1"/>
  <c r="S139" i="65" a="1"/>
  <c r="S139" i="65" s="1"/>
  <c r="T138" i="65" a="1"/>
  <c r="T138" i="65" s="1"/>
  <c r="J139" i="65" a="1"/>
  <c r="J139" i="65" s="1"/>
  <c r="K138" i="65" a="1"/>
  <c r="K138" i="65" s="1"/>
  <c r="M138" i="65" a="1"/>
  <c r="M138" i="65" s="1"/>
  <c r="J138" i="65" a="1"/>
  <c r="J138" i="65" s="1"/>
  <c r="G139" i="65" a="1"/>
  <c r="G139" i="65" s="1"/>
  <c r="Q139" i="65" a="1"/>
  <c r="Q139" i="65" s="1"/>
  <c r="I138" i="65" a="1"/>
  <c r="I138" i="65" s="1"/>
  <c r="S138" i="65" a="1"/>
  <c r="S138" i="65" s="1"/>
  <c r="P138" i="65" a="1"/>
  <c r="P138" i="65" s="1"/>
  <c r="H138" i="65" a="1"/>
  <c r="H138" i="65" s="1"/>
  <c r="M139" i="65" a="1"/>
  <c r="M139" i="65" s="1"/>
  <c r="O139" i="65" a="1"/>
  <c r="O139" i="65" s="1"/>
  <c r="R139" i="65" a="1"/>
  <c r="R139" i="65" s="1"/>
  <c r="N138" i="65" a="1"/>
  <c r="N138" i="65" s="1"/>
  <c r="O138" i="65" a="1"/>
  <c r="O138" i="65" s="1"/>
  <c r="L138" i="65" a="1"/>
  <c r="L138" i="65" s="1"/>
  <c r="F139" i="65" a="1"/>
  <c r="F139" i="65" s="1"/>
  <c r="F119" i="65" a="1"/>
  <c r="F119" i="65" s="1"/>
  <c r="F118" i="65" a="1"/>
  <c r="F118" i="65" s="1"/>
  <c r="G74" i="65" a="1"/>
  <c r="G74" i="65" s="1"/>
  <c r="G72" i="65" s="1"/>
  <c r="H74" i="65" a="1"/>
  <c r="H74" i="65" s="1"/>
  <c r="H72" i="65" s="1"/>
  <c r="I74" i="65" a="1"/>
  <c r="I74" i="65" s="1"/>
  <c r="I72" i="65" s="1"/>
  <c r="J74" i="65" a="1"/>
  <c r="J74" i="65" s="1"/>
  <c r="J72" i="65" s="1"/>
  <c r="K74" i="65" a="1"/>
  <c r="K74" i="65" s="1"/>
  <c r="K72" i="65" s="1"/>
  <c r="L74" i="65" a="1"/>
  <c r="L74" i="65" s="1"/>
  <c r="L72" i="65" s="1"/>
  <c r="M74" i="65" a="1"/>
  <c r="M74" i="65" s="1"/>
  <c r="M72" i="65" s="1"/>
  <c r="N74" i="65" a="1"/>
  <c r="N74" i="65" s="1"/>
  <c r="N72" i="65" s="1"/>
  <c r="O74" i="65" a="1"/>
  <c r="O74" i="65" s="1"/>
  <c r="O72" i="65" s="1"/>
  <c r="P74" i="65" a="1"/>
  <c r="P74" i="65" s="1"/>
  <c r="P72" i="65" s="1"/>
  <c r="Q74" i="65" a="1"/>
  <c r="Q74" i="65" s="1"/>
  <c r="Q72" i="65" s="1"/>
  <c r="R74" i="65" a="1"/>
  <c r="R74" i="65" s="1"/>
  <c r="R72" i="65" s="1"/>
  <c r="S74" i="65" a="1"/>
  <c r="S74" i="65" s="1"/>
  <c r="S72" i="65" s="1"/>
  <c r="T74" i="65" a="1"/>
  <c r="T74" i="65" s="1"/>
  <c r="T72" i="65" s="1"/>
  <c r="F74" i="65" a="1"/>
  <c r="F74" i="65" s="1"/>
  <c r="F72" i="65" s="1"/>
  <c r="D320" i="64" a="1"/>
  <c r="D319" i="64" a="1"/>
  <c r="D319" i="64" s="1"/>
  <c r="E64" i="64"/>
  <c r="S64" i="64"/>
  <c r="R64" i="64"/>
  <c r="N64" i="64"/>
  <c r="Q64" i="64"/>
  <c r="P64" i="64"/>
  <c r="O64" i="64"/>
  <c r="M64" i="64"/>
  <c r="J64" i="64"/>
  <c r="L64" i="64"/>
  <c r="K64" i="64"/>
  <c r="I64" i="64"/>
  <c r="H64" i="64"/>
  <c r="G64" i="64"/>
  <c r="F64" i="64"/>
  <c r="Q53" i="65" a="1"/>
  <c r="Q53" i="65" s="1"/>
  <c r="I53" i="65" a="1"/>
  <c r="I53" i="65" s="1"/>
  <c r="L53" i="65" a="1"/>
  <c r="L53" i="65" s="1"/>
  <c r="K53" i="65" a="1"/>
  <c r="K53" i="65" s="1"/>
  <c r="P53" i="65" a="1"/>
  <c r="P53" i="65" s="1"/>
  <c r="H53" i="65" a="1"/>
  <c r="H53" i="65" s="1"/>
  <c r="M53" i="65" a="1"/>
  <c r="M53" i="65" s="1"/>
  <c r="R53" i="65" a="1"/>
  <c r="R53" i="65" s="1"/>
  <c r="O53" i="65" a="1"/>
  <c r="O53" i="65" s="1"/>
  <c r="G53" i="65" a="1"/>
  <c r="G53" i="65" s="1"/>
  <c r="N53" i="65" a="1"/>
  <c r="N53" i="65" s="1"/>
  <c r="T53" i="65" a="1"/>
  <c r="T53" i="65" s="1"/>
  <c r="S53" i="65" a="1"/>
  <c r="S53" i="65" s="1"/>
  <c r="J53" i="65" a="1"/>
  <c r="J53" i="65" s="1"/>
  <c r="F53" i="65" a="1"/>
  <c r="F53" i="65" s="1"/>
  <c r="F8" i="65" a="1"/>
  <c r="F8" i="65" s="1"/>
  <c r="S9" i="65" a="1"/>
  <c r="S9" i="65" s="1"/>
  <c r="T9" i="65" a="1"/>
  <c r="T9" i="65" s="1"/>
  <c r="I9" i="65" a="1"/>
  <c r="I9" i="65" s="1"/>
  <c r="G9" i="65" a="1"/>
  <c r="G9" i="65" s="1"/>
  <c r="M9" i="65" a="1"/>
  <c r="M9" i="65" s="1"/>
  <c r="P9" i="65" a="1"/>
  <c r="P9" i="65" s="1"/>
  <c r="H9" i="65" a="1"/>
  <c r="H9" i="65" s="1"/>
  <c r="R9" i="65" a="1"/>
  <c r="R9" i="65" s="1"/>
  <c r="J9" i="65" a="1"/>
  <c r="J9" i="65" s="1"/>
  <c r="O9" i="65" a="1"/>
  <c r="O9" i="65" s="1"/>
  <c r="K9" i="65" a="1"/>
  <c r="K9" i="65" s="1"/>
  <c r="L9" i="65" a="1"/>
  <c r="L9" i="65" s="1"/>
  <c r="N9" i="65" a="1"/>
  <c r="N9" i="65" s="1"/>
  <c r="Q9" i="65" a="1"/>
  <c r="Q9" i="65" s="1"/>
  <c r="F9" i="65" a="1"/>
  <c r="F9" i="65" s="1"/>
  <c r="D46" i="64"/>
  <c r="D47" i="64" s="1"/>
  <c r="C309" i="64"/>
  <c r="C310" i="64" a="1"/>
  <c r="C310" i="64" s="1"/>
  <c r="C312" i="64" s="1" a="1"/>
  <c r="C312" i="64" s="1"/>
  <c r="D318" i="64"/>
  <c r="G32" i="65" a="1"/>
  <c r="G32" i="65" s="1"/>
  <c r="O33" i="65" a="1"/>
  <c r="O33" i="65" s="1"/>
  <c r="N41" i="65" a="1"/>
  <c r="N41" i="65" s="1"/>
  <c r="S92" i="65" a="1"/>
  <c r="S92" i="65" s="1"/>
  <c r="P82" i="65" a="1"/>
  <c r="P82" i="65" s="1"/>
  <c r="O81" i="65" a="1"/>
  <c r="O81" i="65" s="1"/>
  <c r="K42" i="65" a="1"/>
  <c r="K42" i="65" s="1"/>
  <c r="Q32" i="65" a="1"/>
  <c r="Q32" i="65" s="1"/>
  <c r="O41" i="65" a="1"/>
  <c r="O41" i="65" s="1"/>
  <c r="Q92" i="65" a="1"/>
  <c r="Q92" i="65" s="1"/>
  <c r="M81" i="65" a="1"/>
  <c r="M81" i="65" s="1"/>
  <c r="J42" i="65" a="1"/>
  <c r="J42" i="65" s="1"/>
  <c r="Q91" i="65" a="1"/>
  <c r="Q91" i="65" s="1"/>
  <c r="L81" i="65" a="1"/>
  <c r="L81" i="65" s="1"/>
  <c r="I42" i="65" a="1"/>
  <c r="I42" i="65" s="1"/>
  <c r="R32" i="65" a="1"/>
  <c r="R32" i="65" s="1"/>
  <c r="H42" i="65" a="1"/>
  <c r="H42" i="65" s="1"/>
  <c r="J81" i="65" a="1"/>
  <c r="J81" i="65" s="1"/>
  <c r="S42" i="65" a="1"/>
  <c r="S42" i="65" s="1"/>
  <c r="S32" i="65" a="1"/>
  <c r="S32" i="65" s="1"/>
  <c r="J82" i="65" a="1"/>
  <c r="J82" i="65" s="1"/>
  <c r="H41" i="65" a="1"/>
  <c r="H41" i="65" s="1"/>
  <c r="S41" i="65" a="1"/>
  <c r="S41" i="65" s="1"/>
  <c r="M91" i="65" a="1"/>
  <c r="M91" i="65" s="1"/>
  <c r="I82" i="65" a="1"/>
  <c r="I82" i="65" s="1"/>
  <c r="H81" i="65" a="1"/>
  <c r="H81" i="65" s="1"/>
  <c r="R42" i="65" a="1"/>
  <c r="R42" i="65" s="1"/>
  <c r="T32" i="65" a="1"/>
  <c r="T32" i="65" s="1"/>
  <c r="P32" i="65" a="1"/>
  <c r="P32" i="65" s="1"/>
  <c r="G33" i="65" a="1"/>
  <c r="G33" i="65" s="1"/>
  <c r="R92" i="65" a="1"/>
  <c r="R92" i="65" s="1"/>
  <c r="S91" i="65" a="1"/>
  <c r="S91" i="65" s="1"/>
  <c r="O82" i="65" a="1"/>
  <c r="O82" i="65" s="1"/>
  <c r="N81" i="65" a="1"/>
  <c r="N81" i="65" s="1"/>
  <c r="H32" i="65" a="1"/>
  <c r="H32" i="65" s="1"/>
  <c r="P33" i="65" a="1"/>
  <c r="P33" i="65" s="1"/>
  <c r="R91" i="65" a="1"/>
  <c r="R91" i="65" s="1"/>
  <c r="N82" i="65" a="1"/>
  <c r="N82" i="65" s="1"/>
  <c r="I32" i="65" a="1"/>
  <c r="I32" i="65" s="1"/>
  <c r="H33" i="65" a="1"/>
  <c r="H33" i="65" s="1"/>
  <c r="P41" i="65" a="1"/>
  <c r="P41" i="65" s="1"/>
  <c r="P92" i="65" a="1"/>
  <c r="P92" i="65" s="1"/>
  <c r="M82" i="65" a="1"/>
  <c r="M82" i="65" s="1"/>
  <c r="Q33" i="65" a="1"/>
  <c r="Q33" i="65" s="1"/>
  <c r="Q41" i="65" a="1"/>
  <c r="Q41" i="65" s="1"/>
  <c r="O92" i="65" a="1"/>
  <c r="O92" i="65" s="1"/>
  <c r="P91" i="65" a="1"/>
  <c r="P91" i="65" s="1"/>
  <c r="L82" i="65" a="1"/>
  <c r="L82" i="65" s="1"/>
  <c r="K81" i="65" a="1"/>
  <c r="K81" i="65" s="1"/>
  <c r="T42" i="65" a="1"/>
  <c r="T42" i="65" s="1"/>
  <c r="J32" i="65" a="1"/>
  <c r="J32" i="65" s="1"/>
  <c r="I33" i="65" a="1"/>
  <c r="I33" i="65" s="1"/>
  <c r="R33" i="65" a="1"/>
  <c r="R33" i="65" s="1"/>
  <c r="N92" i="65" a="1"/>
  <c r="N92" i="65" s="1"/>
  <c r="O91" i="65" a="1"/>
  <c r="O91" i="65" s="1"/>
  <c r="K82" i="65" a="1"/>
  <c r="K82" i="65" s="1"/>
  <c r="J33" i="65" a="1"/>
  <c r="J33" i="65" s="1"/>
  <c r="G41" i="65" a="1"/>
  <c r="G41" i="65" s="1"/>
  <c r="R41" i="65" a="1"/>
  <c r="R41" i="65" s="1"/>
  <c r="M92" i="65" a="1"/>
  <c r="M92" i="65" s="1"/>
  <c r="N91" i="65" a="1"/>
  <c r="N91" i="65" s="1"/>
  <c r="I81" i="65" a="1"/>
  <c r="I81" i="65" s="1"/>
  <c r="K32" i="65" a="1"/>
  <c r="K32" i="65" s="1"/>
  <c r="S33" i="65" a="1"/>
  <c r="S33" i="65" s="1"/>
  <c r="K33" i="65" a="1"/>
  <c r="K33" i="65" s="1"/>
  <c r="I41" i="65" a="1"/>
  <c r="I41" i="65" s="1"/>
  <c r="L92" i="65" a="1"/>
  <c r="L92" i="65" s="1"/>
  <c r="L91" i="65" a="1"/>
  <c r="L91" i="65" s="1"/>
  <c r="H82" i="65" a="1"/>
  <c r="H82" i="65" s="1"/>
  <c r="G81" i="65" a="1"/>
  <c r="G81" i="65" s="1"/>
  <c r="L32" i="65" a="1"/>
  <c r="L32" i="65" s="1"/>
  <c r="T33" i="65" a="1"/>
  <c r="T33" i="65" s="1"/>
  <c r="T41" i="65" a="1"/>
  <c r="T41" i="65" s="1"/>
  <c r="K92" i="65" a="1"/>
  <c r="K92" i="65" s="1"/>
  <c r="G82" i="65" a="1"/>
  <c r="G82" i="65" s="1"/>
  <c r="Q42" i="65" a="1"/>
  <c r="Q42" i="65" s="1"/>
  <c r="L33" i="65" a="1"/>
  <c r="L33" i="65" s="1"/>
  <c r="J41" i="65" a="1"/>
  <c r="J41" i="65" s="1"/>
  <c r="M32" i="65" a="1"/>
  <c r="M32" i="65" s="1"/>
  <c r="O42" i="65" a="1"/>
  <c r="O42" i="65" s="1"/>
  <c r="T92" i="65" a="1"/>
  <c r="T92" i="65" s="1"/>
  <c r="T82" i="65" a="1"/>
  <c r="T82" i="65" s="1"/>
  <c r="N42" i="65" a="1"/>
  <c r="N42" i="65" s="1"/>
  <c r="N32" i="65" a="1"/>
  <c r="N32" i="65" s="1"/>
  <c r="J92" i="65" a="1"/>
  <c r="J92" i="65" s="1"/>
  <c r="S82" i="65" a="1"/>
  <c r="S82" i="65" s="1"/>
  <c r="M42" i="65" a="1"/>
  <c r="M42" i="65" s="1"/>
  <c r="I92" i="65" a="1"/>
  <c r="I92" i="65" s="1"/>
  <c r="R82" i="65" a="1"/>
  <c r="R82" i="65" s="1"/>
  <c r="L42" i="65" a="1"/>
  <c r="L42" i="65" s="1"/>
  <c r="O32" i="65" a="1"/>
  <c r="O32" i="65" s="1"/>
  <c r="H92" i="65" a="1"/>
  <c r="H92" i="65" s="1"/>
  <c r="Q82" i="65" a="1"/>
  <c r="Q82" i="65" s="1"/>
  <c r="G92" i="65" a="1"/>
  <c r="G92" i="65" s="1"/>
  <c r="T81" i="65" a="1"/>
  <c r="T81" i="65" s="1"/>
  <c r="S81" i="65" a="1"/>
  <c r="S81" i="65" s="1"/>
  <c r="R81" i="65" a="1"/>
  <c r="R81" i="65" s="1"/>
  <c r="L41" i="65" a="1"/>
  <c r="L41" i="65" s="1"/>
  <c r="T91" i="65" a="1"/>
  <c r="T91" i="65" s="1"/>
  <c r="K41" i="65" a="1"/>
  <c r="K41" i="65" s="1"/>
  <c r="K91" i="65" a="1"/>
  <c r="K91" i="65" s="1"/>
  <c r="J91" i="65" a="1"/>
  <c r="J91" i="65" s="1"/>
  <c r="Q81" i="65" a="1"/>
  <c r="Q81" i="65" s="1"/>
  <c r="I91" i="65" a="1"/>
  <c r="I91" i="65" s="1"/>
  <c r="P81" i="65" a="1"/>
  <c r="P81" i="65" s="1"/>
  <c r="M41" i="65" a="1"/>
  <c r="M41" i="65" s="1"/>
  <c r="H91" i="65" a="1"/>
  <c r="H91" i="65" s="1"/>
  <c r="M33" i="65" a="1"/>
  <c r="M33" i="65" s="1"/>
  <c r="G91" i="65" a="1"/>
  <c r="G91" i="65" s="1"/>
  <c r="N33" i="65" a="1"/>
  <c r="N33" i="65" s="1"/>
  <c r="P42" i="65" a="1"/>
  <c r="P42" i="65" s="1"/>
  <c r="J8" i="65" a="1"/>
  <c r="J8" i="65" s="1"/>
  <c r="S8" i="65" a="1"/>
  <c r="S8" i="65" s="1"/>
  <c r="L8" i="65" a="1"/>
  <c r="L8" i="65" s="1"/>
  <c r="M8" i="65" a="1"/>
  <c r="M8" i="65" s="1"/>
  <c r="P8" i="65" a="1"/>
  <c r="P8" i="65" s="1"/>
  <c r="H8" i="65" a="1"/>
  <c r="H8" i="65" s="1"/>
  <c r="Q8" i="65" a="1"/>
  <c r="Q8" i="65" s="1"/>
  <c r="O8" i="65" a="1"/>
  <c r="O8" i="65" s="1"/>
  <c r="G8" i="65" a="1"/>
  <c r="G8" i="65" s="1"/>
  <c r="R8" i="65" a="1"/>
  <c r="R8" i="65" s="1"/>
  <c r="K8" i="65" a="1"/>
  <c r="K8" i="65" s="1"/>
  <c r="T8" i="65" a="1"/>
  <c r="T8" i="65" s="1"/>
  <c r="N8" i="65" a="1"/>
  <c r="N8" i="65" s="1"/>
  <c r="I8" i="65" a="1"/>
  <c r="I8" i="65" s="1"/>
  <c r="D282" i="64"/>
  <c r="S119" i="65" a="1"/>
  <c r="S119" i="65" s="1"/>
  <c r="Q118" i="65" a="1"/>
  <c r="Q118" i="65" s="1"/>
  <c r="R119" i="65" a="1"/>
  <c r="R119" i="65" s="1"/>
  <c r="H119" i="65" a="1"/>
  <c r="H119" i="65" s="1"/>
  <c r="R118" i="65" a="1"/>
  <c r="R118" i="65" s="1"/>
  <c r="Q119" i="65" a="1"/>
  <c r="Q119" i="65" s="1"/>
  <c r="M119" i="65" a="1"/>
  <c r="M119" i="65" s="1"/>
  <c r="O118" i="65" a="1"/>
  <c r="O118" i="65" s="1"/>
  <c r="T119" i="65" a="1"/>
  <c r="T119" i="65" s="1"/>
  <c r="S118" i="65" a="1"/>
  <c r="S118" i="65" s="1"/>
  <c r="K118" i="65" a="1"/>
  <c r="K118" i="65" s="1"/>
  <c r="L118" i="65" a="1"/>
  <c r="L118" i="65" s="1"/>
  <c r="G119" i="65" a="1"/>
  <c r="G119" i="65" s="1"/>
  <c r="P119" i="65" a="1"/>
  <c r="P119" i="65" s="1"/>
  <c r="T118" i="65" a="1"/>
  <c r="T118" i="65" s="1"/>
  <c r="L119" i="65" a="1"/>
  <c r="L119" i="65" s="1"/>
  <c r="K119" i="65" a="1"/>
  <c r="K119" i="65" s="1"/>
  <c r="N118" i="65" a="1"/>
  <c r="N118" i="65" s="1"/>
  <c r="P118" i="65" a="1"/>
  <c r="P118" i="65" s="1"/>
  <c r="G118" i="65" a="1"/>
  <c r="G118" i="65" s="1"/>
  <c r="O119" i="65" a="1"/>
  <c r="O119" i="65" s="1"/>
  <c r="H118" i="65" a="1"/>
  <c r="H118" i="65" s="1"/>
  <c r="N119" i="65" a="1"/>
  <c r="N119" i="65" s="1"/>
  <c r="I118" i="65" a="1"/>
  <c r="I118" i="65" s="1"/>
  <c r="J118" i="65" a="1"/>
  <c r="J118" i="65" s="1"/>
  <c r="M118" i="65" a="1"/>
  <c r="M118" i="65" s="1"/>
  <c r="J119" i="65" a="1"/>
  <c r="J119" i="65" s="1"/>
  <c r="I119" i="65" a="1"/>
  <c r="I119" i="65" s="1"/>
  <c r="G128" i="65" a="1"/>
  <c r="G128" i="65" s="1"/>
  <c r="I129" i="65" a="1"/>
  <c r="I129" i="65" s="1"/>
  <c r="H128" i="65" a="1"/>
  <c r="H128" i="65" s="1"/>
  <c r="J129" i="65" a="1"/>
  <c r="J129" i="65" s="1"/>
  <c r="I128" i="65" a="1"/>
  <c r="I128" i="65" s="1"/>
  <c r="K129" i="65" a="1"/>
  <c r="K129" i="65" s="1"/>
  <c r="J128" i="65" a="1"/>
  <c r="J128" i="65" s="1"/>
  <c r="L129" i="65" a="1"/>
  <c r="L129" i="65" s="1"/>
  <c r="K128" i="65" a="1"/>
  <c r="K128" i="65" s="1"/>
  <c r="M129" i="65" a="1"/>
  <c r="M129" i="65" s="1"/>
  <c r="L128" i="65" a="1"/>
  <c r="L128" i="65" s="1"/>
  <c r="N129" i="65" a="1"/>
  <c r="N129" i="65" s="1"/>
  <c r="M128" i="65" a="1"/>
  <c r="M128" i="65" s="1"/>
  <c r="O129" i="65" a="1"/>
  <c r="O129" i="65" s="1"/>
  <c r="H129" i="65" a="1"/>
  <c r="H129" i="65" s="1"/>
  <c r="T128" i="65" a="1"/>
  <c r="T128" i="65" s="1"/>
  <c r="G129" i="65" a="1"/>
  <c r="G129" i="65" s="1"/>
  <c r="N128" i="65" a="1"/>
  <c r="N128" i="65" s="1"/>
  <c r="P129" i="65" a="1"/>
  <c r="P129" i="65" s="1"/>
  <c r="O128" i="65" a="1"/>
  <c r="O128" i="65" s="1"/>
  <c r="Q129" i="65" a="1"/>
  <c r="Q129" i="65" s="1"/>
  <c r="P128" i="65" a="1"/>
  <c r="P128" i="65" s="1"/>
  <c r="R129" i="65" a="1"/>
  <c r="R129" i="65" s="1"/>
  <c r="Q128" i="65" a="1"/>
  <c r="Q128" i="65" s="1"/>
  <c r="S129" i="65" a="1"/>
  <c r="S129" i="65" s="1"/>
  <c r="R128" i="65" a="1"/>
  <c r="R128" i="65" s="1"/>
  <c r="T129" i="65" a="1"/>
  <c r="T129" i="65" s="1"/>
  <c r="S128" i="65" a="1"/>
  <c r="S128" i="65" s="1"/>
  <c r="H284" i="64"/>
  <c r="G284" i="64"/>
  <c r="I284" i="64"/>
  <c r="F284" i="64"/>
  <c r="E2" i="65"/>
  <c r="D11" i="76" l="1"/>
  <c r="D15" i="76" s="1"/>
  <c r="E15" i="76" s="1"/>
  <c r="E11" i="76"/>
  <c r="C287" i="64" a="1"/>
  <c r="C287" i="64" s="1"/>
  <c r="C286" i="64" a="1"/>
  <c r="C286" i="64" s="1"/>
  <c r="F64" i="65"/>
  <c r="I64" i="65"/>
  <c r="M64" i="65"/>
  <c r="N64" i="65"/>
  <c r="S64" i="65"/>
  <c r="L64" i="65"/>
  <c r="J64" i="65"/>
  <c r="R64" i="65"/>
  <c r="Q64" i="65"/>
  <c r="K64" i="65"/>
  <c r="O64" i="65"/>
  <c r="G64" i="65"/>
  <c r="P64" i="65"/>
  <c r="T64" i="65"/>
  <c r="H64" i="65"/>
  <c r="N146" i="65"/>
  <c r="V146" i="65"/>
  <c r="G146" i="65"/>
  <c r="F146" i="65"/>
  <c r="L146" i="65"/>
  <c r="U146" i="65"/>
  <c r="H146" i="65"/>
  <c r="S146" i="65"/>
  <c r="J146" i="65"/>
  <c r="I146" i="65"/>
  <c r="Q146" i="65"/>
  <c r="M146" i="65"/>
  <c r="P146" i="65"/>
  <c r="O146" i="65"/>
  <c r="K146" i="65"/>
  <c r="W146" i="65"/>
  <c r="T146" i="65"/>
  <c r="R146" i="65"/>
  <c r="V90" i="65"/>
  <c r="V40" i="65"/>
  <c r="D75" i="65"/>
  <c r="D76" i="65"/>
  <c r="W6" i="65"/>
  <c r="W90" i="65"/>
  <c r="V135" i="65"/>
  <c r="L321" i="64"/>
  <c r="K321" i="64"/>
  <c r="W40" i="65"/>
  <c r="W51" i="65"/>
  <c r="U90" i="65"/>
  <c r="V51" i="65"/>
  <c r="W46" i="65"/>
  <c r="W86" i="65"/>
  <c r="V6" i="65"/>
  <c r="W116" i="65"/>
  <c r="W126" i="65"/>
  <c r="U40" i="65"/>
  <c r="V86" i="65"/>
  <c r="V46" i="65"/>
  <c r="U6" i="65"/>
  <c r="V126" i="65"/>
  <c r="V116" i="65"/>
  <c r="U51" i="65"/>
  <c r="U85" i="65"/>
  <c r="U80" i="65"/>
  <c r="U45" i="65"/>
  <c r="U46" i="65"/>
  <c r="U86" i="65"/>
  <c r="W45" i="65"/>
  <c r="W80" i="65"/>
  <c r="W85" i="65"/>
  <c r="V45" i="65"/>
  <c r="V85" i="65"/>
  <c r="V80" i="65"/>
  <c r="W135" i="65"/>
  <c r="U126" i="65"/>
  <c r="U116" i="65"/>
  <c r="U135" i="65"/>
  <c r="G135" i="65"/>
  <c r="M135" i="65"/>
  <c r="O135" i="65"/>
  <c r="Q135" i="65"/>
  <c r="I135" i="65"/>
  <c r="F135" i="65"/>
  <c r="J135" i="65"/>
  <c r="L135" i="65"/>
  <c r="T135" i="65"/>
  <c r="S135" i="65"/>
  <c r="H135" i="65"/>
  <c r="K135" i="65"/>
  <c r="P135" i="65"/>
  <c r="N135" i="65"/>
  <c r="R135" i="65"/>
  <c r="D322" i="64"/>
  <c r="I322" i="64"/>
  <c r="G322" i="64"/>
  <c r="H322" i="64"/>
  <c r="F51" i="65"/>
  <c r="E322" i="64"/>
  <c r="C311" i="64" a="1"/>
  <c r="C311" i="64" s="1"/>
  <c r="D320" i="64"/>
  <c r="G321" i="64"/>
  <c r="H321" i="64"/>
  <c r="F321" i="64"/>
  <c r="I321" i="64"/>
  <c r="J321" i="64"/>
  <c r="F322" i="64"/>
  <c r="T6" i="65"/>
  <c r="H51" i="65"/>
  <c r="S51" i="65"/>
  <c r="G51" i="65"/>
  <c r="L51" i="65"/>
  <c r="T51" i="65"/>
  <c r="K51" i="65"/>
  <c r="P51" i="65"/>
  <c r="O51" i="65"/>
  <c r="M51" i="65"/>
  <c r="Q51" i="65"/>
  <c r="I51" i="65"/>
  <c r="J51" i="65"/>
  <c r="N51" i="65"/>
  <c r="R51" i="65"/>
  <c r="I6" i="65"/>
  <c r="F6" i="65"/>
  <c r="G6" i="65"/>
  <c r="N6" i="65"/>
  <c r="Q6" i="65"/>
  <c r="O6" i="65"/>
  <c r="K6" i="65"/>
  <c r="L6" i="65"/>
  <c r="R6" i="65"/>
  <c r="M6" i="65"/>
  <c r="H6" i="65"/>
  <c r="S6" i="65"/>
  <c r="P6" i="65"/>
  <c r="J6" i="65"/>
  <c r="P40" i="65"/>
  <c r="O40" i="65"/>
  <c r="F92" i="65" a="1"/>
  <c r="F92" i="65" s="1"/>
  <c r="F91" i="65" a="1"/>
  <c r="F91" i="65" s="1"/>
  <c r="F32" i="65" a="1"/>
  <c r="F32" i="65" s="1"/>
  <c r="F33" i="65" a="1"/>
  <c r="F33" i="65" s="1"/>
  <c r="R40" i="65"/>
  <c r="Q40" i="65"/>
  <c r="T40" i="65"/>
  <c r="G40" i="65"/>
  <c r="E31" i="65"/>
  <c r="E90" i="65"/>
  <c r="C161" i="64" a="1"/>
  <c r="C161" i="64" s="1"/>
  <c r="S40" i="65"/>
  <c r="H40" i="65"/>
  <c r="K40" i="65"/>
  <c r="P80" i="65"/>
  <c r="P45" i="65"/>
  <c r="P85" i="65"/>
  <c r="I90" i="65"/>
  <c r="I31" i="65"/>
  <c r="R46" i="65"/>
  <c r="R86" i="65"/>
  <c r="L45" i="65"/>
  <c r="L80" i="65"/>
  <c r="L85" i="65"/>
  <c r="Q85" i="65"/>
  <c r="Q80" i="65"/>
  <c r="Q45" i="65"/>
  <c r="M86" i="65"/>
  <c r="M46" i="65"/>
  <c r="Q31" i="65"/>
  <c r="Q90" i="65"/>
  <c r="K31" i="65"/>
  <c r="K90" i="65"/>
  <c r="G85" i="65"/>
  <c r="G80" i="65"/>
  <c r="G45" i="65"/>
  <c r="K86" i="65"/>
  <c r="K46" i="65"/>
  <c r="O90" i="65"/>
  <c r="O31" i="65"/>
  <c r="L40" i="65"/>
  <c r="N86" i="65"/>
  <c r="N46" i="65"/>
  <c r="M90" i="65"/>
  <c r="M31" i="65"/>
  <c r="I40" i="65"/>
  <c r="O85" i="65"/>
  <c r="O80" i="65"/>
  <c r="O45" i="65"/>
  <c r="T45" i="65"/>
  <c r="T85" i="65"/>
  <c r="T80" i="65"/>
  <c r="J86" i="65"/>
  <c r="J46" i="65"/>
  <c r="N85" i="65"/>
  <c r="N45" i="65"/>
  <c r="N80" i="65"/>
  <c r="G90" i="65"/>
  <c r="G31" i="65"/>
  <c r="J40" i="65"/>
  <c r="L46" i="65"/>
  <c r="L86" i="65"/>
  <c r="J85" i="65"/>
  <c r="J80" i="65"/>
  <c r="J45" i="65"/>
  <c r="H90" i="65"/>
  <c r="H31" i="65"/>
  <c r="N90" i="65"/>
  <c r="N31" i="65"/>
  <c r="P31" i="65"/>
  <c r="P90" i="65"/>
  <c r="J31" i="65"/>
  <c r="J90" i="65"/>
  <c r="S46" i="65"/>
  <c r="S86" i="65"/>
  <c r="M45" i="65"/>
  <c r="M80" i="65"/>
  <c r="M85" i="65"/>
  <c r="H86" i="65"/>
  <c r="H46" i="65"/>
  <c r="H80" i="65"/>
  <c r="H85" i="65"/>
  <c r="H45" i="65"/>
  <c r="T90" i="65"/>
  <c r="T31" i="65"/>
  <c r="L90" i="65"/>
  <c r="L31" i="65"/>
  <c r="I46" i="65"/>
  <c r="I86" i="65"/>
  <c r="R85" i="65"/>
  <c r="R45" i="65"/>
  <c r="R80" i="65"/>
  <c r="T86" i="65"/>
  <c r="T46" i="65"/>
  <c r="R31" i="65"/>
  <c r="R90" i="65"/>
  <c r="S45" i="65"/>
  <c r="S85" i="65"/>
  <c r="S80" i="65"/>
  <c r="P86" i="65"/>
  <c r="P46" i="65"/>
  <c r="K85" i="65"/>
  <c r="K45" i="65"/>
  <c r="K80" i="65"/>
  <c r="O46" i="65"/>
  <c r="O86" i="65"/>
  <c r="N40" i="65"/>
  <c r="Q46" i="65"/>
  <c r="Q86" i="65"/>
  <c r="I85" i="65"/>
  <c r="I80" i="65"/>
  <c r="I45" i="65"/>
  <c r="S90" i="65"/>
  <c r="S31" i="65"/>
  <c r="M40" i="65"/>
  <c r="G46" i="65"/>
  <c r="G86" i="65"/>
  <c r="I116" i="65"/>
  <c r="P116" i="65"/>
  <c r="M116" i="65"/>
  <c r="S116" i="65"/>
  <c r="H116" i="65"/>
  <c r="L116" i="65"/>
  <c r="R116" i="65"/>
  <c r="O116" i="65"/>
  <c r="G116" i="65"/>
  <c r="Q116" i="65"/>
  <c r="N116" i="65"/>
  <c r="T116" i="65"/>
  <c r="K116" i="65"/>
  <c r="J116" i="65"/>
  <c r="F128" i="65" a="1"/>
  <c r="F128" i="65" s="1"/>
  <c r="F129" i="65" a="1"/>
  <c r="F129" i="65" s="1"/>
  <c r="H126" i="65"/>
  <c r="S126" i="65"/>
  <c r="T126" i="65"/>
  <c r="O126" i="65"/>
  <c r="L126" i="65"/>
  <c r="P126" i="65"/>
  <c r="I126" i="65"/>
  <c r="K126" i="65"/>
  <c r="J126" i="65"/>
  <c r="M126" i="65"/>
  <c r="Q126" i="65"/>
  <c r="R126" i="65"/>
  <c r="N126" i="65"/>
  <c r="G126" i="65"/>
  <c r="C15" i="76" l="1"/>
  <c r="C11" i="76"/>
  <c r="C163" i="64" a="1"/>
  <c r="C163" i="64" s="1"/>
  <c r="D66" i="65"/>
  <c r="D141" i="65"/>
  <c r="D55" i="65"/>
  <c r="D56" i="65"/>
  <c r="C162" i="64" a="1"/>
  <c r="C162" i="64" s="1"/>
  <c r="D12" i="76" s="1"/>
  <c r="C12" i="76" s="1"/>
  <c r="D67" i="65"/>
  <c r="D142" i="65"/>
  <c r="D12" i="65"/>
  <c r="D11" i="65"/>
  <c r="C203" i="64"/>
  <c r="C204" i="64" s="1"/>
  <c r="B5" i="21" s="1"/>
  <c r="F31" i="65"/>
  <c r="F90" i="65"/>
  <c r="F126" i="65"/>
  <c r="D130" i="65" s="1"/>
  <c r="D131" i="65" l="1"/>
  <c r="D35" i="65"/>
  <c r="D36" i="65"/>
  <c r="F81" i="65" a="1"/>
  <c r="F81" i="65" s="1"/>
  <c r="F82" i="65" a="1"/>
  <c r="F82" i="65" s="1"/>
  <c r="B5" i="76" l="1"/>
  <c r="D151" i="65"/>
  <c r="F40" i="65"/>
  <c r="F86" i="65"/>
  <c r="F46" i="65"/>
  <c r="F45" i="65"/>
  <c r="F80" i="65"/>
  <c r="F85" i="65"/>
  <c r="F116" i="65"/>
  <c r="D121" i="65" l="1"/>
  <c r="D120" i="65"/>
  <c r="D152" i="65"/>
  <c r="E8" i="69" l="1"/>
  <c r="C165" i="64" l="1"/>
  <c r="E12" i="76" s="1"/>
  <c r="C236" i="64" a="1"/>
  <c r="C236" i="64" s="1"/>
  <c r="C231" i="64"/>
  <c r="E14" i="21" s="1"/>
  <c r="D14" i="21" s="1"/>
  <c r="C277" i="64" a="1"/>
  <c r="C277" i="64" s="1"/>
  <c r="C275" i="64" a="1"/>
  <c r="C275" i="64" s="1"/>
  <c r="C271" i="64" a="1"/>
  <c r="C271" i="64" s="1"/>
  <c r="C276" i="64" a="1"/>
  <c r="C276" i="64" s="1"/>
  <c r="C270" i="64" a="1"/>
  <c r="C270" i="64" s="1"/>
  <c r="C173" i="64" a="1"/>
  <c r="C173" i="64" s="1"/>
  <c r="C325" i="64"/>
  <c r="C315" i="64"/>
  <c r="C334" i="64" a="1"/>
  <c r="C334" i="64" s="1"/>
  <c r="C324" i="64" a="1"/>
  <c r="C324" i="64" s="1"/>
  <c r="C335" i="64" a="1"/>
  <c r="C335" i="64" s="1"/>
  <c r="E21" i="21"/>
  <c r="D21" i="21" s="1"/>
  <c r="C244" i="64"/>
  <c r="C313" i="64"/>
  <c r="C289" i="64" a="1"/>
  <c r="C289" i="64" s="1"/>
  <c r="C288" i="64" s="1" a="1"/>
  <c r="C288" i="64" s="1"/>
  <c r="C254" i="64"/>
  <c r="C265" i="64" a="1"/>
  <c r="C265" i="64" s="1"/>
  <c r="C266" i="64" s="1"/>
  <c r="C336" i="64" a="1"/>
  <c r="C336" i="64" s="1"/>
  <c r="C174" i="64"/>
  <c r="C343" i="64"/>
  <c r="B61" i="64"/>
  <c r="C113" i="65"/>
  <c r="C256" i="64" l="1" a="1"/>
  <c r="C256" i="64" s="1"/>
  <c r="C258" i="64" a="1"/>
  <c r="C258" i="64" s="1"/>
  <c r="F21" i="21"/>
  <c r="C232" i="64"/>
  <c r="C338" i="64"/>
  <c r="C175" i="64" a="1"/>
  <c r="C175" i="64" s="1"/>
  <c r="D13" i="76" s="1"/>
  <c r="C13" i="76" s="1"/>
  <c r="C272" i="64"/>
  <c r="C292" i="64"/>
  <c r="C326" i="64" a="1"/>
  <c r="C326" i="64" s="1"/>
  <c r="E22" i="21" s="1"/>
  <c r="D22" i="21" s="1"/>
  <c r="E17" i="21"/>
  <c r="D17" i="21" s="1"/>
  <c r="C341" i="64"/>
  <c r="C344" i="64" s="1"/>
  <c r="E23" i="21" s="1"/>
  <c r="C342" i="64"/>
  <c r="C345" i="64" s="1"/>
  <c r="C243" i="64"/>
  <c r="C242" i="64"/>
  <c r="C246" i="64" s="1"/>
  <c r="C290" i="64"/>
  <c r="E18" i="21" s="1"/>
  <c r="D18" i="21" s="1"/>
  <c r="C279" i="64"/>
  <c r="C257" i="64" a="1"/>
  <c r="C257" i="64" s="1"/>
  <c r="C261" i="64" a="1"/>
  <c r="C261" i="64" s="1"/>
  <c r="E16" i="21" s="1"/>
  <c r="D16" i="21" s="1"/>
  <c r="C260" i="64" a="1"/>
  <c r="C260" i="64" s="1"/>
  <c r="C259" i="64" a="1"/>
  <c r="C259" i="64" s="1"/>
  <c r="D25" i="21" l="1"/>
  <c r="D23" i="21"/>
  <c r="F18" i="21"/>
  <c r="C177" i="64"/>
  <c r="E13" i="76" s="1"/>
  <c r="C237" i="64"/>
  <c r="C238" i="64" s="1"/>
  <c r="F17" i="21"/>
  <c r="C262" i="64"/>
  <c r="F16" i="21" s="1"/>
  <c r="C328" i="64"/>
  <c r="C347" i="64"/>
  <c r="C247" i="64"/>
  <c r="C248" i="64" s="1"/>
  <c r="C356" i="64"/>
  <c r="C249" i="64" l="1"/>
  <c r="C355" i="64"/>
  <c r="F23" i="21"/>
  <c r="C239" i="64"/>
  <c r="C351" i="64"/>
  <c r="C352" i="64" s="1"/>
  <c r="F25" i="21" s="1"/>
  <c r="E15" i="21"/>
  <c r="F14" i="21"/>
  <c r="F22" i="21"/>
  <c r="E25" i="21" l="1"/>
  <c r="D15" i="21"/>
  <c r="F15" i="21"/>
  <c r="H21" i="65" l="1"/>
  <c r="F19" i="65"/>
  <c r="F18" i="65"/>
  <c r="G21" i="65"/>
  <c r="D26" i="65" l="1"/>
  <c r="D25" i="65" l="1"/>
  <c r="C188" i="64"/>
  <c r="E14" i="7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 ref="D189" authorId="0" shapeId="0" xr:uid="{99F02C27-DA52-4A8F-8EDB-32D864062506}">
      <text>
        <r>
          <rPr>
            <b/>
            <sz val="9"/>
            <color indexed="81"/>
            <rFont val="Tahoma"/>
            <family val="2"/>
          </rPr>
          <t>Scott Cameron:</t>
        </r>
        <r>
          <rPr>
            <sz val="9"/>
            <color indexed="81"/>
            <rFont val="Tahoma"/>
            <family val="2"/>
          </rPr>
          <t xml:space="preserve">
Not sure why this enters with opposite sign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3"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B5"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B6" authorId="0" shapeId="0" xr:uid="{CF2431DD-5D76-4973-9FF2-D46307EE1684}">
      <text>
        <r>
          <rPr>
            <sz val="9"/>
            <color indexed="81"/>
            <rFont val="Tahoma"/>
            <family val="2"/>
          </rPr>
          <t xml:space="preserve">Either a 4- or 7-year adjustment period, as requested. </t>
        </r>
      </text>
    </comment>
    <comment ref="B9"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 ref="B64" authorId="0" shapeId="0" xr:uid="{DBE7AB18-4456-4907-B326-F8F494F6C276}">
      <text>
        <r>
          <rPr>
            <b/>
            <sz val="9"/>
            <color indexed="81"/>
            <rFont val="Tahoma"/>
            <family val="2"/>
          </rPr>
          <t xml:space="preserve">Only requires p70 for MTP assessment; however, the others are used for fan-chart figures.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4"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5"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24"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t>
        </r>
      </text>
    </comment>
    <comment ref="B134"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74"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75"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191" authorId="0" shapeId="0" xr:uid="{A1B968C2-FBCE-42D0-B13A-C7293EBA0437}">
      <text>
        <r>
          <rPr>
            <sz val="9"/>
            <color indexed="81"/>
            <rFont val="Tahoma"/>
            <family val="2"/>
          </rPr>
          <t>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
Article 9(3)
Technical information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8.</t>
        </r>
      </text>
    </comment>
    <comment ref="B194" authorId="0" shapeId="0" xr:uid="{6F19269D-7702-42AF-88FB-803A9B72DCB8}">
      <text>
        <r>
          <rPr>
            <sz val="9"/>
            <color indexed="81"/>
            <rFont val="Tahoma"/>
            <family val="2"/>
          </rPr>
          <t xml:space="preserve">Art. 2 , Art. 6 &amp; 16 of the Regulation building on Art. 126(2) TFEU and Protocol 12
Article 2 gross debt and deficit reference values are checked "when drawing up their national medium-term fiscal-structural plans" meaning the last year for which there is outturn data published by the national statistics institutes and Eurostat, which will usually be year T-1 but can be T-2 if submitted between January and March of year T before outturn data for year T-1 have been published. </t>
        </r>
      </text>
    </comment>
    <comment ref="B195" authorId="0" shapeId="0" xr:uid="{5B2DF90B-D63D-4702-862E-184EC652A743}">
      <text>
        <r>
          <rPr>
            <sz val="9"/>
            <color indexed="81"/>
            <rFont val="Tahoma"/>
            <family val="2"/>
          </rPr>
          <t xml:space="preserve">TFEU Article 126(2) and Protocol No 12 Article 1. </t>
        </r>
      </text>
    </comment>
    <comment ref="B196"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TRUE:
</t>
        </r>
        <r>
          <rPr>
            <sz val="9"/>
            <color indexed="81"/>
            <rFont val="Tahoma"/>
            <family val="2"/>
          </rPr>
          <t xml:space="preserve">Country’s gross general government debt in [MTP base year] was [X.X]% of GDP, which does not exceed the 60% TFEU reference value.
</t>
        </r>
        <r>
          <rPr>
            <b/>
            <sz val="9"/>
            <color indexed="81"/>
            <rFont val="Tahoma"/>
            <family val="2"/>
          </rPr>
          <t xml:space="preserve">
FALSE:</t>
        </r>
        <r>
          <rPr>
            <sz val="9"/>
            <color indexed="81"/>
            <rFont val="Tahoma"/>
            <family val="2"/>
          </rPr>
          <t xml:space="preserve">
Country’s gross general government debt in [MTP base year] was [X.X]% of GDP, higher than the 60% TFEU reference level.</t>
        </r>
      </text>
    </comment>
    <comment ref="B198"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199"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200" authorId="0" shapeId="0" xr:uid="{8C7D12BB-A0D4-4546-97AB-A5721972F6C4}">
      <text>
        <r>
          <rPr>
            <b/>
            <sz val="9"/>
            <color indexed="81"/>
            <rFont val="Tahoma"/>
            <family val="2"/>
          </rPr>
          <t>Possible outcomes:
FALSE:</t>
        </r>
        <r>
          <rPr>
            <sz val="9"/>
            <color indexed="81"/>
            <rFont val="Tahoma"/>
            <family val="2"/>
          </rPr>
          <t xml:space="preserve">
Country’s net lending in [MTP base year] was [X.X]% of GDP, exceeding the 3% TFEU reference value.
</t>
        </r>
        <r>
          <rPr>
            <b/>
            <sz val="9"/>
            <color indexed="81"/>
            <rFont val="Tahoma"/>
            <family val="2"/>
          </rPr>
          <t>TRUE:</t>
        </r>
        <r>
          <rPr>
            <sz val="9"/>
            <color indexed="81"/>
            <rFont val="Tahoma"/>
            <family val="2"/>
          </rPr>
          <t xml:space="preserve">
Country’s net lending in [MTP base year] was [X.X]% of GDP, which does not exceed the 3% TFEU reference level.</t>
        </r>
      </text>
    </comment>
    <comment ref="B204"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06"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08" authorId="0" shapeId="0" xr:uid="{00501D52-8E39-4A32-B67C-E748FE246C23}">
      <text>
        <r>
          <rPr>
            <sz val="9"/>
            <color indexed="81"/>
            <rFont val="Tahoma"/>
            <charset val="1"/>
          </rPr>
          <t>Commission Guidance (C/2024/3975, Section 2.5) and the Regulation (Article 13(a))</t>
        </r>
      </text>
    </comment>
    <comment ref="B209" authorId="0" shapeId="0" xr:uid="{FAEFFE42-5A6E-439C-907A-96E809874462}">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10" authorId="0" shapeId="0" xr:uid="{4F0D3E50-3547-41F2-A3AB-23A1DE5B9FBB}">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25" authorId="0" shapeId="0" xr:uid="{CF5C31BB-E89A-4F18-B28A-056111251D5D}">
      <text>
        <r>
          <rPr>
            <sz val="9"/>
            <color indexed="81"/>
            <rFont val="Tahoma"/>
            <family val="2"/>
          </rPr>
          <t xml:space="preserve">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of GDP, and it brings and maintains the government deficit below 3% of GDP over the medium term.
16(3) whether their net expenditure paths comply with the requirements set out in Articles 6, 7 and 8.
Article 6: Risk-based requirements ((a) DSA plausibility assessments, (b) 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27" authorId="0" shapeId="0" xr:uid="{0733AC9A-FBA7-4DD7-B7F4-C2C114AE0532}">
      <text>
        <r>
          <rPr>
            <sz val="9"/>
            <color indexed="81"/>
            <rFont val="Tahoma"/>
            <family val="2"/>
          </rPr>
          <t xml:space="preserve">Art. 6(1), although not explicit. However, all of the Commission assessments (Recommendation for a Council Recommendation endorsing the national medium-term fsical-structural plan of County) assess how the average net expenditure growth over the adjustment period compares to the prior guidance as their measure of whether the net expenditure path in the MTP exceeds the reference trajectory. </t>
        </r>
      </text>
    </comment>
    <comment ref="B234" authorId="0" shapeId="0" xr:uid="{4585096F-2206-4D14-99A5-316EE86AFC63}">
      <text>
        <r>
          <rPr>
            <sz val="9"/>
            <color indexed="81"/>
            <rFont val="Tahoma"/>
            <family val="2"/>
          </rPr>
          <t xml:space="preserve">Art. 6: prior guidance net expenditure trajectory is the benchmark; and Art. 16(3): 
For countries that received a reference trajectory, the path must be checked against Arts. 6–8.
Article 6 = risk-based debt (M6), deficit (M7), no back-loading (M8), and consistency with corrective path of EDP (M9). </t>
        </r>
      </text>
    </comment>
    <comment ref="C236" authorId="0" shapeId="0" xr:uid="{FED4CB80-1CC0-492B-9AF6-A3328341F2DC}">
      <text>
        <r>
          <rPr>
            <sz val="9"/>
            <color indexed="81"/>
            <rFont val="Tahoma"/>
            <family val="2"/>
          </rPr>
          <t xml:space="preserve">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39"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41" authorId="0" shapeId="0" xr:uid="{19FC617B-DF3C-4523-AE45-4E00AE68E93D}">
      <text>
        <r>
          <rPr>
            <sz val="9"/>
            <color indexed="81"/>
            <rFont val="Tahoma"/>
            <family val="2"/>
          </rPr>
          <t xml:space="preserve">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52"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61"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64"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65"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65"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68"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71"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74"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81"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286"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287"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288" authorId="0" shapeId="0" xr:uid="{1C38568D-661F-40E5-9152-D4020F4DD7CD}">
      <text>
        <r>
          <rPr>
            <sz val="9"/>
            <color indexed="81"/>
            <rFont val="Tahoma"/>
            <family val="2"/>
          </rPr>
          <t>Is any one value greater than the average?</t>
        </r>
      </text>
    </comment>
    <comment ref="C288"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289"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294"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300"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301"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07" authorId="0" shapeId="0" xr:uid="{322B17D1-8B4B-40A5-A771-441C6119157E}">
      <text>
        <r>
          <rPr>
            <sz val="9"/>
            <color indexed="81"/>
            <rFont val="Tahoma"/>
            <family val="2"/>
          </rPr>
          <t>Art. 7 safeguard – minimum average annual reduction of debt and risk-based conditions.</t>
        </r>
      </text>
    </comment>
    <comment ref="B308"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17"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25"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26"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30"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31"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47" authorId="0" shapeId="0" xr:uid="{E15769AE-C427-4D98-A636-D1B3DD0A4F12}">
      <text>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50"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52"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54"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<sst xmlns="http://schemas.openxmlformats.org/spreadsheetml/2006/main" count="2239" uniqueCount="1002">
  <si>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</si>
  <si>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</si>
  <si>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</si>
  <si>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</si>
  <si>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</si>
  <si>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</si>
  <si>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</si>
  <si>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</si>
  <si>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</si>
  <si>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</si>
  <si>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</si>
  <si>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</si>
  <si>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</si>
  <si>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</si>
  <si>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</si>
  <si>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</si>
  <si>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</si>
  <si>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</si>
  <si>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</si>
  <si>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</si>
  <si>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</si>
  <si>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</si>
  <si>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</si>
  <si>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</si>
  <si>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</si>
  <si>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Interest expenditure</t>
  </si>
  <si>
    <t>ESA code</t>
  </si>
  <si>
    <t>B.9</t>
  </si>
  <si>
    <t>D.41</t>
  </si>
  <si>
    <t>Expenditure</t>
  </si>
  <si>
    <t>Revenue</t>
  </si>
  <si>
    <t>ESA Code</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</si>
  <si>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</si>
  <si>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</si>
  <si>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</si>
  <si>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</si>
  <si>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</si>
  <si>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</si>
  <si>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</si>
  <si>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</si>
  <si>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</si>
  <si>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</si>
  <si>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</si>
  <si>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</si>
  <si>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</si>
  <si>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</si>
  <si>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</si>
  <si>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</si>
  <si>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</si>
  <si>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</si>
  <si>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</si>
  <si>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</si>
  <si>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</si>
  <si>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</si>
  <si>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</si>
  <si>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</si>
  <si>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</si>
  <si>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</si>
  <si>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</si>
  <si>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</si>
  <si>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</si>
  <si>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</si>
  <si>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</si>
  <si>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</si>
  <si>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</si>
  <si>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</si>
  <si>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</si>
  <si>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</si>
  <si>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</si>
  <si>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</si>
  <si>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</si>
  <si>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</si>
  <si>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</si>
  <si>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</si>
  <si>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</si>
  <si>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</si>
  <si>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</si>
  <si>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</si>
  <si>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</si>
  <si>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</si>
  <si>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</si>
  <si>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</si>
  <si>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</si>
  <si>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</si>
  <si>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</si>
  <si>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</si>
  <si>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</si>
  <si>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</si>
  <si>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</si>
  <si>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</si>
  <si>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</si>
  <si>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</si>
  <si>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</si>
  <si>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</si>
  <si>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</si>
  <si>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</si>
  <si>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</si>
  <si>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</si>
  <si>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</si>
  <si>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</si>
  <si>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</si>
  <si>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</si>
  <si>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</si>
  <si>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</si>
  <si>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</si>
  <si>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</si>
  <si>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</si>
  <si>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</si>
  <si>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</si>
  <si>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</si>
  <si>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</si>
  <si>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</si>
  <si>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</si>
  <si>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</si>
  <si>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</si>
  <si>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</si>
  <si>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</si>
  <si>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</si>
  <si>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</si>
  <si>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</si>
  <si>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</si>
  <si>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</si>
  <si>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</si>
  <si>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</si>
  <si>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</si>
  <si>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</si>
  <si>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</si>
  <si>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</si>
  <si>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</si>
  <si>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</si>
  <si>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</si>
  <si>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</si>
  <si>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</si>
  <si>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</si>
  <si>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</si>
  <si>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</si>
  <si>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</si>
  <si>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</si>
  <si>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</si>
  <si>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</si>
  <si>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</si>
  <si>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</si>
  <si>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</si>
  <si>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</si>
  <si>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</si>
  <si>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</si>
  <si>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</si>
  <si>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</si>
  <si>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</si>
  <si>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</si>
  <si>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</si>
  <si>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</si>
  <si>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</si>
  <si>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</si>
  <si>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</si>
  <si>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</si>
  <si>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</si>
  <si>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</si>
  <si>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</si>
  <si>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</si>
  <si>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</si>
  <si>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</si>
  <si>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</si>
  <si>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</si>
  <si>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</si>
  <si>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</si>
  <si>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</si>
  <si>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</si>
  <si>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</si>
  <si>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</si>
  <si>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</si>
  <si>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</si>
  <si>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</si>
  <si>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</si>
  <si>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</si>
  <si>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</si>
  <si>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</si>
  <si>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</si>
  <si>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</si>
  <si>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</si>
  <si>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</si>
  <si>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</si>
  <si>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</si>
  <si>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</si>
  <si>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</si>
  <si>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</si>
  <si>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</si>
  <si>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</si>
  <si>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</si>
  <si>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</si>
  <si>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</si>
  <si>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</si>
  <si>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</si>
  <si>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</si>
  <si>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</si>
  <si>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</si>
  <si>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</si>
  <si>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</si>
  <si>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</si>
  <si>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</si>
  <si>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</si>
  <si>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</si>
  <si>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</si>
  <si>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</si>
  <si>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</si>
  <si>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</si>
  <si>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</si>
  <si>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</si>
  <si>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</si>
  <si>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</si>
  <si>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</si>
  <si>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</si>
  <si>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</si>
  <si>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</si>
  <si>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Structural primary balance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</si>
  <si>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</si>
  <si>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</si>
  <si>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</si>
  <si>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</si>
  <si>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</si>
  <si>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</si>
  <si>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</si>
  <si>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</si>
  <si>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</si>
  <si>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</si>
  <si>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</si>
  <si>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</si>
  <si>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</si>
  <si>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</si>
  <si>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</si>
  <si>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</si>
  <si>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</si>
  <si>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</si>
  <si>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</si>
  <si>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</si>
  <si>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</si>
  <si>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</si>
  <si>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</si>
  <si>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</si>
  <si>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</si>
  <si>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</si>
  <si>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</si>
  <si>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</si>
  <si>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Planned</t>
  </si>
  <si>
    <t>General government balance (% of GDP)</t>
  </si>
  <si>
    <t>General government gross debt (% of GDP)</t>
  </si>
  <si>
    <t>3% reference value</t>
  </si>
  <si>
    <t>60% reference value</t>
  </si>
  <si>
    <t>Last year of stochastic projections</t>
  </si>
  <si>
    <t>Debit</t>
  </si>
  <si>
    <t>Credit</t>
  </si>
  <si>
    <t>Calendar year</t>
  </si>
  <si>
    <t>MTP end year</t>
  </si>
  <si>
    <t>Assessment round</t>
  </si>
  <si>
    <t>MTP adjustment period (Years)</t>
  </si>
  <si>
    <t>MTP year</t>
  </si>
  <si>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</si>
  <si>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</si>
  <si>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</si>
  <si>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</si>
  <si>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</si>
  <si>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</si>
  <si>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</si>
  <si>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</si>
  <si>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</si>
  <si>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</si>
  <si>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</si>
  <si>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</si>
  <si>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</si>
  <si>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</si>
  <si>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</si>
  <si>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</si>
  <si>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</si>
  <si>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</si>
  <si>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</si>
  <si>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</si>
  <si>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</si>
  <si>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</si>
  <si>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</si>
  <si>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</si>
  <si>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</si>
  <si>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</si>
  <si>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</si>
  <si>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</si>
  <si>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Outturn data</t>
  </si>
  <si>
    <t>Gross debt, no policy change scenario</t>
  </si>
  <si>
    <t>Gross debt, financial stress scenario</t>
  </si>
  <si>
    <t>Gross debt, lower structural primary balance scenario</t>
  </si>
  <si>
    <t>Gross debt, adverse r-g scenario</t>
  </si>
  <si>
    <t>Nominal GDP (level)</t>
  </si>
  <si>
    <t>Consistency with EDP corrective path</t>
  </si>
  <si>
    <t>YearRange</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</si>
  <si>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</si>
  <si>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</si>
  <si>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</si>
  <si>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</si>
  <si>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</si>
  <si>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</si>
  <si>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</si>
  <si>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</si>
  <si>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</si>
  <si>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</si>
  <si>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</si>
  <si>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</si>
  <si>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</si>
  <si>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</si>
  <si>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</si>
  <si>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</si>
  <si>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</si>
  <si>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</si>
  <si>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</si>
  <si>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</si>
  <si>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</si>
  <si>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</si>
  <si>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</si>
  <si>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</si>
  <si>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</si>
  <si>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</si>
  <si>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</si>
  <si>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</si>
  <si>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</si>
  <si>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</si>
  <si>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</si>
  <si>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</si>
  <si>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</si>
  <si>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</si>
  <si>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</si>
  <si>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</si>
  <si>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</si>
  <si>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</si>
  <si>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</si>
  <si>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</si>
  <si>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</si>
  <si>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</si>
  <si>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</si>
  <si>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</si>
  <si>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</si>
  <si>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</si>
  <si>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</si>
  <si>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</si>
  <si>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</si>
  <si>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</si>
  <si>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</si>
  <si>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</si>
  <si>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</si>
  <si>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</si>
  <si>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</si>
  <si>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</si>
  <si>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</si>
  <si>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</si>
  <si>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</si>
  <si>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</si>
  <si>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</si>
  <si>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</si>
  <si>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</si>
  <si>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</si>
  <si>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</si>
  <si>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</si>
  <si>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</si>
  <si>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</si>
  <si>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</si>
  <si>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</si>
  <si>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</si>
  <si>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</si>
  <si>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</si>
  <si>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</si>
  <si>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</si>
  <si>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</si>
  <si>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</si>
  <si>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</si>
  <si>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</si>
  <si>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</si>
  <si>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</si>
  <si>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</si>
  <si>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</si>
  <si>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</si>
  <si>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</si>
  <si>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</si>
  <si>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</si>
  <si>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</si>
  <si>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</si>
  <si>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</si>
  <si>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</si>
  <si>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</si>
  <si>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</si>
  <si>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</si>
  <si>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</si>
  <si>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</si>
  <si>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EC's scenario</t>
  </si>
  <si>
    <t>Performance of structural primary balance compared to the European Commission's scenario meeting all requirements</t>
  </si>
  <si>
    <t>Council-endorsed path</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</si>
  <si>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</si>
  <si>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</si>
  <si>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</si>
  <si>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</si>
  <si>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</si>
  <si>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</si>
  <si>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</si>
  <si>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</si>
  <si>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</si>
  <si>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</si>
  <si>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</si>
  <si>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</si>
  <si>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</si>
  <si>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</si>
  <si>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</si>
  <si>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</si>
  <si>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</si>
  <si>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</si>
  <si>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</si>
  <si>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</si>
  <si>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</si>
  <si>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</si>
  <si>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</si>
  <si>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</si>
  <si>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</si>
  <si>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</si>
  <si>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</si>
  <si>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</si>
  <si>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</si>
  <si>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</si>
  <si>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</si>
  <si>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</si>
  <si>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</si>
  <si>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</si>
  <si>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</si>
  <si>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</si>
  <si>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</si>
  <si>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</si>
  <si>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</si>
  <si>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</si>
  <si>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</si>
  <si>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</si>
  <si>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</si>
  <si>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</si>
  <si>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</si>
  <si>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</si>
  <si>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</si>
  <si>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</si>
  <si>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</si>
  <si>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</si>
  <si>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</si>
  <si>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</si>
  <si>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</si>
  <si>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</si>
  <si>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</si>
  <si>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</si>
  <si>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</si>
  <si>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</si>
  <si>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</si>
  <si>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</si>
  <si>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Is the country required to submit an MTP that adheres to a reference trajectory (or alternative path meeting all criteria)</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</si>
  <si>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</si>
  <si>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</si>
  <si>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</si>
  <si>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</si>
  <si>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</si>
  <si>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</si>
  <si>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</si>
  <si>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</si>
  <si>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</si>
  <si>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</si>
  <si>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</si>
  <si>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</si>
  <si>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</si>
  <si>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</si>
  <si>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</si>
  <si>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</si>
  <si>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</si>
  <si>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</si>
  <si>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</si>
  <si>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</si>
  <si>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</si>
  <si>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</si>
  <si>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</si>
  <si>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</si>
  <si>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</si>
  <si>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</si>
  <si>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</si>
  <si>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</si>
  <si>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</si>
  <si>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</si>
  <si>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</si>
  <si>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</si>
  <si>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</si>
  <si>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</si>
  <si>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</si>
  <si>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</si>
  <si>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</si>
  <si>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</si>
  <si>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</si>
  <si>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</si>
  <si>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</si>
  <si>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</si>
  <si>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</si>
  <si>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</si>
  <si>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</si>
  <si>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</si>
  <si>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</si>
  <si>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</si>
  <si>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</si>
  <si>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</si>
  <si>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</si>
  <si>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</si>
  <si>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</si>
  <si>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</si>
  <si>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</si>
  <si>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</si>
  <si>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</si>
  <si>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</si>
  <si>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</si>
  <si>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</si>
  <si>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</si>
  <si>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</si>
  <si>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</si>
  <si>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</si>
  <si>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</si>
  <si>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</si>
  <si>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</si>
  <si>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</si>
  <si>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</si>
  <si>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</si>
  <si>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</si>
  <si>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</si>
  <si>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</si>
  <si>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</si>
  <si>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</si>
  <si>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</si>
  <si>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</si>
  <si>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Assessing whether the submitted MTP meets information requirements and criteria for an extension of the adjustment period, if requesting one (Articles 13 and 14)</t>
  </si>
  <si>
    <t>Fulfilment of criteria for an extension of the adjustment period</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</si>
  <si>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</si>
  <si>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</si>
  <si>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</si>
  <si>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</si>
  <si>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</si>
  <si>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</si>
  <si>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</si>
  <si>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</si>
  <si>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</si>
  <si>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</si>
  <si>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</si>
  <si>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</si>
  <si>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</si>
  <si>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</si>
  <si>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</si>
  <si>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</si>
  <si>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</si>
  <si>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</si>
  <si>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</si>
  <si>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</si>
  <si>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</si>
  <si>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</si>
  <si>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</si>
  <si>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</si>
  <si>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</si>
  <si>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
  </si>
  <si>
    <t xml:space="preserve">  - Base year T-X (last outturn year before plan)</t>
  </si>
  <si>
    <t xml:space="preserve">  - Submission year T</t>
  </si>
  <si>
    <t xml:space="preserve">  - Planning horizon (4 or 5 years)</t>
  </si>
  <si>
    <t xml:space="preserve">  - Adjustment period (4 or 7 years)</t>
  </si>
  <si>
    <t xml:space="preserve">  GREEN = Compliant</t>
  </si>
  <si>
    <t xml:space="preserve">  RED = Non-compliant/breach</t>
  </si>
  <si>
    <t>TROUBLESHOOTING</t>
  </si>
  <si>
    <t>===============</t>
  </si>
  <si>
    <t xml:space="preserve">                         → File &gt; Options &gt; Trust Center &gt; Trust Center Settings</t>
  </si>
  <si>
    <t>SUPPORT</t>
  </si>
  <si>
    <t>=======</t>
  </si>
  <si>
    <t>Technical questions: cameronscottd@gmail.com</t>
  </si>
  <si>
    <t>QUICK START GUIDE</t>
  </si>
  <si>
    <t xml:space="preserve">FISCO Version </t>
  </si>
  <si>
    <t>Change in gross debt (planned)</t>
  </si>
  <si>
    <t xml:space="preserve">Required change in gross debt </t>
  </si>
  <si>
    <t>AxisMin</t>
  </si>
  <si>
    <t>AxisMax</t>
  </si>
  <si>
    <t>Structural balance (planned)</t>
  </si>
  <si>
    <t>Structural balance (MTP)</t>
  </si>
  <si>
    <t>Primary balance (MTP)</t>
  </si>
  <si>
    <t>Primary balance (planned)</t>
  </si>
  <si>
    <t>Recorded annual deviation (underspend)</t>
  </si>
  <si>
    <t>Recorded annual deviation (overspend)</t>
  </si>
  <si>
    <t>Figure 7</t>
  </si>
  <si>
    <t>Figure 8</t>
  </si>
  <si>
    <t>Figure 9</t>
  </si>
  <si>
    <t>Figures 10-13</t>
  </si>
  <si>
    <t>National Figure 1</t>
  </si>
  <si>
    <t xml:space="preserve">National structural balance rule </t>
  </si>
  <si>
    <t xml:space="preserve">National primary balance rule </t>
  </si>
  <si>
    <t>National Figure 2</t>
  </si>
  <si>
    <t>https://eur-lex.europa.eu/legal-content/EN/TXT/PDF/?uri=CELEX:52024XC03975</t>
  </si>
  <si>
    <t>Funded by EU Technical Support Instrument, REFORM/2023/OP/0010EC</t>
  </si>
  <si>
    <t xml:space="preserve">  YELLOW = Conditional/borderline/informational</t>
  </si>
  <si>
    <t>Macros disabled</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</si>
  <si>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</si>
  <si>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</si>
  <si>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</si>
  <si>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 xml:space="preserve">Is the country Greece (that is, does Greece's 2033 exclusion rule apply)? </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</si>
  <si>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</si>
  <si>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</si>
  <si>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</si>
  <si>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</si>
  <si>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</si>
  <si>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</si>
  <si>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</si>
  <si>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</si>
  <si>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</si>
  <si>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</si>
  <si>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</si>
  <si>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</si>
  <si>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</si>
  <si>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</si>
  <si>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</si>
  <si>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</si>
  <si>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</si>
  <si>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</si>
  <si>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</si>
  <si>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</si>
  <si>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</si>
  <si>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Defence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</si>
  <si>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</si>
  <si>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</si>
  <si>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</si>
  <si>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</si>
  <si>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</si>
  <si>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</si>
  <si>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</si>
  <si>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</si>
  <si>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</si>
  <si>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</si>
  <si>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</si>
  <si>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</si>
  <si>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</si>
  <si>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</si>
  <si>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</si>
  <si>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</si>
  <si>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</si>
  <si>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EU funded expenditure</t>
  </si>
  <si>
    <t>One-offs expenditure (levels, excl. EU funded)</t>
  </si>
  <si>
    <t>Net expenditure before DRMs (1-2-3-4-5-6)</t>
  </si>
  <si>
    <t>Change in net expenditure before DRMs (∆7)</t>
  </si>
  <si>
    <t>DRM (annual incremental impact, excl. one-offs)</t>
  </si>
  <si>
    <t>Annual change in net expenditure after DRMs (8-9)</t>
  </si>
  <si>
    <t>AMECO17: UOOMSR</t>
  </si>
  <si>
    <t>Observed net expenditure growth (10(t)/7(t-1))*100</t>
  </si>
  <si>
    <t>rate of change, %</t>
  </si>
  <si>
    <t>growth rate (%)</t>
  </si>
  <si>
    <t>level, bn NAC</t>
  </si>
  <si>
    <t>Escape clause reason</t>
  </si>
  <si>
    <t>Other</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</si>
  <si>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</si>
  <si>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</si>
  <si>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</si>
  <si>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"Regular" control account</t>
  </si>
  <si>
    <t>If activated, what was the reason?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</si>
  <si>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</si>
  <si>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</si>
  <si>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</si>
  <si>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</si>
  <si>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</si>
  <si>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</si>
  <si>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</si>
  <si>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</si>
  <si>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</si>
  <si>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</si>
  <si>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</si>
  <si>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Do deviations exceed 0.3 percentage points of GDP annually over the assessment period? </t>
  </si>
  <si>
    <t xml:space="preserve">Do deviations exceed 0.3 percentage points of GDP annually over the outturn period? </t>
  </si>
  <si>
    <t>Unrecorded or defence-adjusted annual deviation</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</si>
  <si>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</si>
  <si>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</si>
  <si>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</si>
  <si>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</si>
  <si>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</si>
  <si>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</si>
  <si>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</si>
  <si>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</si>
  <si>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</si>
  <si>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</si>
  <si>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</si>
  <si>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</si>
  <si>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</si>
  <si>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</si>
  <si>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</si>
  <si>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</si>
  <si>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</si>
  <si>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</si>
  <si>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</si>
  <si>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</si>
  <si>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</si>
  <si>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</si>
  <si>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</si>
  <si>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</si>
  <si>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</si>
  <si>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</si>
  <si>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</si>
  <si>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</si>
  <si>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</si>
  <si>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</si>
  <si>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</si>
  <si>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</si>
  <si>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</si>
  <si>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</si>
  <si>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</si>
  <si>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</si>
  <si>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</si>
  <si>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</si>
  <si>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</si>
  <si>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</si>
  <si>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</si>
  <si>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
  </si>
  <si>
    <t>EC technical information - Path to meet all requirements and safeguard.</t>
  </si>
  <si>
    <t>Prior guidance transmittion date</t>
  </si>
  <si>
    <t>Was/is an escape clause in place for all years where net expenditure does not adhere to the planned path for net expenditure growth endorsed by the Council?</t>
  </si>
  <si>
    <t>General or country-specific?</t>
  </si>
  <si>
    <t>Escape clause type</t>
  </si>
  <si>
    <t>General</t>
  </si>
  <si>
    <t>Primary structural balance adjustment over adjustment period (supportive)</t>
  </si>
  <si>
    <t>Escape clause activated in at least one year of horizon</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</si>
  <si>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</si>
  <si>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</si>
  <si>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</si>
  <si>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</si>
  <si>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</si>
  <si>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</si>
  <si>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</si>
  <si>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</si>
  <si>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</si>
  <si>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</si>
  <si>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</si>
  <si>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</si>
  <si>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</si>
  <si>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</si>
  <si>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</si>
  <si>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</si>
  <si>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</si>
  <si>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</si>
  <si>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</si>
  <si>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</si>
  <si>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</si>
  <si>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</si>
  <si>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</si>
  <si>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</si>
  <si>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</si>
  <si>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</si>
  <si>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</si>
  <si>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</si>
  <si>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</si>
  <si>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</si>
  <si>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</si>
  <si>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</si>
  <si>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</si>
  <si>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</si>
  <si>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</si>
  <si>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</si>
  <si>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</si>
  <si>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</si>
  <si>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</si>
  <si>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</si>
  <si>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</si>
  <si>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</si>
  <si>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</si>
  <si>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</si>
  <si>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</si>
  <si>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</si>
  <si>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</si>
  <si>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</si>
  <si>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</si>
  <si>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</si>
  <si>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</si>
  <si>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</si>
  <si>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</si>
  <si>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</si>
  <si>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</si>
  <si>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</si>
  <si>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</si>
  <si>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</si>
  <si>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</si>
  <si>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</si>
  <si>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</si>
  <si>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</si>
  <si>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</si>
  <si>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</si>
  <si>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</si>
  <si>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</si>
  <si>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</si>
  <si>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</si>
  <si>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</si>
  <si>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</si>
  <si>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</si>
  <si>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</si>
  <si>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</si>
  <si>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</si>
  <si>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</si>
  <si>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</si>
  <si>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</si>
  <si>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</si>
  <si>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</si>
  <si>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</si>
  <si>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</si>
  <si>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</si>
  <si>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</si>
  <si>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</si>
  <si>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</si>
  <si>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</si>
  <si>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</si>
  <si>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</si>
  <si>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</si>
  <si>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</si>
  <si>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</si>
  <si>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</si>
  <si>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</si>
  <si>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</si>
  <si>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</si>
  <si>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</si>
  <si>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</si>
  <si>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</si>
  <si>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</si>
  <si>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</si>
  <si>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</si>
  <si>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</si>
  <si>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</si>
  <si>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</si>
  <si>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</si>
  <si>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</si>
  <si>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</si>
  <si>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</si>
  <si>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</si>
  <si>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</si>
  <si>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</si>
  <si>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</si>
  <si>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</si>
  <si>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</si>
  <si>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</si>
  <si>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</si>
  <si>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</si>
  <si>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</si>
  <si>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</si>
  <si>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</si>
  <si>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</si>
  <si>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</si>
  <si>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Cap on deviation from max growth rates of net expenditure, if applicable (% of GDP)</t>
  </si>
  <si>
    <t>ASSESSING THE IMPLEMENTATION OF A MEDIUM-TERM FISCAL-STRUCTURAL PLAN</t>
  </si>
  <si>
    <t>STEP 1: CONFIGURE USER PARAMETERS (Step 1 - Set global parameters)</t>
  </si>
  <si>
    <t>• Select your country (B2), IFI name (B3).</t>
  </si>
  <si>
    <t>STEP 2: UPDATE OUTTURN DATA (Step 2 - Update outturn data)</t>
  </si>
  <si>
    <t>ASSESSING A NEW OR REVISED MTP</t>
  </si>
  <si>
    <t>Setting the benchmark against which implementation will be assessed</t>
  </si>
  <si>
    <t xml:space="preserve">• Configure MTP parameters in C3 to C9 as per Commission Notice C/2024/3975: </t>
  </si>
  <si>
    <t>• Fill out the tables for the Medium-Term Fiscal-Structural Plan and the prior guidance. Inputs required depend on whether the country received a reference trajectory or technical information. The tables adjust automatically based on the reference levels of deficit and debt in year T-1 or T-2 (the latest year of outturn data).</t>
  </si>
  <si>
    <t>• Check the 15 "M" compliance indicators:</t>
  </si>
  <si>
    <t>Year-on-year monitoring of DBPs, APRs, IFI forecasts and risk scenarios</t>
  </si>
  <si>
    <t>• Set the scenario parameters, escape-clause windows and any active excessive-deficit procedure.</t>
  </si>
  <si>
    <t>• In C2, set the last year of the assessment window. To review outturn only, set this equal to the last year of outturn data.</t>
  </si>
  <si>
    <t>• In E2, set the last year for which outturn data are available.</t>
  </si>
  <si>
    <t>• Click Update AMECO data (Windows or macOS button).</t>
  </si>
  <si>
    <t>• Use the Report/Plan import tool (cells O7:P13) for DBPs and APRs published in the Code-of-Conduct format, or enter figures by hand into the budgetary and macro tables below.</t>
  </si>
  <si>
    <t>• Click Update Eurostat data (Windows or macOS button).</t>
  </si>
  <si>
    <t>• Read the auto-generated narrative text below each indicator.</t>
  </si>
  <si>
    <t>• Examine the charts.</t>
  </si>
  <si>
    <t>• Adjust formats and copy sections into your reports.</t>
  </si>
  <si>
    <t>• Export the Executive Summary to PDF (requires macros).</t>
  </si>
  <si>
    <t>• Export to JSON file then open FISCO HTML  file in browser and point it to JSON file.</t>
  </si>
  <si>
    <t>• Step through the checklists of compulsory MTP elements and the requirements for investment and reform commitments under Articles 13 and 14 of Regulation 2024/1263.</t>
  </si>
  <si>
    <t>• Confirm that any differences in assumptions between the IFI and the Commission are based on sound, data-driven economic arguments.</t>
  </si>
  <si>
    <t>• Verify unobserved components of net expenditure through information exchanges.</t>
  </si>
  <si>
    <t>• Enter the date of transmission of the Commission's prior guidance.</t>
  </si>
  <si>
    <t>• Check the  6 "P" (performance) implementation indicators:</t>
  </si>
  <si>
    <t>• Examine the charts: net expenditure, deficit, and debt trajectories.</t>
  </si>
  <si>
    <t>• Export to JSON, then open the FISCO HTML viewer in your browser and point it to the JSON file.</t>
  </si>
  <si>
    <t xml:space="preserve">                         → Click "Enable Content" when opening the workbook</t>
  </si>
  <si>
    <t xml:space="preserve">                         → Add the folder to Trusted Locations</t>
  </si>
  <si>
    <t xml:space="preserve">Last updated (Eurostat): </t>
  </si>
  <si>
    <t>Assessment outlook</t>
  </si>
  <si>
    <t>Enter implementation report or outlook (APR, DBP, risk scenario, etc.) to be assessed</t>
  </si>
  <si>
    <t>Receives reference trajectory</t>
  </si>
  <si>
    <t>1.1.1</t>
  </si>
  <si>
    <t>STEP 3: CONFIGURE MTP PARAMETERS (Step 3 (MTP) - Plan and prior)</t>
  </si>
  <si>
    <t>STEP 4: COMPLETE IFI SCRUTINY (Step 4 (MTP) - IFI scrutiny)</t>
  </si>
  <si>
    <t>STEP 5: VIEW RESULTS (Step 5 (MTP) - View results)</t>
  </si>
  <si>
    <t>STEP 3: Enter scenario or plan to assess (Step 3 (IMPL) - Enter plan)</t>
  </si>
  <si>
    <t>STEP 4: VIEW RESULTS (Step 4 (IMPL) - View results)</t>
  </si>
  <si>
    <t>FISCO v1.1.1 | May 2026</t>
  </si>
  <si>
    <t>MTP Table 7a: Debt and headline balance projections and key underlying assumptions (under the planned fiscal path)</t>
  </si>
  <si>
    <t>line</t>
  </si>
  <si>
    <t>MTP Table 4, line 35</t>
  </si>
  <si>
    <t>(% GDP)</t>
  </si>
  <si>
    <t>General government balance</t>
  </si>
  <si>
    <t>MTP Table 4, line 31</t>
  </si>
  <si>
    <t>MTP Table 4, line 34</t>
  </si>
  <si>
    <t>(% pot. GDP)</t>
  </si>
  <si>
    <t>Cyclical component</t>
  </si>
  <si>
    <t>One-off measures</t>
  </si>
  <si>
    <t>MTP Table 4, line 14</t>
  </si>
  <si>
    <t>Long-term interest rate</t>
  </si>
  <si>
    <t xml:space="preserve">MTP Table 3, line 1 </t>
  </si>
  <si>
    <t>(%)</t>
  </si>
  <si>
    <t>Short-term interest rate</t>
  </si>
  <si>
    <t>MTP Table 3, line 2</t>
  </si>
  <si>
    <t>Implicit average interest rate</t>
  </si>
  <si>
    <t>MTP Table 4, line 44</t>
  </si>
  <si>
    <t>Stock-flow adjustment</t>
  </si>
  <si>
    <t>MTP Table 4, line 43</t>
  </si>
  <si>
    <t>Potential GDP</t>
  </si>
  <si>
    <t>MTP Table 2, line 26</t>
  </si>
  <si>
    <t>(growth rate)</t>
  </si>
  <si>
    <t>MTP Table 2, line 1</t>
  </si>
  <si>
    <t>MTP Table 2, line 2</t>
  </si>
  <si>
    <t>MTP Table 2, line 3</t>
  </si>
  <si>
    <t>Table 7b: Debt projections and key stressed variables, deterministic scenarios and stochastic simulations</t>
  </si>
  <si>
    <t>Probability of debt being below its value in T+4/7</t>
  </si>
  <si>
    <t>Table 7c: Debt and headline balance projections and underlying assumptions (under 'no-fiscal-policy-change' baseline)</t>
  </si>
  <si>
    <t>Fiscal multiplier</t>
  </si>
  <si>
    <t>Table 7d: Debt projections and additional assumptions (under the planned fiscal path)</t>
  </si>
  <si>
    <t>Rolled over long-term debt</t>
  </si>
  <si>
    <t>Tolled over short-term debt</t>
  </si>
  <si>
    <t>New long-term debt</t>
  </si>
  <si>
    <t>New short-term debt</t>
  </si>
  <si>
    <t>Worksheet name containing Table 7 a,b,c,d</t>
  </si>
  <si>
    <t>Row containing years label of Table 7a</t>
  </si>
  <si>
    <t>Row containing years label of Table 7d</t>
  </si>
  <si>
    <t>Row containing years label of Table 7c</t>
  </si>
  <si>
    <t>Column with MTP base year (bn NAC)</t>
  </si>
  <si>
    <t>MTP import tool:</t>
  </si>
  <si>
    <t xml:space="preserve">Prior guidance import tool: </t>
  </si>
  <si>
    <t>Adjustment scenario</t>
  </si>
  <si>
    <t>Worksheet name containing FASTOP Table 7s</t>
  </si>
  <si>
    <t>FASTOP reporting</t>
  </si>
  <si>
    <t>Column containing line numbers</t>
  </si>
  <si>
    <t>B</t>
  </si>
  <si>
    <t>Row containing Table 7a years</t>
  </si>
  <si>
    <t>Row containing Table 7c years</t>
  </si>
  <si>
    <t>Worksheet name containing full net expenditure growth path (adjustment path)</t>
  </si>
  <si>
    <t>Row containing full net expenditure growth path years</t>
  </si>
  <si>
    <t>Worksheet name containing full stochastic debt projections</t>
  </si>
  <si>
    <t>Stochastic</t>
  </si>
  <si>
    <t>Row containing stochastic debt projection years</t>
  </si>
  <si>
    <t xml:space="preserve">Row containing full net expenditure growth rates </t>
  </si>
  <si>
    <t>Sheet2</t>
  </si>
  <si>
    <t>Row containing Table 7b years (first sub-table header)</t>
  </si>
  <si>
    <t>Row containing years label of Table 7b (first sub-table header)</t>
  </si>
  <si>
    <t>Macroeconomic assumption plausibility (IFI assessment)</t>
  </si>
  <si>
    <t>Debt and deficit sustainability  (Articles 6(a), 6(b), 6(c), 6(d), 7, 8)</t>
  </si>
  <si>
    <t xml:space="preserve">If using different assumptions to the EU's prior guidance, is the explanation satisfactory and based on sound and data-driven economic arguments? </t>
  </si>
  <si>
    <t xml:space="preserve">R1: Checking whether the general government debt exceeds 60% of GDP </t>
  </si>
  <si>
    <t>R2: Checking whether the general government deficit exceeds 3% of GDP</t>
  </si>
  <si>
    <t>R3: Checking whether the country is required to submit an MTP that adheres to a reference trajectory (or an alternative path meeting all criteria)</t>
  </si>
  <si>
    <t>Assessing whether a reference trajectory applies (Article 5 and 9), a prerequisite for the remaining indicators (routing criteria to determine assessment track, or "R" indicators)</t>
  </si>
  <si>
    <t>M3: Determining whether reform and investment commitments fulfil the criteria for an extension of the adjustment period (Article 14)</t>
  </si>
  <si>
    <t>Was the MTP prepared using different assumptions than the EC's DSA framework in prior guidance?</t>
  </si>
  <si>
    <t xml:space="preserve">If the IFI has been asked to issue an opinion on the macroeconomic forecast and the macroeconomic assumptions underpinning the net expenditure path, does it deem the forecast and assumptions to be plausible? </t>
  </si>
  <si>
    <t xml:space="preserve">Overall MTP compliance </t>
  </si>
  <si>
    <t xml:space="preserve">If so, is the explanation for using different assumptions satisfactory and based on sound and data-driven economic arguments? </t>
  </si>
  <si>
    <t xml:space="preserve">Are the alternative macroeconomic forecasts and assumptions plausible? </t>
  </si>
  <si>
    <t xml:space="preserve">Are the MTP's macroeconomic assumptions either taken from the DSA framework or otherwise plausible? </t>
  </si>
  <si>
    <t>Article 13</t>
  </si>
  <si>
    <t>Article 14</t>
  </si>
  <si>
    <t>Article 11(2)</t>
  </si>
  <si>
    <t>M1: Determining whether the MTP's macroeconomic assumption are plausible</t>
  </si>
  <si>
    <t xml:space="preserve">M2: Determining whether the MTP contains  all information required by Article 13 of Regulation (EU) 2024/1263 </t>
  </si>
  <si>
    <t>Plan plausibility and completeness (Articles 11, 13 and 14)</t>
  </si>
  <si>
    <t xml:space="preserve">M4: Checking whether the average net expenditure growth of the MTP over the adjustment period is higher than the prior guidance transmitted by the Commission </t>
  </si>
  <si>
    <t>M6: Checking whether gross government debt is at prudent levels below 60% over the medium-term or is put or remains on a plausibly downward path according to a DSA assessment [Article 16(2) and Article 6(a)]</t>
  </si>
  <si>
    <t>M7: Checking whether the projected general government deficit is brought below 3% of GDP over the adjustment period and is maintained below that reference value over the medium-term [Article 16(2) and Article 6(b)]</t>
  </si>
  <si>
    <t>M8: Checking whether the adjustment is linear and at least proportional to total effort over the entire adjustment period (the "no backloading" safegard) [Article 6(c)]</t>
  </si>
  <si>
    <t>M9: Checking consistency with the EDP corrective path in Article 3(4) of Regulation (EC) No 1467/97 [Article 6(d)]</t>
  </si>
  <si>
    <t>M10: Determining whether the debt sustainability safeguard applies and, if so, verifying compliance of the planned fiscal path  [Article 7]</t>
  </si>
  <si>
    <t>M11: Determining whether the deficit resilience safeguard applies and, if so, verifying compliance [Article 8]</t>
  </si>
  <si>
    <t>M12. Checking planned structural primary balance adjustment against the target that satisfies all criteria (supportive)</t>
  </si>
  <si>
    <t xml:space="preserve">M5: Checking whether the MTP's annual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</si>
  <si>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Compliance of MTP annual net expenditure growth path with prior guidance</t>
  </si>
  <si>
    <t>Article 16(2)</t>
  </si>
  <si>
    <t xml:space="preserve">Article 6(d) </t>
  </si>
  <si>
    <t>Article 7</t>
  </si>
  <si>
    <t>Article 8</t>
  </si>
  <si>
    <t>Net expenditure path (Articles 6, 16)</t>
  </si>
  <si>
    <t>Articles 6,  16(3)</t>
  </si>
  <si>
    <t>Article 6(c), 15(5)</t>
  </si>
  <si>
    <t>EC practice</t>
  </si>
  <si>
    <t>P1: Compliance with agreed net expenditure path (single operational anchor)</t>
  </si>
  <si>
    <t>Control account</t>
  </si>
  <si>
    <t>Flag</t>
  </si>
  <si>
    <t>Annual and cumulated deviations</t>
  </si>
  <si>
    <t>Annual deviation ((11-12) x 7(t-1))</t>
  </si>
  <si>
    <t>Cumulated deviation (cumulative from 13)</t>
  </si>
  <si>
    <t>"Augmented" control account (while escape clauses are active)</t>
  </si>
  <si>
    <t>Augmented cumulated balance</t>
  </si>
  <si>
    <t>Base year for max increase in defence expenditures, if applicable</t>
  </si>
  <si>
    <t>Absolute deviation cap</t>
  </si>
  <si>
    <t>General government defence expenditure in base year (% GDP)</t>
  </si>
  <si>
    <t>Recorded cumulated balance</t>
  </si>
  <si>
    <t>Cumulated balance (2026 APR majority presentation)</t>
  </si>
  <si>
    <t>Augmented annual balance</t>
  </si>
  <si>
    <t>P5b: Time profile of the fiscal adjustment (change in the structural primary balance) compared to the endorsed plan</t>
  </si>
  <si>
    <t>P3b: Performance of general government debt compared to the endorsed plan</t>
  </si>
  <si>
    <t xml:space="preserve">P4: Deficit resilience safeguard respected </t>
  </si>
  <si>
    <t xml:space="preserve">P5a: Structural primary balance progress and timing </t>
  </si>
  <si>
    <t>P3a: Change in general government gross debt compared to endorsed plan and safeguard</t>
  </si>
  <si>
    <t>Annual Progress Report 2026</t>
  </si>
  <si>
    <t>P2: Control account deviations and balance</t>
  </si>
  <si>
    <t>Cumulated balance (14/15)</t>
  </si>
  <si>
    <t>Recommended net expenditure growth</t>
  </si>
  <si>
    <t>Enter alternative scenario to override AMECO net expenditure growth components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</si>
</sst>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4" x14ac:knownFonts="1">
    <font>
      <sz val="10"/>
      <color theme="1"/>
      <name val="Aptos Narrow"/>
      <family val="2"/>
    </font>
    <font>
      <sz val="11"/>
      <color theme="1"/>
      <name val="Calibri"/>
      <family val="2"/>
      <scheme val="minor"/>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u/>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u/>
      <sz val="11"/>
      <color theme="1"/>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
      <sz val="11"/>
      <name val="Segoe UI"/>
      <family val="2"/>
    </font>
    <font>
      <sz val="10"/>
      <color theme="4" tint="-0.249977111117893"/>
      <name val="Aptos Narrow"/>
      <family val="2"/>
    </font>
    <font>
      <sz val="10"/>
      <color theme="4" tint="-0.249977111117893"/>
      <name val="Arial"/>
      <family val="2"/>
    </font>
    <font>
      <sz val="10"/>
      <name val="Arial"/>
      <family val="2"/>
    </font>
    <font>
      <sz val="9"/>
      <color indexed="81"/>
      <name val="Tahoma"/>
      <charset val="1"/>
    </font>
    <font>
      <sz val="10"/>
      <color theme="0" tint="-0.14999847407452621"/>
      <name val="Aptos Narrow"/>
      <family val="2"/>
    </font>
    <font>
      <b/>
      <u/>
      <sz val="10"/>
      <color theme="1"/>
      <name val="Aptos Narrow"/>
      <family val="2"/>
    </font>
  </fonts>
  <fills count="10">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9" tint="0.79998168889431442"/>
        <bgColor indexed="64"/>
      </patternFill>
    </fill>
    <fill>
      <patternFill patternType="solid">
        <fgColor rgb="FFFFFF00"/>
        <bgColor indexed="64"/>
      </patternFill>
    </fill>
  </fills>
  <borders count="16">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0" tint="-0.14996795556505021"/>
      </left>
      <right/>
      <top style="thin">
        <color theme="0" tint="-0.14996795556505021"/>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style="thin">
        <color theme="6" tint="0.59996337778862885"/>
      </left>
      <right style="thin">
        <color theme="6" tint="0.59996337778862885"/>
      </right>
      <top style="thin">
        <color theme="6" tint="0.59996337778862885"/>
      </top>
      <bottom/>
      <diagonal/>
    </border>
    <border>
      <left/>
      <right/>
      <top/>
      <bottom style="thin">
        <color theme="1" tint="0.34998626667073579"/>
      </bottom>
      <diagonal/>
    </border>
  </borders>
  <cellStyleXfs count="19">
    <xf numFmtId="0" fontId="0" fillId="0" borderId="0"/>
    <xf numFmtId="0" fontId="13" fillId="5" borderId="0" applyNumberFormat="0" applyBorder="0" applyAlignment="0" applyProtection="0"/>
    <xf numFmtId="9" fontId="4" fillId="0" borderId="0" applyFont="0" applyFill="0" applyBorder="0" applyAlignment="0" applyProtection="0"/>
    <xf numFmtId="0" fontId="3" fillId="2" borderId="0" applyNumberFormat="0" applyBorder="0" applyAlignment="0" applyProtection="0"/>
    <xf numFmtId="43" fontId="4" fillId="0" borderId="0" applyFont="0" applyFill="0" applyBorder="0" applyAlignment="0" applyProtection="0"/>
    <xf numFmtId="0" fontId="6" fillId="0" borderId="0" applyNumberFormat="0" applyFill="0" applyBorder="0" applyAlignment="0" applyProtection="0"/>
    <xf numFmtId="0" fontId="36" fillId="0" borderId="0" applyNumberFormat="0" applyAlignment="0" applyProtection="0"/>
    <xf numFmtId="0" fontId="11" fillId="6" borderId="0" applyNumberFormat="0" applyBorder="0" applyAlignment="0" applyProtection="0"/>
    <xf numFmtId="0" fontId="39" fillId="0" borderId="0" applyNumberFormat="0" applyFill="0" applyAlignment="0" applyProtection="0"/>
    <xf numFmtId="0" fontId="31" fillId="0" borderId="0" applyNumberFormat="0" applyFill="0" applyBorder="0" applyAlignment="0" applyProtection="0"/>
    <xf numFmtId="0" fontId="35" fillId="0" borderId="0" applyNumberFormat="0" applyFill="0" applyBorder="0" applyAlignment="0" applyProtection="0"/>
    <xf numFmtId="0" fontId="37" fillId="0" borderId="0" applyNumberFormat="0" applyFill="0" applyAlignment="0" applyProtection="0"/>
    <xf numFmtId="0" fontId="29" fillId="0" borderId="0" applyNumberFormat="0" applyFill="0" applyBorder="0" applyAlignment="0" applyProtection="0"/>
    <xf numFmtId="0" fontId="38" fillId="0" borderId="0" applyNumberFormat="0" applyFill="0" applyBorder="0" applyAlignment="0" applyProtection="0"/>
    <xf numFmtId="0" fontId="42" fillId="0" borderId="0"/>
    <xf numFmtId="0" fontId="2" fillId="7"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7" borderId="0" applyNumberFormat="0" applyBorder="0" applyAlignment="0" applyProtection="0"/>
  </cellStyleXfs>
  <cellXfs count="267">
    <xf numFmtId="0" fontId="0" fillId="0" borderId="0" xfId="0"/>
    <xf numFmtId="0" fontId="13"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7" fillId="4" borderId="2" xfId="5" applyFont="1" applyFill="1" applyBorder="1" applyAlignment="1">
      <alignment horizontal="center" vertical="center"/>
    </xf>
    <xf numFmtId="0" fontId="9" fillId="0" borderId="0" xfId="0" applyFont="1"/>
    <xf numFmtId="0" fontId="8" fillId="0" borderId="0" xfId="0" applyFont="1"/>
    <xf numFmtId="0" fontId="0" fillId="0" borderId="0" xfId="0" applyAlignment="1">
      <alignment horizontal="left" indent="2"/>
    </xf>
    <xf numFmtId="0" fontId="36" fillId="0" borderId="0" xfId="6"/>
    <xf numFmtId="0" fontId="11" fillId="0" borderId="0" xfId="0" applyFont="1"/>
    <xf numFmtId="0" fontId="11" fillId="0" borderId="0" xfId="0" applyFont="1" applyAlignment="1">
      <alignment horizontal="left" indent="1"/>
    </xf>
    <xf numFmtId="0" fontId="15" fillId="0" borderId="0" xfId="0" applyFont="1"/>
    <xf numFmtId="0" fontId="11" fillId="0" borderId="0" xfId="0" applyFont="1" applyAlignment="1">
      <alignment horizontal="right"/>
    </xf>
    <xf numFmtId="0" fontId="11" fillId="0" borderId="0" xfId="0" applyFont="1" applyAlignment="1">
      <alignment horizontal="left"/>
    </xf>
    <xf numFmtId="0" fontId="11" fillId="0" borderId="1" xfId="0" applyFont="1" applyBorder="1"/>
    <xf numFmtId="0" fontId="16" fillId="3" borderId="0" xfId="0" applyFont="1" applyFill="1"/>
    <xf numFmtId="0" fontId="17" fillId="3" borderId="0" xfId="0" applyFont="1" applyFill="1"/>
    <xf numFmtId="0" fontId="17" fillId="0" borderId="0" xfId="0" applyFont="1"/>
    <xf numFmtId="0" fontId="19" fillId="3" borderId="0" xfId="0" applyFont="1" applyFill="1" applyAlignment="1">
      <alignment horizontal="left"/>
    </xf>
    <xf numFmtId="0" fontId="17" fillId="0" borderId="0" xfId="0" applyFont="1" applyAlignment="1">
      <alignment horizontal="left"/>
    </xf>
    <xf numFmtId="0" fontId="16" fillId="3" borderId="0" xfId="0" applyFont="1" applyFill="1" applyAlignment="1">
      <alignment horizontal="left"/>
    </xf>
    <xf numFmtId="0" fontId="20" fillId="3" borderId="0" xfId="0" applyFont="1" applyFill="1"/>
    <xf numFmtId="0" fontId="16" fillId="0" borderId="0" xfId="0" applyFont="1"/>
    <xf numFmtId="0" fontId="20" fillId="0" borderId="0" xfId="0" applyFont="1"/>
    <xf numFmtId="0" fontId="20" fillId="0" borderId="0" xfId="3" applyFont="1" applyFill="1" applyBorder="1" applyAlignment="1"/>
    <xf numFmtId="0" fontId="20" fillId="0" borderId="0" xfId="3" applyFont="1" applyFill="1" applyBorder="1" applyAlignment="1">
      <alignment horizontal="right"/>
    </xf>
    <xf numFmtId="0" fontId="17" fillId="0" borderId="0" xfId="0" applyFont="1" applyAlignment="1">
      <alignment horizontal="left" indent="1"/>
    </xf>
    <xf numFmtId="0" fontId="21"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6" fillId="0" borderId="0" xfId="5"/>
    <xf numFmtId="0" fontId="12" fillId="0" borderId="0" xfId="0" applyFont="1"/>
    <xf numFmtId="0" fontId="24" fillId="0" borderId="0" xfId="0" applyFont="1"/>
    <xf numFmtId="0" fontId="25" fillId="0" borderId="4" xfId="3" applyFont="1" applyFill="1" applyBorder="1"/>
    <xf numFmtId="0" fontId="25" fillId="0" borderId="4" xfId="0" applyFont="1" applyBorder="1"/>
    <xf numFmtId="0" fontId="25" fillId="0" borderId="1" xfId="3" applyFont="1" applyFill="1" applyBorder="1" applyAlignment="1">
      <alignment horizontal="left"/>
    </xf>
    <xf numFmtId="0" fontId="25" fillId="0" borderId="1" xfId="0" applyFont="1" applyBorder="1"/>
    <xf numFmtId="0" fontId="25" fillId="0" borderId="1" xfId="0" applyFont="1" applyBorder="1" applyAlignment="1">
      <alignment horizontal="right"/>
    </xf>
    <xf numFmtId="0" fontId="25" fillId="0" borderId="0" xfId="0" applyFont="1"/>
    <xf numFmtId="164" fontId="25" fillId="0" borderId="0" xfId="0" applyNumberFormat="1" applyFont="1" applyAlignment="1">
      <alignment horizontal="right"/>
    </xf>
    <xf numFmtId="0" fontId="25" fillId="0" borderId="0" xfId="0" applyFont="1" applyAlignment="1">
      <alignment horizontal="left" indent="1"/>
    </xf>
    <xf numFmtId="0" fontId="25" fillId="0" borderId="0" xfId="0" applyFont="1" applyAlignment="1">
      <alignment horizontal="right"/>
    </xf>
    <xf numFmtId="164" fontId="25" fillId="0" borderId="0" xfId="0" applyNumberFormat="1" applyFont="1"/>
    <xf numFmtId="3" fontId="25" fillId="0" borderId="0" xfId="0" applyNumberFormat="1" applyFont="1"/>
    <xf numFmtId="0" fontId="39" fillId="0" borderId="0" xfId="8"/>
    <xf numFmtId="0" fontId="14"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1" fillId="0" borderId="0" xfId="9"/>
    <xf numFmtId="0" fontId="25" fillId="0" borderId="0" xfId="0" applyFont="1" applyAlignment="1">
      <alignment horizontal="left"/>
    </xf>
    <xf numFmtId="0" fontId="26" fillId="0" borderId="0" xfId="0" applyFont="1"/>
    <xf numFmtId="0" fontId="36" fillId="0" borderId="0" xfId="6" applyAlignment="1">
      <alignment vertical="center"/>
    </xf>
    <xf numFmtId="165" fontId="25" fillId="0" borderId="0" xfId="0" applyNumberFormat="1" applyFont="1"/>
    <xf numFmtId="0" fontId="25" fillId="0" borderId="0" xfId="3" applyFont="1" applyFill="1" applyBorder="1" applyAlignment="1">
      <alignment horizontal="left"/>
    </xf>
    <xf numFmtId="0" fontId="25" fillId="0" borderId="0" xfId="3" applyFont="1" applyFill="1" applyBorder="1" applyAlignment="1">
      <alignment horizontal="right"/>
    </xf>
    <xf numFmtId="0" fontId="25" fillId="0" borderId="1" xfId="0" applyFont="1" applyBorder="1" applyAlignment="1">
      <alignment horizontal="left"/>
    </xf>
    <xf numFmtId="164" fontId="25" fillId="0" borderId="0" xfId="3" applyNumberFormat="1" applyFont="1" applyFill="1" applyBorder="1" applyAlignment="1">
      <alignment horizontal="right"/>
    </xf>
    <xf numFmtId="0" fontId="13" fillId="5" borderId="0" xfId="1" applyAlignment="1">
      <alignment horizontal="right"/>
    </xf>
    <xf numFmtId="164" fontId="0" fillId="0" borderId="0" xfId="0" applyNumberFormat="1" applyAlignment="1">
      <alignment horizontal="right"/>
    </xf>
    <xf numFmtId="0" fontId="17" fillId="0" borderId="3" xfId="0" applyFont="1" applyBorder="1"/>
    <xf numFmtId="0" fontId="20" fillId="5" borderId="0" xfId="1" applyFont="1" applyBorder="1" applyAlignment="1">
      <alignment horizontal="left"/>
    </xf>
    <xf numFmtId="0" fontId="20" fillId="5" borderId="0" xfId="1" applyFont="1" applyBorder="1"/>
    <xf numFmtId="165" fontId="25" fillId="0" borderId="0" xfId="0" applyNumberFormat="1" applyFont="1" applyAlignment="1">
      <alignment horizontal="right"/>
    </xf>
    <xf numFmtId="165" fontId="25" fillId="0" borderId="0" xfId="3" applyNumberFormat="1" applyFont="1" applyFill="1" applyBorder="1" applyAlignment="1">
      <alignment horizontal="right"/>
    </xf>
    <xf numFmtId="0" fontId="27" fillId="3" borderId="0" xfId="0" applyFont="1" applyFill="1"/>
    <xf numFmtId="0" fontId="13" fillId="0" borderId="0" xfId="0" applyFont="1"/>
    <xf numFmtId="0" fontId="17" fillId="0" borderId="0" xfId="0" applyFont="1" applyAlignment="1">
      <alignment horizontal="right"/>
    </xf>
    <xf numFmtId="0" fontId="16" fillId="0" borderId="5" xfId="0" applyFont="1" applyBorder="1"/>
    <xf numFmtId="0" fontId="28" fillId="0" borderId="5" xfId="0" applyFont="1" applyBorder="1" applyAlignment="1">
      <alignment horizontal="center"/>
    </xf>
    <xf numFmtId="0" fontId="28" fillId="0" borderId="0" xfId="0" applyFont="1" applyAlignment="1">
      <alignment horizontal="center"/>
    </xf>
    <xf numFmtId="0" fontId="12" fillId="0" borderId="0" xfId="0" applyFont="1" applyAlignment="1">
      <alignment horizontal="right"/>
    </xf>
    <xf numFmtId="0" fontId="35" fillId="0" borderId="0" xfId="10"/>
    <xf numFmtId="0" fontId="16" fillId="0" borderId="0" xfId="0" applyFont="1" applyAlignment="1">
      <alignment horizontal="left"/>
    </xf>
    <xf numFmtId="0" fontId="37" fillId="0" borderId="0" xfId="11"/>
    <xf numFmtId="0" fontId="25" fillId="0" borderId="0" xfId="3" applyFont="1" applyFill="1" applyBorder="1" applyAlignment="1" applyProtection="1">
      <alignment horizontal="left"/>
    </xf>
    <xf numFmtId="0" fontId="30" fillId="0" borderId="0" xfId="0" applyFont="1"/>
    <xf numFmtId="0" fontId="25" fillId="0" borderId="0" xfId="0" applyFont="1" applyAlignment="1">
      <alignment horizontal="left" indent="2"/>
    </xf>
    <xf numFmtId="0" fontId="25" fillId="0" borderId="1" xfId="0" applyFont="1" applyBorder="1" applyAlignment="1">
      <alignment horizontal="left" indent="2"/>
    </xf>
    <xf numFmtId="165" fontId="25" fillId="0" borderId="0" xfId="0" applyNumberFormat="1" applyFont="1" applyAlignment="1">
      <alignment wrapText="1"/>
    </xf>
    <xf numFmtId="0" fontId="0" fillId="0" borderId="6" xfId="0" applyBorder="1"/>
    <xf numFmtId="0" fontId="0" fillId="0" borderId="7" xfId="0" applyBorder="1"/>
    <xf numFmtId="0" fontId="13" fillId="0" borderId="0" xfId="0" applyFont="1" applyAlignment="1">
      <alignment horizontal="right"/>
    </xf>
    <xf numFmtId="1" fontId="0" fillId="0" borderId="0" xfId="0" applyNumberFormat="1" applyAlignment="1">
      <alignment horizontal="right"/>
    </xf>
    <xf numFmtId="0" fontId="0" fillId="0" borderId="4" xfId="0" applyBorder="1"/>
    <xf numFmtId="0" fontId="25" fillId="0" borderId="0" xfId="0" applyFont="1" applyAlignment="1">
      <alignment horizontal="left" indent="3"/>
    </xf>
    <xf numFmtId="165" fontId="11" fillId="0" borderId="0" xfId="0" applyNumberFormat="1" applyFont="1"/>
    <xf numFmtId="0" fontId="12" fillId="0" borderId="0" xfId="0" applyFont="1" applyAlignment="1">
      <alignment horizontal="left"/>
    </xf>
    <xf numFmtId="0" fontId="12" fillId="0" borderId="1" xfId="0" applyFont="1" applyBorder="1"/>
    <xf numFmtId="0" fontId="11" fillId="0" borderId="4" xfId="0" applyFont="1" applyBorder="1"/>
    <xf numFmtId="165" fontId="25" fillId="0" borderId="0" xfId="2" applyNumberFormat="1" applyFont="1" applyAlignment="1">
      <alignment horizontal="right"/>
    </xf>
    <xf numFmtId="0" fontId="16" fillId="0" borderId="0" xfId="3" applyFont="1" applyFill="1" applyBorder="1" applyAlignment="1">
      <alignment horizontal="right"/>
    </xf>
    <xf numFmtId="0" fontId="12" fillId="0" borderId="0" xfId="0" applyFont="1" applyAlignment="1">
      <alignment horizontal="left" indent="1"/>
    </xf>
    <xf numFmtId="0" fontId="35" fillId="0" borderId="0" xfId="10" applyAlignment="1">
      <alignment vertical="center"/>
    </xf>
    <xf numFmtId="3" fontId="25" fillId="0" borderId="0" xfId="4" applyNumberFormat="1" applyFont="1" applyFill="1" applyBorder="1" applyAlignment="1">
      <alignment horizontal="right"/>
    </xf>
    <xf numFmtId="165" fontId="11" fillId="0" borderId="0" xfId="0" applyNumberFormat="1" applyFont="1" applyAlignment="1">
      <alignment horizontal="right"/>
    </xf>
    <xf numFmtId="0" fontId="12" fillId="0" borderId="0" xfId="0" applyFont="1" applyAlignment="1">
      <alignment horizontal="center"/>
    </xf>
    <xf numFmtId="0" fontId="26" fillId="0" borderId="0" xfId="0" applyFont="1" applyAlignment="1">
      <alignment horizontal="left" indent="1"/>
    </xf>
    <xf numFmtId="0" fontId="36" fillId="0" borderId="3" xfId="6" applyBorder="1"/>
    <xf numFmtId="0" fontId="12" fillId="0" borderId="3" xfId="0" applyFont="1" applyBorder="1"/>
    <xf numFmtId="0" fontId="38" fillId="0" borderId="0" xfId="13"/>
    <xf numFmtId="164" fontId="0" fillId="0" borderId="0" xfId="0" applyNumberFormat="1" applyAlignment="1">
      <alignment horizontal="right" wrapText="1"/>
    </xf>
    <xf numFmtId="165" fontId="25"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32" fillId="3" borderId="0" xfId="0" applyFont="1" applyFill="1"/>
    <xf numFmtId="0" fontId="32" fillId="3" borderId="0" xfId="0" applyFont="1" applyFill="1" applyAlignment="1">
      <alignment horizontal="right"/>
    </xf>
    <xf numFmtId="0" fontId="18" fillId="3" borderId="0" xfId="0" applyFont="1" applyFill="1" applyAlignment="1">
      <alignment horizontal="centerContinuous" vertical="center"/>
    </xf>
    <xf numFmtId="0" fontId="33" fillId="0" borderId="3" xfId="0" applyFont="1" applyBorder="1"/>
    <xf numFmtId="0" fontId="33" fillId="0" borderId="3" xfId="0" applyFont="1" applyBorder="1" applyAlignment="1">
      <alignment horizontal="left"/>
    </xf>
    <xf numFmtId="0" fontId="11" fillId="0" borderId="3" xfId="0" applyFont="1" applyBorder="1"/>
    <xf numFmtId="164" fontId="11" fillId="0" borderId="0" xfId="0" applyNumberFormat="1" applyFont="1"/>
    <xf numFmtId="0" fontId="36" fillId="0" borderId="0" xfId="6" applyAlignment="1">
      <alignment horizontal="left"/>
    </xf>
    <xf numFmtId="164" fontId="12" fillId="0" borderId="0" xfId="0" applyNumberFormat="1" applyFont="1" applyAlignment="1">
      <alignment horizontal="right"/>
    </xf>
    <xf numFmtId="0" fontId="12" fillId="0" borderId="1" xfId="0" applyFont="1" applyBorder="1" applyAlignment="1">
      <alignment horizontal="right"/>
    </xf>
    <xf numFmtId="0" fontId="11" fillId="0" borderId="0" xfId="0" applyFont="1" applyAlignment="1">
      <alignment horizontal="left" wrapText="1" indent="1"/>
    </xf>
    <xf numFmtId="0" fontId="26" fillId="0" borderId="0" xfId="0" applyFont="1" applyAlignment="1">
      <alignment horizontal="left"/>
    </xf>
    <xf numFmtId="0" fontId="0" fillId="0" borderId="0" xfId="0" applyAlignment="1">
      <alignment horizontal="right" wrapText="1"/>
    </xf>
    <xf numFmtId="0" fontId="40" fillId="0" borderId="0" xfId="0" applyFont="1"/>
    <xf numFmtId="0" fontId="11" fillId="0" borderId="0" xfId="0" applyFont="1" applyAlignment="1">
      <alignment horizontal="center"/>
    </xf>
    <xf numFmtId="164" fontId="0" fillId="0" borderId="0" xfId="0" applyNumberFormat="1" applyAlignment="1">
      <alignment horizontal="left" indent="1"/>
    </xf>
    <xf numFmtId="164" fontId="26" fillId="0" borderId="0" xfId="0" applyNumberFormat="1" applyFont="1" applyAlignment="1">
      <alignment horizontal="left" indent="1"/>
    </xf>
    <xf numFmtId="0" fontId="39" fillId="0" borderId="0" xfId="8" applyFill="1"/>
    <xf numFmtId="0" fontId="38" fillId="0" borderId="0" xfId="13" applyFill="1"/>
    <xf numFmtId="164" fontId="11" fillId="0" borderId="0" xfId="0" applyNumberFormat="1" applyFont="1" applyAlignment="1">
      <alignment horizontal="left" wrapText="1" indent="1"/>
    </xf>
    <xf numFmtId="0" fontId="0" fillId="0" borderId="0" xfId="0" applyAlignment="1">
      <alignment horizontal="left" wrapText="1" indent="1"/>
    </xf>
    <xf numFmtId="0" fontId="37" fillId="0" borderId="0" xfId="11" applyFill="1"/>
    <xf numFmtId="0" fontId="0" fillId="0" borderId="0" xfId="0" applyAlignment="1">
      <alignment vertical="center"/>
    </xf>
    <xf numFmtId="0" fontId="38" fillId="0" borderId="0" xfId="13" applyAlignment="1">
      <alignment horizontal="left" indent="1"/>
    </xf>
    <xf numFmtId="0" fontId="0" fillId="0" borderId="0" xfId="0" applyAlignment="1">
      <alignment horizontal="left" indent="3"/>
    </xf>
    <xf numFmtId="0" fontId="12" fillId="0" borderId="0" xfId="0" applyFont="1" applyAlignment="1">
      <alignment horizontal="right" indent="1"/>
    </xf>
    <xf numFmtId="0" fontId="0" fillId="0" borderId="0" xfId="0" applyAlignment="1">
      <alignment horizontal="left" vertical="center"/>
    </xf>
    <xf numFmtId="164" fontId="12" fillId="0" borderId="0" xfId="0" applyNumberFormat="1" applyFont="1" applyAlignment="1">
      <alignment horizontal="left" indent="1"/>
    </xf>
    <xf numFmtId="0" fontId="16" fillId="0" borderId="5" xfId="0" applyFont="1" applyBorder="1" applyAlignment="1">
      <alignment horizontal="left"/>
    </xf>
    <xf numFmtId="165" fontId="25" fillId="0" borderId="0" xfId="4" applyNumberFormat="1" applyFont="1" applyFill="1" applyBorder="1" applyAlignment="1"/>
    <xf numFmtId="165" fontId="25" fillId="0" borderId="0" xfId="4" applyNumberFormat="1" applyFont="1" applyFill="1" applyBorder="1" applyAlignment="1" applyProtection="1"/>
    <xf numFmtId="165" fontId="25"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3" fontId="41" fillId="0" borderId="0" xfId="14" applyNumberFormat="1" applyFont="1" applyAlignment="1">
      <alignment horizontal="right" vertical="center" shrinkToFit="1"/>
    </xf>
    <xf numFmtId="3" fontId="25" fillId="0" borderId="1" xfId="6" applyNumberFormat="1" applyFont="1" applyBorder="1"/>
    <xf numFmtId="165" fontId="25" fillId="0" borderId="0" xfId="2" applyNumberFormat="1" applyFont="1" applyBorder="1" applyAlignment="1">
      <alignment horizontal="right"/>
    </xf>
    <xf numFmtId="166" fontId="37" fillId="0" borderId="0" xfId="11" applyNumberFormat="1" applyAlignment="1">
      <alignment horizontal="left"/>
    </xf>
    <xf numFmtId="0" fontId="43" fillId="0" borderId="0" xfId="0" applyFont="1"/>
    <xf numFmtId="0" fontId="43" fillId="0" borderId="0" xfId="0" applyFont="1" applyAlignment="1">
      <alignment horizontal="left"/>
    </xf>
    <xf numFmtId="0" fontId="24" fillId="0" borderId="0" xfId="0" applyFont="1" applyAlignment="1">
      <alignment horizontal="left" vertical="center" indent="2"/>
    </xf>
    <xf numFmtId="0" fontId="45" fillId="0" borderId="0" xfId="0" applyFont="1" applyAlignment="1">
      <alignment horizontal="left" vertical="center" indent="2"/>
    </xf>
    <xf numFmtId="0" fontId="34" fillId="0" borderId="0" xfId="0" applyFont="1" applyAlignment="1">
      <alignment horizontal="left" vertical="center" indent="2"/>
    </xf>
    <xf numFmtId="165" fontId="13" fillId="0" borderId="0" xfId="3" applyNumberFormat="1" applyFont="1" applyFill="1" applyBorder="1" applyAlignment="1">
      <alignment horizontal="right"/>
    </xf>
    <xf numFmtId="165" fontId="13"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2" fillId="0" borderId="0" xfId="0" applyFont="1" applyAlignment="1">
      <alignment vertical="top"/>
    </xf>
    <xf numFmtId="0" fontId="46" fillId="0" borderId="0" xfId="0" applyFont="1"/>
    <xf numFmtId="0" fontId="46" fillId="0" borderId="0" xfId="0" applyFont="1" applyAlignment="1">
      <alignment vertical="top"/>
    </xf>
    <xf numFmtId="0" fontId="46" fillId="0" borderId="0" xfId="0" applyFont="1" applyAlignment="1">
      <alignment horizontal="right" vertical="top"/>
    </xf>
    <xf numFmtId="0" fontId="17" fillId="0" borderId="4" xfId="0" applyFont="1" applyBorder="1"/>
    <xf numFmtId="164" fontId="12" fillId="0" borderId="0" xfId="0" applyNumberFormat="1" applyFont="1"/>
    <xf numFmtId="165" fontId="12" fillId="0" borderId="0" xfId="0" applyNumberFormat="1" applyFont="1"/>
    <xf numFmtId="166" fontId="46" fillId="0" borderId="0" xfId="0" applyNumberFormat="1" applyFont="1" applyAlignment="1">
      <alignment horizontal="right" vertical="top"/>
    </xf>
    <xf numFmtId="165" fontId="12" fillId="0" borderId="0" xfId="3" applyNumberFormat="1" applyFont="1" applyFill="1" applyBorder="1" applyAlignment="1">
      <alignment horizontal="right"/>
    </xf>
    <xf numFmtId="3" fontId="12" fillId="0" borderId="0" xfId="4" applyNumberFormat="1" applyFont="1" applyFill="1" applyBorder="1" applyAlignment="1">
      <alignment horizontal="right"/>
    </xf>
    <xf numFmtId="0" fontId="0" fillId="0" borderId="8" xfId="0" applyBorder="1" applyAlignment="1">
      <alignment vertical="top"/>
    </xf>
    <xf numFmtId="0" fontId="24" fillId="0" borderId="0" xfId="0" applyFont="1" applyAlignment="1">
      <alignment vertical="top"/>
    </xf>
    <xf numFmtId="0" fontId="25"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6" fillId="3" borderId="0" xfId="0" applyFont="1" applyFill="1" applyAlignment="1">
      <alignment horizontal="right"/>
    </xf>
    <xf numFmtId="0" fontId="38" fillId="0" borderId="0" xfId="13" applyAlignment="1">
      <alignment horizontal="left" vertical="top" indent="1"/>
    </xf>
    <xf numFmtId="0" fontId="38" fillId="0" borderId="0" xfId="13" applyAlignment="1">
      <alignment horizontal="left" wrapText="1" indent="1"/>
    </xf>
    <xf numFmtId="0" fontId="12" fillId="0" borderId="0" xfId="3" applyFont="1" applyFill="1" applyBorder="1" applyAlignment="1">
      <alignment horizontal="right"/>
    </xf>
    <xf numFmtId="0" fontId="25" fillId="0" borderId="0" xfId="3" applyFont="1" applyFill="1" applyBorder="1" applyAlignment="1">
      <alignment horizontal="left" indent="1"/>
    </xf>
    <xf numFmtId="0" fontId="25" fillId="0" borderId="1" xfId="0" applyFont="1" applyBorder="1" applyAlignment="1">
      <alignment horizontal="left" indent="1"/>
    </xf>
    <xf numFmtId="0" fontId="0" fillId="0" borderId="8" xfId="0" applyBorder="1" applyAlignment="1">
      <alignment horizontal="right"/>
    </xf>
    <xf numFmtId="165" fontId="25" fillId="0" borderId="0" xfId="4" applyNumberFormat="1" applyFont="1" applyFill="1" applyBorder="1" applyAlignment="1">
      <alignment horizontal="right"/>
    </xf>
    <xf numFmtId="165" fontId="25" fillId="0" borderId="0" xfId="4" applyNumberFormat="1" applyFont="1" applyFill="1" applyBorder="1" applyAlignment="1" applyProtection="1">
      <alignment horizontal="right"/>
    </xf>
    <xf numFmtId="165" fontId="25" fillId="0" borderId="0" xfId="4" applyNumberFormat="1" applyFont="1" applyAlignment="1">
      <alignment horizontal="right"/>
    </xf>
    <xf numFmtId="0" fontId="0" fillId="0" borderId="8" xfId="0" applyBorder="1"/>
    <xf numFmtId="0" fontId="12" fillId="0" borderId="0" xfId="0" applyFont="1" applyAlignment="1">
      <alignment horizontal="right" vertical="top"/>
    </xf>
    <xf numFmtId="0" fontId="12" fillId="0" borderId="2" xfId="0" applyFont="1" applyBorder="1" applyAlignment="1">
      <alignment vertical="top"/>
    </xf>
    <xf numFmtId="0" fontId="12" fillId="0" borderId="2" xfId="0" applyFont="1" applyBorder="1" applyAlignment="1">
      <alignment horizontal="right" vertical="top"/>
    </xf>
    <xf numFmtId="166" fontId="0" fillId="0" borderId="2" xfId="0" applyNumberFormat="1" applyBorder="1"/>
    <xf numFmtId="0" fontId="36" fillId="0" borderId="0" xfId="6" applyAlignment="1">
      <alignment horizontal="left" vertical="center"/>
    </xf>
    <xf numFmtId="0" fontId="47" fillId="0" borderId="0" xfId="0" applyFont="1" applyAlignment="1">
      <alignment vertical="top"/>
    </xf>
    <xf numFmtId="0" fontId="47" fillId="0" borderId="0" xfId="0" applyFont="1"/>
    <xf numFmtId="0" fontId="13" fillId="5" borderId="11" xfId="1" applyBorder="1" applyAlignment="1">
      <alignment horizontal="center" vertical="top"/>
    </xf>
    <xf numFmtId="0" fontId="13" fillId="5" borderId="9" xfId="1" applyBorder="1" applyAlignment="1">
      <alignment horizontal="left" vertical="center"/>
    </xf>
    <xf numFmtId="0" fontId="13" fillId="5" borderId="9" xfId="1" applyBorder="1" applyAlignment="1">
      <alignment horizontal="center"/>
    </xf>
    <xf numFmtId="0" fontId="13" fillId="5" borderId="9" xfId="1" applyBorder="1" applyAlignment="1">
      <alignment horizontal="center" vertical="center" wrapText="1"/>
    </xf>
    <xf numFmtId="0" fontId="13" fillId="5" borderId="12" xfId="1" applyBorder="1" applyAlignment="1">
      <alignment horizontal="center" vertical="top"/>
    </xf>
    <xf numFmtId="0" fontId="11" fillId="6" borderId="0" xfId="7" applyBorder="1" applyAlignment="1">
      <alignment horizontal="left" vertical="top" wrapText="1"/>
    </xf>
    <xf numFmtId="0" fontId="11" fillId="6" borderId="0" xfId="7" applyBorder="1" applyAlignment="1">
      <alignment horizontal="left"/>
    </xf>
    <xf numFmtId="164" fontId="48" fillId="3" borderId="0" xfId="0" applyNumberFormat="1" applyFont="1" applyFill="1" applyAlignment="1">
      <alignment horizontal="center" vertical="center"/>
    </xf>
    <xf numFmtId="164" fontId="0" fillId="3" borderId="0" xfId="0" applyNumberFormat="1" applyFill="1" applyAlignment="1">
      <alignment horizontal="center" vertical="center"/>
    </xf>
    <xf numFmtId="0" fontId="11" fillId="6" borderId="0" xfId="7" applyBorder="1" applyAlignment="1">
      <alignment horizontal="left" vertical="top" wrapText="1" indent="1"/>
    </xf>
    <xf numFmtId="0" fontId="11" fillId="6" borderId="0" xfId="7" applyBorder="1" applyAlignment="1">
      <alignment vertical="top"/>
    </xf>
    <xf numFmtId="0" fontId="11" fillId="6" borderId="0" xfId="7" applyBorder="1" applyAlignment="1">
      <alignment horizontal="left" wrapText="1"/>
    </xf>
    <xf numFmtId="0" fontId="13" fillId="5" borderId="13" xfId="1" applyBorder="1" applyAlignment="1">
      <alignment horizontal="center" vertical="top"/>
    </xf>
    <xf numFmtId="0" fontId="11" fillId="6" borderId="10" xfId="7" applyBorder="1" applyAlignment="1">
      <alignment vertical="top"/>
    </xf>
    <xf numFmtId="0" fontId="11" fillId="6" borderId="10" xfId="7" applyBorder="1" applyAlignment="1">
      <alignment horizontal="left"/>
    </xf>
    <xf numFmtId="164" fontId="48" fillId="3" borderId="10" xfId="0" applyNumberFormat="1" applyFont="1" applyFill="1" applyBorder="1" applyAlignment="1">
      <alignment horizontal="center" vertical="center"/>
    </xf>
    <xf numFmtId="0" fontId="0" fillId="3" borderId="0" xfId="0" applyFill="1" applyAlignment="1">
      <alignment vertical="top"/>
    </xf>
    <xf numFmtId="0" fontId="0" fillId="3" borderId="0" xfId="0" applyFill="1"/>
    <xf numFmtId="164" fontId="49" fillId="3" borderId="0" xfId="0" applyNumberFormat="1" applyFont="1" applyFill="1" applyAlignment="1">
      <alignment horizontal="center" vertical="center"/>
    </xf>
    <xf numFmtId="0" fontId="13" fillId="5" borderId="0" xfId="1" applyBorder="1" applyAlignment="1">
      <alignment horizontal="left" vertical="center"/>
    </xf>
    <xf numFmtId="0" fontId="13" fillId="5" borderId="0" xfId="1" applyBorder="1" applyAlignment="1">
      <alignment horizontal="center" vertical="center" wrapText="1"/>
    </xf>
    <xf numFmtId="1" fontId="13" fillId="5" borderId="0" xfId="1" applyNumberFormat="1" applyBorder="1" applyAlignment="1">
      <alignment horizontal="center" vertical="center" wrapText="1"/>
    </xf>
    <xf numFmtId="0" fontId="13" fillId="5" borderId="0" xfId="1" applyBorder="1"/>
    <xf numFmtId="0" fontId="11" fillId="6" borderId="10" xfId="7" applyBorder="1" applyAlignment="1">
      <alignment horizontal="left" vertical="top" wrapText="1"/>
    </xf>
    <xf numFmtId="164" fontId="49" fillId="3" borderId="10" xfId="0" applyNumberFormat="1" applyFont="1" applyFill="1" applyBorder="1" applyAlignment="1">
      <alignment horizontal="center" vertical="center"/>
    </xf>
    <xf numFmtId="0" fontId="49" fillId="3" borderId="10" xfId="0" applyFont="1" applyFill="1" applyBorder="1"/>
    <xf numFmtId="0" fontId="49" fillId="3" borderId="10" xfId="0" applyFont="1" applyFill="1" applyBorder="1" applyAlignment="1">
      <alignment horizontal="center" vertical="center"/>
    </xf>
    <xf numFmtId="164" fontId="49" fillId="0" borderId="10" xfId="0" applyNumberFormat="1" applyFont="1" applyBorder="1" applyAlignment="1">
      <alignment horizontal="center" vertical="center"/>
    </xf>
    <xf numFmtId="0" fontId="49" fillId="3" borderId="10" xfId="0" applyFont="1" applyFill="1" applyBorder="1" applyAlignment="1">
      <alignment horizontal="center"/>
    </xf>
    <xf numFmtId="164" fontId="49" fillId="3" borderId="10" xfId="0" applyNumberFormat="1" applyFont="1" applyFill="1" applyBorder="1" applyAlignment="1">
      <alignment horizontal="center"/>
    </xf>
    <xf numFmtId="0" fontId="0" fillId="3" borderId="0" xfId="0" applyFill="1" applyAlignment="1">
      <alignment horizontal="center" vertical="top"/>
    </xf>
    <xf numFmtId="0" fontId="50" fillId="3" borderId="0" xfId="0" applyFont="1" applyFill="1"/>
    <xf numFmtId="0" fontId="13" fillId="5" borderId="11" xfId="1" applyBorder="1"/>
    <xf numFmtId="0" fontId="13" fillId="5" borderId="9" xfId="1" applyBorder="1"/>
    <xf numFmtId="0" fontId="13" fillId="5" borderId="12" xfId="1" applyBorder="1"/>
    <xf numFmtId="0" fontId="11" fillId="6" borderId="0" xfId="7" applyBorder="1"/>
    <xf numFmtId="0" fontId="13" fillId="5" borderId="13" xfId="1" applyBorder="1"/>
    <xf numFmtId="0" fontId="11" fillId="6" borderId="10" xfId="7" applyBorder="1"/>
    <xf numFmtId="0" fontId="0" fillId="0" borderId="10" xfId="0" applyBorder="1"/>
    <xf numFmtId="0" fontId="11" fillId="6" borderId="0" xfId="7" applyBorder="1" applyAlignment="1">
      <alignment horizontal="left" vertical="top" wrapText="1" indent="2"/>
    </xf>
    <xf numFmtId="0" fontId="11" fillId="6" borderId="0" xfId="7" applyBorder="1" applyAlignment="1">
      <alignment horizontal="center"/>
    </xf>
    <xf numFmtId="0" fontId="11" fillId="6" borderId="10" xfId="7" applyBorder="1" applyAlignment="1">
      <alignment horizontal="left" vertical="top" wrapText="1" indent="2"/>
    </xf>
    <xf numFmtId="0" fontId="11" fillId="6" borderId="10" xfId="7" applyBorder="1" applyAlignment="1">
      <alignment horizontal="center"/>
    </xf>
    <xf numFmtId="164" fontId="0" fillId="3" borderId="10" xfId="0" applyNumberFormat="1" applyFill="1" applyBorder="1" applyAlignment="1">
      <alignment horizontal="center" vertical="center"/>
    </xf>
    <xf numFmtId="0" fontId="13" fillId="5" borderId="9" xfId="1" applyBorder="1" applyAlignment="1">
      <alignment horizontal="right"/>
    </xf>
    <xf numFmtId="0" fontId="13" fillId="5" borderId="0" xfId="1" applyBorder="1" applyAlignment="1">
      <alignment horizontal="right"/>
    </xf>
    <xf numFmtId="164" fontId="13" fillId="5" borderId="0" xfId="1" applyNumberFormat="1" applyBorder="1" applyAlignment="1">
      <alignment horizontal="right"/>
    </xf>
    <xf numFmtId="164" fontId="13" fillId="5" borderId="0" xfId="1" applyNumberFormat="1" applyBorder="1"/>
    <xf numFmtId="164" fontId="11" fillId="6" borderId="0" xfId="7" applyNumberFormat="1"/>
    <xf numFmtId="0" fontId="11" fillId="6" borderId="0" xfId="7"/>
    <xf numFmtId="0" fontId="11" fillId="6" borderId="0" xfId="7" applyBorder="1" applyAlignment="1">
      <alignment horizontal="left" indent="2"/>
    </xf>
    <xf numFmtId="0" fontId="11" fillId="6" borderId="0" xfId="7" applyBorder="1" applyAlignment="1">
      <alignment horizontal="left" indent="4"/>
    </xf>
    <xf numFmtId="164" fontId="11" fillId="6" borderId="0" xfId="7" applyNumberFormat="1" applyBorder="1"/>
    <xf numFmtId="0" fontId="11" fillId="6" borderId="0" xfId="7" applyBorder="1" applyAlignment="1">
      <alignment horizontal="left" indent="1"/>
    </xf>
    <xf numFmtId="164" fontId="2" fillId="7" borderId="0" xfId="15" applyNumberFormat="1" applyBorder="1"/>
    <xf numFmtId="164" fontId="2" fillId="7" borderId="10" xfId="15" applyNumberFormat="1" applyBorder="1"/>
    <xf numFmtId="0" fontId="2" fillId="7" borderId="0" xfId="15" applyBorder="1"/>
    <xf numFmtId="0" fontId="2" fillId="7" borderId="0" xfId="15"/>
    <xf numFmtId="164" fontId="2" fillId="7" borderId="0" xfId="15" applyNumberFormat="1"/>
    <xf numFmtId="0" fontId="0" fillId="8" borderId="14" xfId="0" applyFill="1" applyBorder="1"/>
    <xf numFmtId="0" fontId="0" fillId="0" borderId="2" xfId="0" applyBorder="1" applyAlignment="1">
      <alignment horizontal="left"/>
    </xf>
    <xf numFmtId="0" fontId="39" fillId="0" borderId="0" xfId="8" applyAlignment="1">
      <alignment horizontal="left"/>
    </xf>
    <xf numFmtId="0" fontId="33" fillId="0" borderId="3" xfId="0" applyFont="1" applyBorder="1" applyAlignment="1">
      <alignment horizontal="center"/>
    </xf>
    <xf numFmtId="165" fontId="12" fillId="0" borderId="0" xfId="0" applyNumberFormat="1" applyFont="1" applyAlignment="1">
      <alignment wrapText="1"/>
    </xf>
    <xf numFmtId="165" fontId="12" fillId="0" borderId="0" xfId="0" applyNumberFormat="1" applyFont="1" applyAlignment="1">
      <alignment horizontal="right"/>
    </xf>
    <xf numFmtId="167" fontId="43" fillId="0" borderId="0" xfId="0" applyNumberFormat="1" applyFont="1" applyAlignment="1">
      <alignment horizontal="left"/>
    </xf>
    <xf numFmtId="3" fontId="0" fillId="9" borderId="0" xfId="0" applyNumberFormat="1" applyFill="1"/>
    <xf numFmtId="165" fontId="25" fillId="0" borderId="0" xfId="4" applyNumberFormat="1" applyFont="1" applyFill="1" applyBorder="1" applyAlignment="1">
      <alignment horizontal="left"/>
    </xf>
    <xf numFmtId="165" fontId="25" fillId="0" borderId="0" xfId="4" applyNumberFormat="1" applyFont="1" applyFill="1" applyBorder="1" applyAlignment="1" applyProtection="1">
      <alignment horizontal="left"/>
    </xf>
    <xf numFmtId="165" fontId="12" fillId="0" borderId="0" xfId="4" applyNumberFormat="1" applyFont="1" applyFill="1" applyBorder="1" applyAlignment="1">
      <alignment horizontal="left"/>
    </xf>
    <xf numFmtId="164" fontId="52" fillId="0" borderId="0" xfId="0" applyNumberFormat="1" applyFont="1"/>
    <xf numFmtId="165" fontId="52" fillId="0" borderId="0" xfId="0" applyNumberFormat="1" applyFont="1"/>
    <xf numFmtId="0" fontId="53" fillId="0" borderId="0" xfId="0" applyFont="1"/>
    <xf numFmtId="0" fontId="0" fillId="0" borderId="15" xfId="0" applyBorder="1"/>
  </cellXfs>
  <cellStyles count="19">
    <cellStyle name="20% - Accent1" xfId="7" builtinId="30" customBuiltin="1"/>
    <cellStyle name="20% - Accent3" xfId="15" builtinId="38"/>
    <cellStyle name="20% - Accent3 2" xfId="18" xr:uid="{E61EEE68-7558-43CC-A154-9FFDE52FDDA5}"/>
    <cellStyle name="Accent1" xfId="1" builtinId="29" customBuiltin="1"/>
    <cellStyle name="Accent5" xfId="3" builtinId="45"/>
    <cellStyle name="Comma" xfId="4" builtinId="3"/>
    <cellStyle name="Comma 2" xfId="17" xr:uid="{9FC5B58F-AAED-4640-84BE-5F1C3919C838}"/>
    <cellStyle name="Explanatory Text" xfId="13"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4" xr:uid="{B1C55207-B713-483F-A199-D6B53B263BF0}"/>
    <cellStyle name="Per cent" xfId="2" builtinId="5"/>
    <cellStyle name="Per cent 2" xfId="16" xr:uid="{356D689F-ADAB-465D-9BE5-4799A332BB79}"/>
    <cellStyle name="Title" xfId="10" builtinId="15" customBuiltin="1"/>
    <cellStyle name="Warning Text" xfId="12" builtinId="11" hidden="1"/>
  </cellStyles>
  <dxfs count="113">
    <dxf>
      <font>
        <color theme="0"/>
      </font>
    </dxf>
    <dxf>
      <font>
        <color theme="0"/>
      </font>
    </dxf>
    <dxf>
      <font>
        <color theme="0"/>
      </font>
    </dxf>
    <dxf>
      <border>
        <top style="thin">
          <color auto="1"/>
        </top>
        <bottom style="thin">
          <color auto="1"/>
        </bottom>
        <vertical/>
        <horizontal/>
      </border>
    </dxf>
    <dxf>
      <font>
        <color theme="0"/>
      </font>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7" tint="-0.24994659260841701"/>
      </font>
    </dxf>
    <dxf>
      <font>
        <color rgb="FF007635"/>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border>
        <bottom style="thin">
          <color auto="1"/>
        </bottom>
      </border>
    </dxf>
    <dxf>
      <fill>
        <patternFill>
          <bgColor theme="9" tint="0.79998168889431442"/>
        </patternFill>
      </fill>
      <border>
        <left style="thin">
          <color theme="6" tint="0.59996337778862885"/>
        </left>
        <right style="thin">
          <color theme="6" tint="0.59996337778862885"/>
        </right>
        <top style="thin">
          <color theme="6" tint="0.59996337778862885"/>
        </top>
        <bottom style="thin">
          <color auto="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border>
        <bottom style="thin">
          <color auto="1"/>
        </bottom>
        <vertical/>
        <horizontal/>
      </border>
    </dxf>
    <dxf>
      <border>
        <left/>
        <right/>
        <top/>
        <bottom style="thin">
          <color theme="1" tint="0.34998626667073579"/>
        </bottom>
        <vertical/>
        <horizontal/>
      </border>
    </dxf>
    <dxf>
      <font>
        <color theme="0"/>
      </font>
      <fill>
        <patternFill>
          <bgColor theme="8" tint="-0.499984740745262"/>
        </patternFill>
      </fill>
    </dxf>
    <dxf>
      <font>
        <color rgb="FFC00000"/>
      </font>
    </dxf>
    <dxf>
      <font>
        <color rgb="FF00B050"/>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7635"/>
      </font>
    </dxf>
    <dxf>
      <font>
        <strike val="0"/>
        <color rgb="FF007635"/>
      </font>
    </dxf>
    <dxf>
      <font>
        <strike val="0"/>
        <color rgb="FF007635"/>
      </font>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rgb="FF00B050"/>
      </font>
    </dxf>
    <dxf>
      <font>
        <color rgb="FFC00000"/>
      </font>
    </dxf>
    <dxf>
      <font>
        <color theme="0"/>
      </font>
      <fill>
        <patternFill>
          <bgColor theme="8" tint="-0.499984740745262"/>
        </patternFill>
      </fill>
    </dxf>
    <dxf>
      <font>
        <color rgb="FF007635"/>
      </font>
    </dxf>
    <dxf>
      <font>
        <color rgb="FFC00000"/>
      </font>
    </dxf>
    <dxf>
      <border>
        <bottom style="thin">
          <color auto="1"/>
        </bottom>
        <vertical/>
        <horizontal/>
      </border>
    </dxf>
    <dxf>
      <border>
        <top style="thin">
          <color auto="1"/>
        </top>
        <bottom/>
        <vertical/>
        <horizontal/>
      </border>
    </dxf>
    <dxf>
      <border>
        <bottom style="thin">
          <color auto="1"/>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strike val="0"/>
        <color theme="2" tint="-0.499984740745262"/>
      </font>
    </dxf>
    <dxf>
      <font>
        <strike val="0"/>
        <color theme="2" tint="-0.499984740745262"/>
      </font>
    </dxf>
    <dxf>
      <font>
        <strike val="0"/>
        <color theme="2" tint="-0.499984740745262"/>
      </font>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s>
  <tableStyles count="0" defaultTableStyle="TableStyleMedium2" defaultPivotStyle="PivotStyleLight16"/>
  <colors>
    <mruColors>
      <color rgb="FF007635"/>
      <color rgb="FF0033CC"/>
      <color rgb="FFFFCCCC"/>
      <color rgb="FF008000"/>
      <color rgb="FFD4EFC9"/>
      <color rgb="FFFF9999"/>
      <color rgb="FF339966"/>
      <color rgb="FFDDFFEC"/>
      <color rgb="FF548235"/>
      <color rgb="FF8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P3b: Performance of general government debt compared to the endorsed plan</c:v>
            </c:pt>
          </c:strCache>
        </c:strRef>
      </c:tx>
      <c:layout>
        <c:manualLayout>
          <c:xMode val="edge"/>
          <c:yMode val="edge"/>
          <c:x val="0.12927974099292328"/>
          <c:y val="6.8534740159422131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0"/>
          <c:order val="0"/>
          <c:tx>
            <c:strRef>
              <c:f>'Chart data'!$C$29</c:f>
              <c:strCache>
                <c:ptCount val="1"/>
                <c:pt idx="0">
                  <c:v>Council-endorsed path (% of GDP)</c:v>
                </c:pt>
              </c:strCache>
            </c:strRef>
          </c:tx>
          <c:spPr>
            <a:solidFill>
              <a:schemeClr val="accent5">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153.69999999999999</c:v>
                </c:pt>
                <c:pt idx="1">
                  <c:v>149.1</c:v>
                </c:pt>
                <c:pt idx="2">
                  <c:v>143.1</c:v>
                </c:pt>
                <c:pt idx="3">
                  <c:v>138</c:v>
                </c:pt>
                <c:pt idx="4">
                  <c:v>133.4</c:v>
                </c:pt>
              </c:numCache>
            </c:numRef>
          </c:val>
          <c:extLst>
            <c:ext xmlns:c16="http://schemas.microsoft.com/office/drawing/2014/chart" uri="{C3380CC4-5D6E-409C-BE32-E72D297353CC}">
              <c16:uniqueId val="{00000004-6FAA-43F6-8712-278F319E83B4}"/>
            </c:ext>
          </c:extLst>
        </c:ser>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overlap val="6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146.13231049104562</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154.16497702081645</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solidFill>
              <a:schemeClr val="bg1">
                <a:lumMod val="75000"/>
                <a:alpha val="7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#N/A</c:v>
                </c:pt>
                <c:pt idx="2">
                  <c:v>136.80000000000001</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4"/>
        <c:overlap val="100"/>
        <c:axId val="494849055"/>
        <c:axId val="494850495"/>
      </c:barChart>
      <c:lineChart>
        <c:grouping val="standard"/>
        <c:varyColors val="0"/>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154.16497702081645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154.16497702081645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47334821202208693"/>
          <c:y val="0.14896081093311611"/>
          <c:w val="0.48742599799907288"/>
          <c:h val="0.1701239931215494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c:f>
          <c:strCache>
            <c:ptCount val="1"/>
            <c:pt idx="0">
              <c:v>P2: Control account deviations and balance</c:v>
            </c:pt>
          </c:strCache>
        </c:strRef>
      </c:tx>
      <c:layout>
        <c:manualLayout>
          <c:xMode val="edge"/>
          <c:yMode val="edge"/>
          <c:x val="0.17224946172508579"/>
          <c:y val="8.6324077911313721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4214048901782018"/>
          <c:w val="0.85331519737394768"/>
          <c:h val="0.48298314684348664"/>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Pt>
            <c:idx val="1"/>
            <c:invertIfNegative val="0"/>
            <c:bubble3D val="0"/>
            <c:spPr>
              <a:solidFill>
                <a:schemeClr val="accent5">
                  <a:lumMod val="50000"/>
                  <a:alpha val="75000"/>
                </a:schemeClr>
              </a:solidFill>
              <a:ln>
                <a:solidFill>
                  <a:schemeClr val="bg1"/>
                </a:solidFill>
              </a:ln>
              <a:effectLst/>
            </c:spPr>
            <c:extLst>
              <c:ext xmlns:c16="http://schemas.microsoft.com/office/drawing/2014/chart" uri="{C3380CC4-5D6E-409C-BE32-E72D297353CC}">
                <c16:uniqueId val="{00000002-52A0-4D5F-8AE2-5B8389769567}"/>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-1.1479597695323041</c:v>
                </c:pt>
                <c:pt idx="1">
                  <c:v>-1.615888621751957</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#N/A</c:v>
                </c:pt>
                <c:pt idx="1">
                  <c:v>#N/A</c:v>
                </c:pt>
                <c:pt idx="2">
                  <c:v>-0.14432286519806431</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3"/>
                <c:pt idx="0">
                  <c:v>#N/A</c:v>
                </c:pt>
                <c:pt idx="1">
                  <c:v>-0.34349177805685849</c:v>
                </c:pt>
                <c:pt idx="2">
                  <c:v>1.1918144900881076</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alpha val="75000"/>
              </a:srgbClr>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-1.1142479555285194</c:v>
                </c:pt>
                <c:pt idx="1">
                  <c:v>#N/A</c:v>
                </c:pt>
                <c:pt idx="2">
                  <c:v>#N/A</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-1.615888621751957</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1.1918144900881076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-1.615888621751957</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1.1918144900881076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0.5"/>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0.5"/>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39401103230890466"/>
          <c:y val="9.3239397706865595E-2"/>
          <c:w val="0.59022852639873913"/>
          <c:h val="0.2316725376433209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P4: Deficit resilience safeguard respected </c:v>
            </c:pt>
          </c:strCache>
        </c:strRef>
      </c:tx>
      <c:layout>
        <c:manualLayout>
          <c:xMode val="edge"/>
          <c:yMode val="edge"/>
          <c:x val="0.19968458280325471"/>
          <c:y val="4.1051102157445519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8112712326"/>
          <c:w val="0.86379423674188027"/>
          <c:h val="0.64061209329965829"/>
        </c:manualLayout>
      </c:layout>
      <c:barChart>
        <c:barDir val="col"/>
        <c:grouping val="clustered"/>
        <c:varyColors val="0"/>
        <c:ser>
          <c:idx val="0"/>
          <c:order val="0"/>
          <c:tx>
            <c:strRef>
              <c:f>'Chart data'!$C$79</c:f>
              <c:strCache>
                <c:ptCount val="1"/>
                <c:pt idx="0">
                  <c:v>General government balance (% of GDP)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-1</c:v>
                </c:pt>
                <c:pt idx="1">
                  <c:v>-0.6</c:v>
                </c:pt>
                <c:pt idx="2">
                  <c:v>-0.8</c:v>
                </c:pt>
                <c:pt idx="3">
                  <c:v>-1.1000000000000001</c:v>
                </c:pt>
                <c:pt idx="4">
                  <c:v>-1.2</c:v>
                </c:pt>
              </c:numCache>
            </c:numRef>
          </c:val>
          <c:extLst>
            <c:ext xmlns:c16="http://schemas.microsoft.com/office/drawing/2014/chart" uri="{C3380CC4-5D6E-409C-BE32-E72D297353CC}">
              <c16:uniqueId val="{00000003-379D-4B76-BB17-AAA97E18E3C3}"/>
            </c:ext>
          </c:extLst>
        </c:ser>
        <c:ser>
          <c:idx val="3"/>
          <c:order val="2"/>
          <c:tx>
            <c:strRef>
              <c:f>'Chart data'!$C$81</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1.3470701540957015</c:v>
                </c:pt>
                <c:pt idx="1">
                  <c:v>1.7273751105781794</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#N/A</c:v>
                </c:pt>
                <c:pt idx="2">
                  <c:v>0.2</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20"/>
        <c:overlap val="88"/>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egendEntry>
        <c:idx val="0"/>
        <c:delete val="1"/>
      </c:legendEntry>
      <c:legendEntry>
        <c:idx val="4"/>
        <c:delete val="1"/>
      </c:legendEntry>
      <c:layout>
        <c:manualLayout>
          <c:xMode val="edge"/>
          <c:yMode val="edge"/>
          <c:x val="0.62907077261690458"/>
          <c:y val="0.17070843737238839"/>
          <c:w val="0.28510208488676497"/>
          <c:h val="0.1441015957573947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P5b: 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0"/>
          <c:order val="0"/>
          <c:tx>
            <c:strRef>
              <c:f>'Chart data'!$C$70</c:f>
              <c:strCache>
                <c:ptCount val="1"/>
                <c:pt idx="0">
                  <c:v>Endorsed linear annual change in SPB </c:v>
                </c:pt>
              </c:strCache>
            </c:strRef>
          </c:tx>
          <c:spPr>
            <a:solidFill>
              <a:schemeClr val="accent5">
                <a:lumMod val="40000"/>
                <a:lumOff val="60000"/>
              </a:schemeClr>
            </a:solidFill>
            <a:ln>
              <a:noFill/>
              <a:prstDash val="sysDash"/>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0.10000000000000009</c:v>
                </c:pt>
                <c:pt idx="2">
                  <c:v>0.10000000000000009</c:v>
                </c:pt>
                <c:pt idx="3">
                  <c:v>0.10000000000000009</c:v>
                </c:pt>
                <c:pt idx="4">
                  <c:v>9.9999999999999645E-2</c:v>
                </c:pt>
              </c:numCache>
            </c:numRef>
          </c:val>
          <c:extLst>
            <c:ext xmlns:c16="http://schemas.microsoft.com/office/drawing/2014/chart" uri="{C3380CC4-5D6E-409C-BE32-E72D297353CC}">
              <c16:uniqueId val="{00000005-F8E0-4AA4-9D9C-157F12853097}"/>
            </c:ext>
          </c:extLst>
        </c:ser>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9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2.2746199999999996</c:v>
                </c:pt>
                <c:pt idx="1">
                  <c:v>-0.1768799999999997</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#N/A</c:v>
                </c:pt>
                <c:pt idx="2">
                  <c:v>-1.8435300000000001</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1"/>
        <c:overlap val="47"/>
        <c:axId val="1227260992"/>
        <c:axId val="1227264352"/>
      </c:barChart>
      <c:lineChart>
        <c:grouping val="standard"/>
        <c:varyColors val="0"/>
        <c:ser>
          <c:idx val="5"/>
          <c:order val="5"/>
          <c:tx>
            <c:v>LeftAxisMin</c:v>
          </c:tx>
          <c:spPr>
            <a:ln w="28575" cap="rnd">
              <a:solidFill>
                <a:schemeClr val="accent6"/>
              </a:solidFill>
              <a:round/>
            </a:ln>
            <a:effectLst/>
          </c:spPr>
          <c:marker>
            <c:symbol val="none"/>
          </c:marker>
          <c:val>
            <c:numRef>
              <c:f>'Chart data'!$D$75</c:f>
              <c:numCache>
                <c:formatCode>0.0</c:formatCode>
                <c:ptCount val="1"/>
                <c:pt idx="0">
                  <c:v>-1.8435300000000001</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2.2746199999999996</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-1.8435300000000001</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2.2746199999999996</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41289223342325715"/>
          <c:y val="0.23805284789562073"/>
          <c:w val="0.47245849540914997"/>
          <c:h val="0.145304913808850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P3a: Change in general government gross debt compared to endorsed plan and safeguard</c:v>
            </c:pt>
          </c:strCache>
        </c:strRef>
      </c:tx>
      <c:layout>
        <c:manualLayout>
          <c:xMode val="edge"/>
          <c:yMode val="edge"/>
          <c:x val="0.11130832451794592"/>
          <c:y val="4.3713641744199628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4417826630770364"/>
          <c:w val="0.87858630691591355"/>
          <c:h val="0.47866976250479282"/>
        </c:manualLayout>
      </c:layout>
      <c:barChart>
        <c:barDir val="col"/>
        <c:grouping val="clustered"/>
        <c:varyColors val="0"/>
        <c:ser>
          <c:idx val="0"/>
          <c:order val="0"/>
          <c:tx>
            <c:strRef>
              <c:f>'Chart data'!$C$59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-8.2000000000000171</c:v>
                </c:pt>
                <c:pt idx="1">
                  <c:v>-4.5999999999999943</c:v>
                </c:pt>
                <c:pt idx="2">
                  <c:v>-6</c:v>
                </c:pt>
                <c:pt idx="3">
                  <c:v>-5.0999999999999943</c:v>
                </c:pt>
                <c:pt idx="4">
                  <c:v>-4.5999999999999943</c:v>
                </c:pt>
              </c:numCache>
            </c:numRef>
          </c:val>
          <c:extLst>
            <c:ext xmlns:c16="http://schemas.microsoft.com/office/drawing/2014/chart" uri="{C3380CC4-5D6E-409C-BE32-E72D297353CC}">
              <c16:uniqueId val="{00000005-45DD-4978-98CC-F65C5B7D9263}"/>
            </c:ext>
          </c:extLst>
        </c:ser>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0"/>
        <c:overlap val="6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-1.7513179237631793</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#N/A</c:v>
                </c:pt>
                <c:pt idx="1">
                  <c:v>-0.82100649195079434</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solidFill>
              <a:schemeClr val="bg1">
                <a:lumMod val="75000"/>
                <a:alpha val="70000"/>
              </a:schemeClr>
            </a:solidFill>
            <a:ln>
              <a:solidFill>
                <a:schemeClr val="tx1">
                  <a:lumMod val="15000"/>
                  <a:lumOff val="85000"/>
                  <a:alpha val="7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#N/A</c:v>
                </c:pt>
                <c:pt idx="2">
                  <c:v>-9.3000000000000007</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100"/>
        <c:overlap val="100"/>
        <c:axId val="968280543"/>
        <c:axId val="968283423"/>
      </c:barChart>
      <c:lineChart>
        <c:grouping val="standard"/>
        <c:varyColors val="0"/>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-1</c:v>
                </c:pt>
                <c:pt idx="1">
                  <c:v>-1</c:v>
                </c:pt>
                <c:pt idx="2">
                  <c:v>-1</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-9.3000000000000007</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-0.82100649195079434</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-9.3000000000000007</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-0.82100649195079434</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7109981024116772E-2"/>
          <c:y val="0.16683154930589991"/>
          <c:w val="0.89983472283203059"/>
          <c:h val="0.1854582498368192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P5a: Structural primary balance progress and timing </c:v>
            </c:pt>
          </c:strCache>
        </c:strRef>
      </c:tx>
      <c:layout>
        <c:manualLayout>
          <c:xMode val="edge"/>
          <c:yMode val="edge"/>
          <c:x val="0.14590824194795557"/>
          <c:y val="8.4975741668655066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5.6842954510925657E-2"/>
          <c:y val="0.21701029147672329"/>
          <c:w val="0.88389129483814521"/>
          <c:h val="0.70312439563475626"/>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1.9</c:v>
                </c:pt>
                <c:pt idx="1">
                  <c:v>2</c:v>
                </c:pt>
                <c:pt idx="2">
                  <c:v>2.1</c:v>
                </c:pt>
                <c:pt idx="3">
                  <c:v>2.2000000000000002</c:v>
                </c:pt>
                <c:pt idx="4">
                  <c:v>2.2999999999999998</c:v>
                </c:pt>
              </c:numCache>
            </c:numRef>
          </c:val>
          <c:extLst>
            <c:ext xmlns:c16="http://schemas.microsoft.com/office/drawing/2014/chart" uri="{C3380CC4-5D6E-409C-BE32-E72D297353CC}">
              <c16:uniqueId val="{00000000-F021-4FF8-9069-EA28DC5B52FD}"/>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021-4FF8-9069-EA28DC5B52F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F021-4FF8-9069-EA28DC5B52F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3.8204099999999999</c:v>
                </c:pt>
                <c:pt idx="1">
                  <c:v>3.6435300000000002</c:v>
                </c:pt>
                <c:pt idx="2">
                  <c:v>#N/A</c:v>
                </c:pt>
                <c:pt idx="3">
                  <c:v>#N/A</c:v>
                </c:pt>
                <c:pt idx="4">
                  <c:v>#N/A</c:v>
                </c:pt>
              </c:numCache>
            </c:numRef>
          </c:val>
          <c:extLst>
            <c:ext xmlns:c16="http://schemas.microsoft.com/office/drawing/2014/chart" uri="{C3380CC4-5D6E-409C-BE32-E72D297353CC}">
              <c16:uniqueId val="{00000003-F021-4FF8-9069-EA28DC5B52FD}"/>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4-F021-4FF8-9069-EA28DC5B52FD}"/>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#N/A</c:v>
                </c:pt>
                <c:pt idx="2">
                  <c:v>1.8</c:v>
                </c:pt>
                <c:pt idx="3">
                  <c:v>#N/A</c:v>
                </c:pt>
                <c:pt idx="4">
                  <c:v>#N/A</c:v>
                </c:pt>
              </c:numCache>
            </c:numRef>
          </c:val>
          <c:extLst>
            <c:ext xmlns:c16="http://schemas.microsoft.com/office/drawing/2014/chart" uri="{C3380CC4-5D6E-409C-BE32-E72D297353CC}">
              <c16:uniqueId val="{00000005-F021-4FF8-9069-EA28DC5B52FD}"/>
            </c:ext>
          </c:extLst>
        </c:ser>
        <c:dLbls>
          <c:showLegendKey val="0"/>
          <c:showVal val="0"/>
          <c:showCatName val="0"/>
          <c:showSerName val="0"/>
          <c:showPercent val="0"/>
          <c:showBubbleSize val="0"/>
        </c:dLbls>
        <c:gapWidth val="128"/>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6-F021-4FF8-9069-EA28DC5B52FD}"/>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3.8204099999999999</c:v>
                </c:pt>
              </c:numCache>
            </c:numRef>
          </c:val>
          <c:smooth val="0"/>
          <c:extLst>
            <c:ext xmlns:c16="http://schemas.microsoft.com/office/drawing/2014/chart" uri="{C3380CC4-5D6E-409C-BE32-E72D297353CC}">
              <c16:uniqueId val="{00000007-F021-4FF8-9069-EA28DC5B52F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8-F021-4FF8-9069-EA28DC5B52FD}"/>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3.8204099999999999</c:v>
                </c:pt>
              </c:numCache>
            </c:numRef>
          </c:val>
          <c:smooth val="0"/>
          <c:extLst>
            <c:ext xmlns:c16="http://schemas.microsoft.com/office/drawing/2014/chart" uri="{C3380CC4-5D6E-409C-BE32-E72D297353CC}">
              <c16:uniqueId val="{00000009-F021-4FF8-9069-EA28DC5B52F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64008109764722521"/>
          <c:y val="0.10842830501450476"/>
          <c:w val="0.31982690786406193"/>
          <c:h val="0.186783050145047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P1: Compliance with agreed net expenditure path (single operational anchor)</c:v>
            </c:pt>
          </c:strCache>
        </c:strRef>
      </c:tx>
      <c:layout>
        <c:manualLayout>
          <c:xMode val="edge"/>
          <c:yMode val="edge"/>
          <c:x val="9.7555051381289212E-2"/>
          <c:y val="1.7191866582879693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2338388569595999"/>
          <c:w val="0.88389129483814521"/>
          <c:h val="0.58444236271109196"/>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62C-4E3C-B520-B45D23A5C4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2.6</c:v>
                </c:pt>
                <c:pt idx="1">
                  <c:v>3.6999999999999997</c:v>
                </c:pt>
                <c:pt idx="2">
                  <c:v>3.6000000000000005</c:v>
                </c:pt>
                <c:pt idx="3">
                  <c:v>3.1</c:v>
                </c:pt>
                <c:pt idx="4">
                  <c:v>3</c:v>
                </c:pt>
              </c:numCache>
            </c:numRef>
          </c:val>
          <c:extLst>
            <c:ext xmlns:c16="http://schemas.microsoft.com/office/drawing/2014/chart" uri="{C3380CC4-5D6E-409C-BE32-E72D297353CC}">
              <c16:uniqueId val="{00000001-162C-4E3C-B520-B45D23A5C43C}"/>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162C-4E3C-B520-B45D23A5C43C}"/>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162C-4E3C-B520-B45D23A5C43C}"/>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alpha val="70000"/>
              </a:schemeClr>
            </a:solidFill>
            <a:ln>
              <a:noFill/>
            </a:ln>
            <a:effectLst/>
          </c:spPr>
          <c:invertIfNegative val="0"/>
          <c:dPt>
            <c:idx val="1"/>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5-162C-4E3C-B520-B45D23A5C43C}"/>
              </c:ext>
            </c:extLst>
          </c:dPt>
          <c:dPt>
            <c:idx val="2"/>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7-162C-4E3C-B520-B45D23A5C43C}"/>
              </c:ext>
            </c:extLst>
          </c:dPt>
          <c:dPt>
            <c:idx val="3"/>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9-162C-4E3C-B520-B45D23A5C43C}"/>
              </c:ext>
            </c:extLst>
          </c:dPt>
          <c:dPt>
            <c:idx val="4"/>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B-162C-4E3C-B520-B45D23A5C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#N/A</c:v>
                </c:pt>
                <c:pt idx="2">
                  <c:v>7.5</c:v>
                </c:pt>
                <c:pt idx="3">
                  <c:v>#N/A</c:v>
                </c:pt>
                <c:pt idx="4">
                  <c:v>#N/A</c:v>
                </c:pt>
              </c:numCache>
            </c:numRef>
          </c:val>
          <c:extLst>
            <c:ext xmlns:c16="http://schemas.microsoft.com/office/drawing/2014/chart" uri="{C3380CC4-5D6E-409C-BE32-E72D297353CC}">
              <c16:uniqueId val="{0000000C-162C-4E3C-B520-B45D23A5C43C}"/>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-0.12946679588512477</c:v>
                </c:pt>
                <c:pt idx="1">
                  <c:v>2.8340876161799811</c:v>
                </c:pt>
                <c:pt idx="2">
                  <c:v>#N/A</c:v>
                </c:pt>
                <c:pt idx="3">
                  <c:v>#N/A</c:v>
                </c:pt>
                <c:pt idx="4">
                  <c:v>#N/A</c:v>
                </c:pt>
              </c:numCache>
            </c:numRef>
          </c:val>
          <c:extLst>
            <c:ext xmlns:c16="http://schemas.microsoft.com/office/drawing/2014/chart" uri="{C3380CC4-5D6E-409C-BE32-E72D297353CC}">
              <c16:uniqueId val="{0000000E-162C-4E3C-B520-B45D23A5C43C}"/>
            </c:ext>
          </c:extLst>
        </c:ser>
        <c:ser>
          <c:idx val="5"/>
          <c:order val="5"/>
          <c:tx>
            <c:v>Observed (Breach)</c:v>
          </c:tx>
          <c:spPr>
            <a:solidFill>
              <a:srgbClr val="C0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162C-4E3C-B520-B45D23A5C43C}"/>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-0.12946679588512477</c:v>
                </c:pt>
              </c:numCache>
            </c:numRef>
          </c:val>
          <c:smooth val="0"/>
          <c:extLst>
            <c:ext xmlns:c16="http://schemas.microsoft.com/office/drawing/2014/chart" uri="{C3380CC4-5D6E-409C-BE32-E72D297353CC}">
              <c16:uniqueId val="{00000010-162C-4E3C-B520-B45D23A5C43C}"/>
            </c:ext>
          </c:extLst>
        </c:ser>
        <c:ser>
          <c:idx val="7"/>
          <c:order val="7"/>
          <c:tx>
            <c:v>LeftAxisMax</c:v>
          </c:tx>
          <c:spPr>
            <a:ln w="25400" cap="rnd">
              <a:noFill/>
              <a:round/>
            </a:ln>
            <a:effectLst/>
          </c:spPr>
          <c:marker>
            <c:symbol val="none"/>
          </c:marker>
          <c:val>
            <c:numRef>
              <c:f>'Chart data'!$D$12</c:f>
              <c:numCache>
                <c:formatCode>General</c:formatCode>
                <c:ptCount val="1"/>
                <c:pt idx="0">
                  <c:v>7.5</c:v>
                </c:pt>
              </c:numCache>
            </c:numRef>
          </c:val>
          <c:smooth val="0"/>
          <c:extLst>
            <c:ext xmlns:c16="http://schemas.microsoft.com/office/drawing/2014/chart" uri="{C3380CC4-5D6E-409C-BE32-E72D297353CC}">
              <c16:uniqueId val="{00000011-162C-4E3C-B520-B45D23A5C43C}"/>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-0.12946679588512477</c:v>
                </c:pt>
              </c:numCache>
            </c:numRef>
          </c:val>
          <c:smooth val="0"/>
          <c:extLst>
            <c:ext xmlns:c16="http://schemas.microsoft.com/office/drawing/2014/chart" uri="{C3380CC4-5D6E-409C-BE32-E72D297353CC}">
              <c16:uniqueId val="{00000012-162C-4E3C-B520-B45D23A5C43C}"/>
            </c:ext>
          </c:extLst>
        </c:ser>
        <c:ser>
          <c:idx val="9"/>
          <c:order val="9"/>
          <c:tx>
            <c:v>RightAxisMax</c:v>
          </c:tx>
          <c:spPr>
            <a:ln w="25400" cap="rnd">
              <a:noFill/>
              <a:round/>
            </a:ln>
            <a:effectLst/>
          </c:spPr>
          <c:marker>
            <c:symbol val="none"/>
          </c:marker>
          <c:val>
            <c:numRef>
              <c:f>'Chart data'!$D$12</c:f>
              <c:numCache>
                <c:formatCode>General</c:formatCode>
                <c:ptCount val="1"/>
                <c:pt idx="0">
                  <c:v>7.5</c:v>
                </c:pt>
              </c:numCache>
            </c:numRef>
          </c:val>
          <c:smooth val="0"/>
          <c:extLst>
            <c:ext xmlns:c16="http://schemas.microsoft.com/office/drawing/2014/chart" uri="{C3380CC4-5D6E-409C-BE32-E72D297353CC}">
              <c16:uniqueId val="{00000013-162C-4E3C-B520-B45D23A5C43C}"/>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21657366599666844"/>
          <c:y val="0.176931243723152"/>
          <c:w val="0.62992125984251968"/>
          <c:h val="0.12190765043258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238124</xdr:rowOff>
    </xdr:from>
    <xdr:to>
      <xdr:col>18</xdr:col>
      <xdr:colOff>419100</xdr:colOff>
      <xdr:row>31</xdr:row>
      <xdr:rowOff>85725</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9058274" y="238124"/>
          <a:ext cx="5457826" cy="5534026"/>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set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that base year from which the maximum increases in defence expenditures have been granted, and the base year amound ot defence expenditure as a % of GDP (as this</a:t>
          </a:r>
          <a:r>
            <a:rPr lang="en-GB" baseline="0">
              <a:latin typeface="Aptos" panose="020B0004020202020204" pitchFamily="34" charset="0"/>
            </a:rPr>
            <a:t> can be outside the assessment window for some countries)</a:t>
          </a:r>
          <a:r>
            <a:rPr lang="en-GB">
              <a:latin typeface="Aptos" panose="020B0004020202020204" pitchFamily="34" charset="0"/>
            </a:rPr>
            <a:t>.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133350</xdr:colOff>
      <xdr:row>11</xdr:row>
      <xdr:rowOff>142873</xdr:rowOff>
    </xdr:from>
    <xdr:to>
      <xdr:col>26</xdr:col>
      <xdr:colOff>28575</xdr:colOff>
      <xdr:row>53</xdr:row>
      <xdr:rowOff>28575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049125" y="2333623"/>
          <a:ext cx="5895975" cy="769620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The AMECO componenets of net expendidture typically do not align with Annual</a:t>
          </a:r>
          <a:r>
            <a:rPr lang="en-GB" sz="1100" baseline="0">
              <a:solidFill>
                <a:schemeClr val="dk1"/>
              </a:solidFill>
              <a:effectLst/>
              <a:latin typeface="+mn-lt"/>
              <a:ea typeface="+mn-ea"/>
              <a:cs typeface="+mn-cs"/>
            </a:rPr>
            <a:t> Progress Reports and Draft Budgetary Plans, owing to both minor rounding discrepencies and more major differences of analysis on areas such as cycle unemployment expenditure and discretionary revenue measures, even if published at similar times. If you wish to overwrite AMECO variables do so in the table beginning in R3, setting the flag of such variables to "TRUE".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908676" y="2339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908676" y="3004147"/>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908676" y="3452382"/>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19</xdr:row>
      <xdr:rowOff>95249</xdr:rowOff>
    </xdr:from>
    <xdr:to>
      <xdr:col>19</xdr:col>
      <xdr:colOff>409575</xdr:colOff>
      <xdr:row>49</xdr:row>
      <xdr:rowOff>123825</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3676649"/>
          <a:ext cx="6696076" cy="52959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a:t>
          </a:r>
          <a:r>
            <a:rPr lang="en-GB" sz="1100">
              <a:latin typeface="Aptos" panose="020B0004020202020204" pitchFamily="34" charset="0"/>
            </a:rPr>
            <a:t>enter the document you want to assess against the MTP. This may be 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428625</xdr:colOff>
      <xdr:row>34</xdr:row>
      <xdr:rowOff>0</xdr:rowOff>
    </xdr:from>
    <xdr:to>
      <xdr:col>21</xdr:col>
      <xdr:colOff>647700</xdr:colOff>
      <xdr:row>47</xdr:row>
      <xdr:rowOff>190500</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333375</xdr:colOff>
      <xdr:row>17</xdr:row>
      <xdr:rowOff>0</xdr:rowOff>
    </xdr:from>
    <xdr:to>
      <xdr:col>22</xdr:col>
      <xdr:colOff>0</xdr:colOff>
      <xdr:row>32</xdr:row>
      <xdr:rowOff>0</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552450</xdr:colOff>
      <xdr:row>50</xdr:row>
      <xdr:rowOff>0</xdr:rowOff>
    </xdr:from>
    <xdr:to>
      <xdr:col>15</xdr:col>
      <xdr:colOff>0</xdr:colOff>
      <xdr:row>65</xdr:row>
      <xdr:rowOff>0</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552450</xdr:colOff>
      <xdr:row>67</xdr:row>
      <xdr:rowOff>9525</xdr:rowOff>
    </xdr:from>
    <xdr:to>
      <xdr:col>15</xdr:col>
      <xdr:colOff>0</xdr:colOff>
      <xdr:row>82</xdr:row>
      <xdr:rowOff>0</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33</xdr:row>
      <xdr:rowOff>123545</xdr:rowOff>
    </xdr:from>
    <xdr:to>
      <xdr:col>14</xdr:col>
      <xdr:colOff>522197</xdr:colOff>
      <xdr:row>47</xdr:row>
      <xdr:rowOff>0</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228600</xdr:colOff>
      <xdr:row>50</xdr:row>
      <xdr:rowOff>0</xdr:rowOff>
    </xdr:from>
    <xdr:to>
      <xdr:col>22</xdr:col>
      <xdr:colOff>0</xdr:colOff>
      <xdr:row>65</xdr:row>
      <xdr:rowOff>0</xdr:rowOff>
    </xdr:to>
    <xdr:graphicFrame macro="">
      <xdr:nvGraphicFramePr>
        <xdr:cNvPr id="24" name="Chart 23">
          <a:extLst>
            <a:ext uri="{FF2B5EF4-FFF2-40B4-BE49-F238E27FC236}">
              <a16:creationId xmlns:a16="http://schemas.microsoft.com/office/drawing/2014/main" id="{B8DECA7E-8561-4926-8C0A-C414E67AD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16</xdr:row>
      <xdr:rowOff>228600</xdr:rowOff>
    </xdr:from>
    <xdr:to>
      <xdr:col>14</xdr:col>
      <xdr:colOff>514350</xdr:colOff>
      <xdr:row>32</xdr:row>
      <xdr:rowOff>0</xdr:rowOff>
    </xdr:to>
    <xdr:graphicFrame macro="">
      <xdr:nvGraphicFramePr>
        <xdr:cNvPr id="25" name="Chart 24">
          <a:extLst>
            <a:ext uri="{FF2B5EF4-FFF2-40B4-BE49-F238E27FC236}">
              <a16:creationId xmlns:a16="http://schemas.microsoft.com/office/drawing/2014/main" id="{30B76DA6-7736-4763-B8F1-D6961BABA1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0.61001</cdr:x>
      <cdr:y>0.66452</cdr:y>
    </cdr:from>
    <cdr:to>
      <cdr:x>0.99755</cdr:x>
      <cdr:y>0.76846</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370004" y="1835567"/>
          <a:ext cx="1505670" cy="28710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050" b="0" i="0" u="none" strike="noStrike" kern="1200">
              <a:solidFill>
                <a:srgbClr val="C00000"/>
              </a:solidFill>
              <a:latin typeface="Aptos Narrow"/>
            </a:rPr>
            <a:pPr/>
            <a:t>60% reference value</a:t>
          </a:fld>
          <a:endParaRPr lang="en-GB" sz="1200" kern="1200">
            <a:solidFill>
              <a:srgbClr val="C0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0.59001</cdr:x>
      <cdr:y>0.44672</cdr:y>
    </cdr:from>
    <cdr:to>
      <cdr:x>0.85158</cdr:x>
      <cdr:y>0.52679</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2377213" y="1293536"/>
          <a:ext cx="1053884" cy="23184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0.56426</cdr:x>
      <cdr:y>0.39368</cdr:y>
    </cdr:from>
    <cdr:to>
      <cdr:x>0.89206</cdr:x>
      <cdr:y>0.47429</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2633561" y="1139940"/>
          <a:ext cx="1529904" cy="233414"/>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0.00946</cdr:x>
      <cdr:y>0.92105</cdr:y>
    </cdr:from>
    <cdr:to>
      <cdr:x>0.92435</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38100" y="2666999"/>
          <a:ext cx="3686175" cy="22860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l"/>
          <a:r>
            <a:rPr lang="en-GB" sz="1000" kern="1200">
              <a:solidFill>
                <a:schemeClr val="bg1">
                  <a:lumMod val="75000"/>
                </a:schemeClr>
              </a:solidFill>
            </a:rPr>
            <a:t>Note: Negative</a:t>
          </a:r>
          <a:r>
            <a:rPr lang="en-GB" sz="1000" kern="1200" baseline="0">
              <a:solidFill>
                <a:schemeClr val="bg1">
                  <a:lumMod val="75000"/>
                </a:schemeClr>
              </a:solidFill>
            </a:rPr>
            <a:t> amounts indicate outperformance</a:t>
          </a:r>
          <a:endParaRPr lang="en-GB" sz="1100" kern="1200">
            <a:solidFill>
              <a:schemeClr val="bg1">
                <a:lumMod val="75000"/>
              </a:schemeClr>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0.62416</cdr:x>
      <cdr:y>0.80724</cdr:y>
    </cdr:from>
    <cdr:to>
      <cdr:x>1</cdr:x>
      <cdr:y>0.88508</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800454" y="2497371"/>
          <a:ext cx="1686302" cy="24081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0.65487</cdr:x>
      <cdr:y>0.11072</cdr:y>
    </cdr:from>
    <cdr:to>
      <cdr:x>0.86032</cdr:x>
      <cdr:y>0.15594</cdr:y>
    </cdr:to>
    <cdr:sp macro="" textlink="">
      <cdr:nvSpPr>
        <cdr:cNvPr id="4" name="TextBox 1">
          <a:extLst xmlns:a="http://schemas.openxmlformats.org/drawingml/2006/main">
            <a:ext uri="{FF2B5EF4-FFF2-40B4-BE49-F238E27FC236}">
              <a16:creationId xmlns:a16="http://schemas.microsoft.com/office/drawing/2014/main" id="{70410695-9306-9FE7-3886-D0C1D377BC46}"/>
            </a:ext>
          </a:extLst>
        </cdr:cNvPr>
        <cdr:cNvSpPr txBox="1"/>
      </cdr:nvSpPr>
      <cdr:spPr>
        <a:xfrm xmlns:a="http://schemas.openxmlformats.org/drawingml/2006/main">
          <a:off x="2932488" y="328893"/>
          <a:ext cx="920003" cy="134323"/>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8.xml><?xml version="1.0" encoding="utf-8"?>
<c:userShapes xmlns:c="http://schemas.openxmlformats.org/drawingml/2006/chart">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bg1">
                  <a:lumMod val="75000"/>
                </a:schemeClr>
              </a:solidFill>
            </a:rPr>
            <a:t>Note: Should be linear or at least front-loaded</a:t>
          </a:r>
          <a:endParaRPr lang="en-GB" sz="1100" kern="1200">
            <a:solidFill>
              <a:schemeClr val="bg1">
                <a:lumMod val="75000"/>
              </a:schemeClr>
            </a:solidFill>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19</xdr:col>
      <xdr:colOff>161926</xdr:colOff>
      <xdr:row>2</xdr:row>
      <xdr:rowOff>9526</xdr:rowOff>
    </xdr:from>
    <xdr:to>
      <xdr:col>25</xdr:col>
      <xdr:colOff>0</xdr:colOff>
      <xdr:row>4</xdr:row>
      <xdr:rowOff>0</xdr:rowOff>
    </xdr:to>
    <xdr:sp macro="[0]!ImportMediumTermPlan" textlink="">
      <xdr:nvSpPr>
        <xdr:cNvPr id="2" name="Rectangle: Rounded Corners 1">
          <a:extLst>
            <a:ext uri="{FF2B5EF4-FFF2-40B4-BE49-F238E27FC236}">
              <a16:creationId xmlns:a16="http://schemas.microsoft.com/office/drawing/2014/main" id="{7666E042-B1BC-4718-9C80-C5ECB88F5E63}"/>
            </a:ext>
          </a:extLst>
        </xdr:cNvPr>
        <xdr:cNvSpPr/>
      </xdr:nvSpPr>
      <xdr:spPr>
        <a:xfrm>
          <a:off x="15592426" y="676276"/>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MTP from file</a:t>
          </a:r>
        </a:p>
      </xdr:txBody>
    </xdr:sp>
    <xdr:clientData/>
  </xdr:twoCellAnchor>
  <xdr:twoCellAnchor>
    <xdr:from>
      <xdr:col>19</xdr:col>
      <xdr:colOff>161926</xdr:colOff>
      <xdr:row>5</xdr:row>
      <xdr:rowOff>9526</xdr:rowOff>
    </xdr:from>
    <xdr:to>
      <xdr:col>25</xdr:col>
      <xdr:colOff>0</xdr:colOff>
      <xdr:row>7</xdr:row>
      <xdr:rowOff>0</xdr:rowOff>
    </xdr:to>
    <xdr:sp macro="[0]!ImportPriorGuidance" textlink="">
      <xdr:nvSpPr>
        <xdr:cNvPr id="3" name="Rectangle: Rounded Corners 2">
          <a:extLst>
            <a:ext uri="{FF2B5EF4-FFF2-40B4-BE49-F238E27FC236}">
              <a16:creationId xmlns:a16="http://schemas.microsoft.com/office/drawing/2014/main" id="{A9D5A147-7582-4AEF-A95E-61E03E04A114}"/>
            </a:ext>
          </a:extLst>
        </xdr:cNvPr>
        <xdr:cNvSpPr/>
      </xdr:nvSpPr>
      <xdr:spPr>
        <a:xfrm>
          <a:off x="15592426" y="1190626"/>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prior guidance from file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91</xdr:row>
      <xdr:rowOff>0</xdr:rowOff>
    </xdr:from>
    <xdr:to>
      <xdr:col>16</xdr:col>
      <xdr:colOff>340415</xdr:colOff>
      <xdr:row>133</xdr:row>
      <xdr:rowOff>162340</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513522" y="16523804"/>
          <a:ext cx="9277350" cy="746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In practice, Commission guidance operationalises the medium term as the full projection horizon required for the medium-term fiscal-structural plan, extending from the base year (T) to 10 years after the end of the adjustment period.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base year (T-X), being the latest year for which final or validated outturn data are available from national statistical institutes and Eurostat.</a:t>
          </a:r>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hyperlink" Target="https://eur-lex.europa.eu/legal-content/EN/TXT/PDF/?uri=CELEX:52024XC03975"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27"/>
  <sheetViews>
    <sheetView showGridLines="0" tabSelected="1" zoomScaleNormal="100" workbookViewId="0"/>
  </sheetViews>
  <sheetFormatPr defaultRowHeight="13.15" x14ac:dyDescent="0.4"/>
  <cols>
    <col min="1" max="1" width="48.285156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51" t="s">
        <v>24</v>
      </c>
    </row>
    <row r="2" spans="1:11" ht="13.5" customHeight="1" x14ac:dyDescent="0.4">
      <c r="A2" s="158" t="s">
        <v>215</v>
      </c>
      <c r="B2" s="253" t="s">
        <v>227</v>
      </c>
    </row>
    <row r="3" spans="1:11" ht="13.5" customHeight="1" x14ac:dyDescent="0.4">
      <c r="A3" s="158" t="s">
        <v>305</v>
      </c>
      <c r="B3" s="253" t="s">
        <v>330</v>
      </c>
    </row>
    <row r="5" spans="1:11" ht="18" x14ac:dyDescent="0.55000000000000004">
      <c r="A5" s="51" t="s">
        <v>756</v>
      </c>
      <c r="K5" s="39"/>
    </row>
    <row r="6" spans="1:11" ht="13.5" customHeight="1" x14ac:dyDescent="0.4">
      <c r="A6" s="158" t="s">
        <v>755</v>
      </c>
      <c r="B6" s="253" t="s">
        <v>754</v>
      </c>
      <c r="K6" s="39"/>
    </row>
    <row r="7" spans="1:11" ht="13.5" customHeight="1" x14ac:dyDescent="0.4">
      <c r="A7" s="160" t="s">
        <v>757</v>
      </c>
      <c r="B7" s="253" t="s">
        <v>997</v>
      </c>
      <c r="K7" s="39"/>
    </row>
    <row r="8" spans="1:11" x14ac:dyDescent="0.4">
      <c r="K8" s="39"/>
    </row>
    <row r="9" spans="1:11" ht="18" x14ac:dyDescent="0.55000000000000004">
      <c r="A9" s="51" t="s">
        <v>752</v>
      </c>
      <c r="K9" s="39"/>
    </row>
    <row r="10" spans="1:11" ht="13.5" customHeight="1" x14ac:dyDescent="0.4">
      <c r="A10" s="86"/>
      <c r="B10" s="45" cm="1">
        <f t="array" ref="B10:F10">_xlfn.SEQUENCE(1, MTP_EndYear-MTP_BaseYear, MTP_BaseYear+1)</f>
        <v>2024</v>
      </c>
      <c r="C10" s="45">
        <v>2025</v>
      </c>
      <c r="D10" s="45">
        <v>2026</v>
      </c>
      <c r="E10" s="45">
        <v>2027</v>
      </c>
      <c r="F10" s="45">
        <v>2028</v>
      </c>
    </row>
    <row r="11" spans="1:11" ht="13.5" customHeight="1" x14ac:dyDescent="0.4">
      <c r="A11" s="87"/>
      <c r="B11" s="44" t="str" cm="1">
        <f t="array" ref="B11:F11">CHOOSE(SIGN(_xlfn.ANCHORARRAY(B10) - MTP_YearT) + 2, "T-1", "T", "T+" &amp; (_xlfn.ANCHORARRAY(B10) - MTP_YearT))</f>
        <v>T</v>
      </c>
      <c r="C11" s="44" t="str">
        <v>T+1</v>
      </c>
      <c r="D11" s="44" t="str">
        <v>T+2</v>
      </c>
      <c r="E11" s="44" t="str">
        <v>T+3</v>
      </c>
      <c r="F11" s="44" t="str">
        <v>T+4</v>
      </c>
      <c r="G11" s="48"/>
      <c r="H11" s="48"/>
      <c r="J11" s="48"/>
    </row>
    <row r="12" spans="1:11" ht="13.5" customHeight="1" x14ac:dyDescent="0.4">
      <c r="A12" s="86" t="s">
        <v>835</v>
      </c>
      <c r="B12" s="88" t="b">
        <v>0</v>
      </c>
      <c r="C12" s="88" t="b">
        <v>1</v>
      </c>
      <c r="D12" s="88" t="b">
        <v>1</v>
      </c>
      <c r="E12" s="88" t="b">
        <v>1</v>
      </c>
      <c r="F12" s="88" t="b">
        <v>1</v>
      </c>
      <c r="G12" s="88" t="b">
        <v>0</v>
      </c>
      <c r="H12" s="88"/>
      <c r="I12" s="72"/>
      <c r="J12" s="72"/>
    </row>
    <row r="13" spans="1:11" ht="13.5" customHeight="1" x14ac:dyDescent="0.4">
      <c r="A13" t="s">
        <v>713</v>
      </c>
      <c r="B13" s="88" t="e">
        <v>#N/A</v>
      </c>
      <c r="C13" s="88" t="s">
        <v>751</v>
      </c>
      <c r="D13" s="88" t="s">
        <v>751</v>
      </c>
      <c r="E13" s="88" t="s">
        <v>751</v>
      </c>
      <c r="F13" s="88" t="s">
        <v>751</v>
      </c>
      <c r="G13" s="88" t="s">
        <v>271</v>
      </c>
      <c r="H13" s="88"/>
      <c r="I13" s="72"/>
      <c r="J13" s="72"/>
    </row>
    <row r="14" spans="1:11" ht="13.5" customHeight="1" x14ac:dyDescent="0.4">
      <c r="A14" t="s">
        <v>653</v>
      </c>
      <c r="B14" s="88" t="e">
        <v>#N/A</v>
      </c>
      <c r="C14" s="88" t="s">
        <v>618</v>
      </c>
      <c r="D14" s="88" t="s">
        <v>618</v>
      </c>
      <c r="E14" s="88" t="s">
        <v>618</v>
      </c>
      <c r="F14" s="88" t="s">
        <v>618</v>
      </c>
      <c r="G14" s="88" t="s">
        <v>618</v>
      </c>
      <c r="H14" s="88" t="s">
        <v>271</v>
      </c>
      <c r="I14" s="72"/>
      <c r="J14" s="72"/>
    </row>
    <row r="15" spans="1:11" ht="13.5" customHeight="1" x14ac:dyDescent="0.4">
      <c r="A15" s="87" t="s">
        <v>840</v>
      </c>
      <c r="B15" s="88"/>
      <c r="C15" s="88">
        <v>1.5</v>
      </c>
      <c r="D15" s="88">
        <v>1.5</v>
      </c>
      <c r="E15" s="88">
        <v>1.5</v>
      </c>
      <c r="F15" s="88">
        <v>1.5</v>
      </c>
      <c r="G15" s="88"/>
      <c r="H15" s="88"/>
      <c r="I15" s="72"/>
      <c r="J15" s="72"/>
    </row>
    <row r="16" spans="1:11" ht="13.5" customHeight="1" x14ac:dyDescent="0.4">
      <c r="B16" s="88"/>
      <c r="G16" s="88"/>
      <c r="H16" s="88"/>
      <c r="I16" s="72"/>
      <c r="J16" s="72"/>
    </row>
    <row r="17" spans="1:10" ht="13.5" customHeight="1" x14ac:dyDescent="0.4">
      <c r="A17" t="s">
        <v>986</v>
      </c>
      <c r="B17" s="53">
        <v>2024</v>
      </c>
      <c r="J17" s="72"/>
    </row>
    <row r="18" spans="1:10" ht="13.5" customHeight="1" x14ac:dyDescent="0.4">
      <c r="A18" t="s">
        <v>988</v>
      </c>
      <c r="B18" s="53">
        <v>2.2000000000000002</v>
      </c>
      <c r="J18" s="72"/>
    </row>
    <row r="19" spans="1:10" ht="13.5" customHeight="1" x14ac:dyDescent="0.4"/>
    <row r="20" spans="1:10" ht="13.5" customHeight="1" x14ac:dyDescent="0.55000000000000004">
      <c r="A20" s="51" t="s">
        <v>750</v>
      </c>
    </row>
    <row r="21" spans="1:10" ht="13.5" customHeight="1" x14ac:dyDescent="0.4">
      <c r="A21" s="158" t="s">
        <v>367</v>
      </c>
      <c r="B21" s="53" t="b">
        <v>0</v>
      </c>
    </row>
    <row r="22" spans="1:10" ht="13.5" customHeight="1" x14ac:dyDescent="0.4">
      <c r="A22" s="158" t="s">
        <v>370</v>
      </c>
      <c r="B22" s="53" t="e">
        <v>#N/A</v>
      </c>
    </row>
    <row r="23" spans="1:10" ht="13.5" customHeight="1" x14ac:dyDescent="0.4">
      <c r="A23" s="158" t="s">
        <v>366</v>
      </c>
      <c r="B23" s="53" t="b">
        <v>0</v>
      </c>
    </row>
    <row r="24" spans="1:10" ht="13.5" customHeight="1" x14ac:dyDescent="0.4">
      <c r="A24" s="158" t="s">
        <v>369</v>
      </c>
      <c r="B24" s="53" t="e">
        <v>#N/A</v>
      </c>
    </row>
    <row r="25" spans="1:10" ht="13.5" customHeight="1" x14ac:dyDescent="0.4"/>
    <row r="26" spans="1:10" ht="13.5" customHeight="1" x14ac:dyDescent="0.4"/>
    <row r="27" spans="1:10" ht="18" x14ac:dyDescent="0.55000000000000004">
      <c r="H27" s="51"/>
    </row>
  </sheetData>
  <dataConsolidate/>
  <phoneticPr fontId="44" type="noConversion"/>
  <conditionalFormatting sqref="B10:H10">
    <cfRule type="expression" dxfId="112" priority="9">
      <formula>B10&lt;&gt;""</formula>
    </cfRule>
  </conditionalFormatting>
  <conditionalFormatting sqref="B11:H11">
    <cfRule type="expression" dxfId="111" priority="8">
      <formula>B10&lt;&gt;""</formula>
    </cfRule>
  </conditionalFormatting>
  <conditionalFormatting sqref="B12:H14">
    <cfRule type="expression" dxfId="110" priority="7">
      <formula>B$10&lt;&gt;""</formula>
    </cfRule>
  </conditionalFormatting>
  <conditionalFormatting sqref="B15:H15 B16 G16:H16">
    <cfRule type="expression" dxfId="109" priority="6">
      <formula>B10&lt;&gt;""</formula>
    </cfRule>
  </conditionalFormatting>
  <conditionalFormatting sqref="B2">
    <cfRule type="expression" dxfId="108" priority="3">
      <formula>$B$2="Select country"</formula>
    </cfRule>
  </conditionalFormatting>
  <conditionalFormatting sqref="B3">
    <cfRule type="expression" dxfId="107" priority="2">
      <formula>$B$3="Select IFI"</formula>
    </cfRule>
  </conditionalFormatting>
  <conditionalFormatting sqref="B17:B18">
    <cfRule type="expression" dxfId="106" priority="1">
      <formula>$B$2="Select country"</formula>
    </cfRule>
  </conditionalFormatting>
  <pageMargins left="0.7" right="0.7" top="0.75" bottom="0.75" header="0.3" footer="0.3"/>
  <pageSetup paperSize="9" scale="73" orientation="landscape" r:id="rId1"/>
  <drawing r:id="rId2"/>
  <legacyDrawing r:id="rId3"/>
  <extLst>
    <ext xmlns:x14="http://schemas.microsoft.com/office/spreadsheetml/2009/9/main" uri="{CCE6A557-97BC-4b89-ADB6-D9C93CAAB3DF}">
      <x14:dataValidations xmlns:xm="http://schemas.microsoft.com/office/excel/2006/main" disablePrompts="1" count="8">
        <x14:dataValidation type="list" allowBlank="1" showInputMessage="1" showErrorMessage="1" xr:uid="{4063DD47-253F-4570-96F7-A406EF578100}">
          <x14:formula1>
            <xm:f>Validation!$F$3:$F$4</xm:f>
          </x14:formula1>
          <xm:sqref>B21 B23 B12:H12</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B22 B24</xm:sqref>
        </x14:dataValidation>
        <x14:dataValidation type="list" allowBlank="1" showInputMessage="1" showErrorMessage="1" xr:uid="{6B3991E8-9E7F-4EEC-B66C-A1A9D743878C}">
          <x14:formula1>
            <xm:f>Validation!$M$3:$M$48</xm:f>
          </x14:formula1>
          <xm:sqref>B3</xm:sqref>
        </x14:dataValidation>
        <x14:dataValidation type="list" allowBlank="1" showInputMessage="1" showErrorMessage="1" xr:uid="{B6259728-4AA8-4330-B1EE-7B65D39C721C}">
          <x14:formula1>
            <xm:f>Validation!$K$3:$K$29</xm:f>
          </x14:formula1>
          <xm:sqref>B2</xm:sqref>
        </x14:dataValidation>
        <x14:dataValidation type="list" allowBlank="1" showInputMessage="1" showErrorMessage="1" xr:uid="{713B6A27-143F-4DB2-9B70-D9AD4D994E5C}">
          <x14:formula1>
            <xm:f>Validation!$A$4:$A$31</xm:f>
          </x14:formula1>
          <xm:sqref>B22</xm:sqref>
        </x14:dataValidation>
        <x14:dataValidation type="list" allowBlank="1" showInputMessage="1" showErrorMessage="1" xr:uid="{08C01445-8373-41C5-B39B-3524AEAE41C8}">
          <x14:formula1>
            <xm:f>Validation!$J$3:$J$5</xm:f>
          </x14:formula1>
          <xm:sqref>B14:H14</xm:sqref>
        </x14:dataValidation>
        <x14:dataValidation type="list" allowBlank="1" showInputMessage="1" showErrorMessage="1" xr:uid="{8697FFC1-76F7-4B45-BD20-8465F301EDFE}">
          <x14:formula1>
            <xm:f>Validation!$I$3:$I$6</xm:f>
          </x14:formula1>
          <xm:sqref>B13:H13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0"/>
  <sheetViews>
    <sheetView showGridLines="0" zoomScaleNormal="100" workbookViewId="0"/>
  </sheetViews>
  <sheetFormatPr defaultRowHeight="13.15" outlineLevelRow="1" x14ac:dyDescent="0.4"/>
  <cols>
    <col min="1" max="1" width="8" customWidth="1"/>
    <col min="2" max="2" width="43.140625" customWidth="1"/>
    <col min="3" max="3" width="10.5703125" customWidth="1"/>
    <col min="4" max="33" width="9" customWidth="1"/>
  </cols>
  <sheetData>
    <row r="1" spans="1:26" ht="23.25" x14ac:dyDescent="0.7">
      <c r="B1" s="14" t="s">
        <v>284</v>
      </c>
    </row>
    <row r="2" spans="1:26" x14ac:dyDescent="0.4">
      <c r="D2" s="77" t="s">
        <v>826</v>
      </c>
      <c r="E2" s="185">
        <v>2025</v>
      </c>
    </row>
    <row r="3" spans="1:26" ht="15.75" x14ac:dyDescent="0.5">
      <c r="B3" s="150"/>
      <c r="R3" s="80" t="s">
        <v>1001</v>
      </c>
    </row>
    <row r="4" spans="1:26" ht="14.65" customHeight="1" x14ac:dyDescent="0.7">
      <c r="A4" s="14"/>
      <c r="B4" s="40" t="s">
        <v>251</v>
      </c>
      <c r="C4" s="41"/>
      <c r="D4" s="41"/>
      <c r="E4" s="45" cm="1">
        <f t="array" ref="E4:G4">_xlfn.SEQUENCE(1, OutturnThrough-MTP_BaseYear+1, MTP_BaseYear)</f>
        <v>2023</v>
      </c>
      <c r="F4" s="45">
        <v>2024</v>
      </c>
      <c r="G4" s="45">
        <v>2025</v>
      </c>
      <c r="H4" s="45"/>
      <c r="I4" s="45"/>
      <c r="J4" s="45"/>
      <c r="K4" s="45"/>
      <c r="L4" s="45"/>
      <c r="M4" s="45"/>
      <c r="N4" s="45"/>
      <c r="O4" s="45"/>
      <c r="P4" s="45"/>
      <c r="Q4" s="45"/>
      <c r="R4" s="40"/>
      <c r="S4" s="40" t="s">
        <v>251</v>
      </c>
      <c r="T4" s="41"/>
      <c r="U4" s="41"/>
      <c r="V4" s="45" cm="1">
        <f t="array" ref="V4:X4">_xlfn.SEQUENCE(1, OutturnThrough-MTP_BaseYear+1, MTP_BaseYear)</f>
        <v>2023</v>
      </c>
      <c r="W4" s="45">
        <v>2024</v>
      </c>
      <c r="X4" s="45">
        <v>2025</v>
      </c>
      <c r="Y4" s="45"/>
      <c r="Z4" s="45"/>
    </row>
    <row r="5" spans="1:26" ht="14.65" customHeight="1" x14ac:dyDescent="0.7">
      <c r="A5" s="14"/>
      <c r="B5" s="42" t="s">
        <v>274</v>
      </c>
      <c r="C5" s="43"/>
      <c r="D5" s="43"/>
      <c r="E5" s="48" t="str" cm="1">
        <f t="array" ref="E5:G5">IF(
  AND(_xlfn.ANCHORARRAY(E4) &gt;= MTP_YearT-1,_xlfn.ANCHORARRAY( E4) &lt;= MTP_EndYear),
  "T" &amp; TEXT(_xlfn.ANCHORARRAY(E4) - MTP_YearT, "+0;-0;"),
  ""
)</f>
        <v>T-1</v>
      </c>
      <c r="F5" s="48" t="str">
        <v>T</v>
      </c>
      <c r="G5" s="48" t="str">
        <v>T+1</v>
      </c>
      <c r="H5" s="48"/>
      <c r="I5" s="48"/>
      <c r="J5" s="48"/>
      <c r="K5" s="48"/>
      <c r="L5" s="48"/>
      <c r="M5" s="48"/>
      <c r="N5" s="48"/>
      <c r="O5" s="48"/>
      <c r="P5" s="48"/>
      <c r="Q5" s="48"/>
      <c r="R5" s="42" t="s">
        <v>980</v>
      </c>
      <c r="S5" s="42" t="s">
        <v>274</v>
      </c>
      <c r="T5" s="43"/>
      <c r="U5" s="43"/>
      <c r="V5" s="48" t="str" cm="1">
        <f t="array" ref="V5:X5">IF(
  AND(_xlfn.ANCHORARRAY(V4) &gt;= MTP_YearT-1,_xlfn.ANCHORARRAY( V4) &lt;= MTP_EndYear),
  "T" &amp; TEXT(_xlfn.ANCHORARRAY(V4) - MTP_YearT, "+0;-0;"),
  ""
)</f>
        <v>T-1</v>
      </c>
      <c r="W5" s="48" t="str">
        <v>T</v>
      </c>
      <c r="X5" s="48" t="str">
        <v>T+1</v>
      </c>
      <c r="Y5" s="48"/>
      <c r="Z5" s="48"/>
    </row>
    <row r="6" spans="1:26" ht="14.65" customHeight="1" x14ac:dyDescent="0.7">
      <c r="A6" s="14"/>
      <c r="B6" s="60" t="s">
        <v>257</v>
      </c>
      <c r="C6" s="45" t="s">
        <v>6</v>
      </c>
      <c r="D6" s="45"/>
      <c r="E6" s="141" cm="1">
        <f t="array" ref="E6:G6">INDEX(184:184, _xlfn.XMATCH(INDEX(_xlfn.ANCHORARRAY(E4),1,1), 33:33, 0) + _xlfn.SEQUENCE(1, COLUMNS(_xlfn.ANCHORARRAY(E4))) - 1)/1000</f>
        <v>111.255</v>
      </c>
      <c r="F6" s="141">
        <v>113.87</v>
      </c>
      <c r="G6" s="182">
        <v>119.875</v>
      </c>
      <c r="H6" s="182"/>
      <c r="I6" s="182"/>
      <c r="J6" s="182"/>
      <c r="K6" s="182"/>
      <c r="L6" s="182"/>
      <c r="M6" s="182"/>
      <c r="N6" s="182"/>
      <c r="O6" s="182"/>
      <c r="P6" s="182"/>
      <c r="Q6" s="182"/>
      <c r="R6" s="262" t="b">
        <v>1</v>
      </c>
      <c r="S6" s="260" t="s">
        <v>276</v>
      </c>
      <c r="T6" s="182"/>
      <c r="U6" s="182"/>
      <c r="V6" s="182">
        <v>0.3</v>
      </c>
      <c r="W6" s="182">
        <v>0.1</v>
      </c>
      <c r="X6" s="182">
        <v>-0.1</v>
      </c>
      <c r="Y6" s="182"/>
      <c r="Z6" s="182"/>
    </row>
    <row r="7" spans="1:26" ht="14.65" customHeight="1" x14ac:dyDescent="0.7">
      <c r="A7" s="14"/>
      <c r="B7" s="81" t="s">
        <v>25</v>
      </c>
      <c r="C7" s="45" t="s">
        <v>6</v>
      </c>
      <c r="D7" s="45"/>
      <c r="E7" s="142" cm="1">
        <f t="array" ref="E7:G7">INDEX(175:175, _xlfn.XMATCH(INDEX(_xlfn.ANCHORARRAY(E4),1,1), 33:33, 0) + _xlfn.SEQUENCE(1, COLUMNS(_xlfn.ANCHORARRAY(E4))) - 1)/1000</f>
        <v>7.6120000000000001</v>
      </c>
      <c r="F7" s="142">
        <v>8.2249999999999996</v>
      </c>
      <c r="G7" s="183">
        <v>7.8410000000000002</v>
      </c>
      <c r="H7" s="183"/>
      <c r="I7" s="183"/>
      <c r="J7" s="183"/>
      <c r="K7" s="183"/>
      <c r="L7" s="183"/>
      <c r="M7" s="183"/>
      <c r="N7" s="183"/>
      <c r="O7" s="183"/>
      <c r="P7" s="183"/>
      <c r="Q7" s="183"/>
      <c r="R7" s="262" t="b">
        <v>0</v>
      </c>
      <c r="S7" s="261" t="s">
        <v>279</v>
      </c>
      <c r="T7" s="183"/>
      <c r="U7" s="183"/>
      <c r="V7" s="183">
        <v>0.3</v>
      </c>
      <c r="W7" s="183">
        <v>0.4</v>
      </c>
      <c r="X7" s="183">
        <v>0.4</v>
      </c>
      <c r="Y7" s="183"/>
      <c r="Z7" s="183"/>
    </row>
    <row r="8" spans="1:26" ht="14.65" customHeight="1" x14ac:dyDescent="0.7">
      <c r="A8" s="14"/>
      <c r="B8" s="81" t="s">
        <v>276</v>
      </c>
      <c r="C8" s="45" t="s">
        <v>6</v>
      </c>
      <c r="D8" s="45"/>
      <c r="E8" s="142" cm="1">
        <f t="array" ref="E8:G8">IF(R6,
    INDEX(6:6, COLUMN(V1) + _xlfn.SEQUENCE(1, COLUMNS(_xlfn.ANCHORARRAY(E4))) - 1),
    INDEX(188:188, _xlfn.XMATCH(INDEX(_xlfn.ANCHORARRAY(E4),1,1), 33:33, 0) + _xlfn.SEQUENCE(1, COLUMNS(_xlfn.ANCHORARRAY(E4))) - 1) / 1000
)</f>
        <v>0.3</v>
      </c>
      <c r="F8" s="142">
        <v>0.1</v>
      </c>
      <c r="G8" s="183">
        <v>-0.1</v>
      </c>
      <c r="H8" s="183"/>
      <c r="I8" s="183"/>
      <c r="J8" s="183"/>
      <c r="K8" s="183"/>
      <c r="L8" s="183"/>
      <c r="M8" s="183"/>
      <c r="N8" s="183"/>
      <c r="O8" s="183"/>
      <c r="P8" s="183"/>
      <c r="Q8" s="183"/>
      <c r="R8" s="262" t="b">
        <v>1</v>
      </c>
      <c r="S8" s="261" t="s">
        <v>607</v>
      </c>
      <c r="T8" s="183"/>
      <c r="U8" s="183"/>
      <c r="V8" s="183"/>
      <c r="W8" s="183">
        <v>2</v>
      </c>
      <c r="X8" s="183">
        <v>1.1000000000000001</v>
      </c>
      <c r="Y8" s="183"/>
      <c r="Z8" s="183"/>
    </row>
    <row r="9" spans="1:26" ht="14.65" customHeight="1" x14ac:dyDescent="0.7">
      <c r="A9" s="14"/>
      <c r="B9" s="81" t="s">
        <v>277</v>
      </c>
      <c r="C9" s="45" t="s">
        <v>6</v>
      </c>
      <c r="D9" s="45"/>
      <c r="E9" s="142" cm="1">
        <f t="array" ref="E9:G9">INDEX(185:185, _xlfn.XMATCH(INDEX(_xlfn.ANCHORARRAY(E4),1,1), 33:33, 0) + _xlfn.SEQUENCE(1, COLUMNS(_xlfn.ANCHORARRAY(E4))) - 1)/1000</f>
        <v>5.6639999999999997</v>
      </c>
      <c r="F9" s="142">
        <v>5.8730000000000002</v>
      </c>
      <c r="G9" s="183">
        <v>8.43</v>
      </c>
      <c r="H9" s="183"/>
      <c r="I9" s="183"/>
      <c r="J9" s="183"/>
      <c r="K9" s="183"/>
      <c r="L9" s="183"/>
      <c r="M9" s="183"/>
      <c r="N9" s="183"/>
      <c r="O9" s="183"/>
      <c r="P9" s="183"/>
      <c r="Q9" s="183"/>
      <c r="R9" s="262" t="b">
        <v>1</v>
      </c>
      <c r="S9" s="261" t="s">
        <v>609</v>
      </c>
      <c r="T9" s="183"/>
      <c r="U9" s="183"/>
      <c r="V9" s="183">
        <v>5.2</v>
      </c>
      <c r="W9" s="183">
        <v>5.2880000000000003</v>
      </c>
      <c r="X9" s="183">
        <v>5.9859999999999998</v>
      </c>
      <c r="Y9" s="183"/>
      <c r="Z9" s="183"/>
    </row>
    <row r="10" spans="1:26" ht="14.65" customHeight="1" x14ac:dyDescent="0.7">
      <c r="A10" s="14"/>
      <c r="B10" s="81" t="s">
        <v>278</v>
      </c>
      <c r="C10" s="45" t="s">
        <v>6</v>
      </c>
      <c r="D10" s="45"/>
      <c r="E10" s="142" cm="1">
        <f t="array" ref="E10:G10">INDEX(187:187, _xlfn.XMATCH(INDEX(_xlfn.ANCHORARRAY(E4),1,1), 33:33, 0) + _xlfn.SEQUENCE(1, COLUMNS(_xlfn.ANCHORARRAY(E4))) - 1)/1000</f>
        <v>0.73899999999999999</v>
      </c>
      <c r="F10" s="142">
        <v>0.70499999999999996</v>
      </c>
      <c r="G10" s="183">
        <v>0.78</v>
      </c>
      <c r="H10" s="183"/>
      <c r="I10" s="183"/>
      <c r="J10" s="183"/>
      <c r="K10" s="183"/>
      <c r="L10" s="183"/>
      <c r="M10" s="183"/>
      <c r="N10" s="183"/>
      <c r="O10" s="183"/>
      <c r="P10" s="183"/>
      <c r="Q10" s="183"/>
      <c r="R10" s="183"/>
      <c r="S10" s="183"/>
      <c r="T10" s="183"/>
      <c r="U10" s="183"/>
      <c r="V10" s="183"/>
      <c r="W10" s="183"/>
      <c r="X10" s="183"/>
      <c r="Y10" s="183"/>
      <c r="Z10" s="183"/>
    </row>
    <row r="11" spans="1:26" ht="14.65" customHeight="1" x14ac:dyDescent="0.7">
      <c r="A11" s="14"/>
      <c r="B11" s="81" t="s">
        <v>279</v>
      </c>
      <c r="C11" s="45" t="s">
        <v>6</v>
      </c>
      <c r="D11" s="45"/>
      <c r="E11" s="142" cm="1">
        <f t="array" ref="E11:G11">IF(R7,
    INDEX(7:7, COLUMN(V1) + _xlfn.SEQUENCE(1, COLUMNS(_xlfn.ANCHORARRAY(E4))) - 1),INDEX(189:189, _xlfn.XMATCH(INDEX(_xlfn.ANCHORARRAY(E4),1,1), 33:33, 0) + _xlfn.SEQUENCE(1, COLUMNS(_xlfn.ANCHORARRAY(E4))) - 1)/1000)</f>
        <v>0.30199999999999999</v>
      </c>
      <c r="F11" s="142">
        <v>0.4</v>
      </c>
      <c r="G11" s="183">
        <v>0.436</v>
      </c>
      <c r="H11" s="183"/>
      <c r="I11" s="183"/>
      <c r="J11" s="183"/>
      <c r="K11" s="183"/>
      <c r="L11" s="183"/>
      <c r="M11" s="183"/>
      <c r="N11" s="183"/>
      <c r="O11" s="183"/>
      <c r="P11" s="183"/>
      <c r="Q11" s="183"/>
      <c r="R11" s="183"/>
      <c r="S11" s="183"/>
      <c r="T11" s="183"/>
      <c r="U11" s="183"/>
      <c r="V11" s="183"/>
      <c r="W11" s="183"/>
      <c r="X11" s="183"/>
      <c r="Y11" s="183"/>
      <c r="Z11" s="183"/>
    </row>
    <row r="12" spans="1:26" ht="14.65" customHeight="1" x14ac:dyDescent="0.7">
      <c r="A12" s="14"/>
      <c r="B12" s="81" t="s">
        <v>307</v>
      </c>
      <c r="C12" s="45" t="s">
        <v>6</v>
      </c>
      <c r="D12" s="45"/>
      <c r="E12" s="142" cm="1">
        <f t="array" ref="E12:G12">INDEX(190:190, _xlfn.XMATCH(INDEX(_xlfn.ANCHORARRAY(E4),1,1), 33:33, 0) + _xlfn.SEQUENCE(1, COLUMNS(_xlfn.ANCHORARRAY(E4))) - 1)/1000</f>
        <v>96.642539999999997</v>
      </c>
      <c r="F12" s="142">
        <v>98.517420000000001</v>
      </c>
      <c r="G12" s="183">
        <v>102.40949000000001</v>
      </c>
      <c r="H12" s="183"/>
      <c r="I12" s="183"/>
      <c r="J12" s="183"/>
      <c r="K12" s="183"/>
      <c r="L12" s="183"/>
      <c r="M12" s="183"/>
      <c r="N12" s="183"/>
      <c r="O12" s="183"/>
      <c r="P12" s="183"/>
      <c r="Q12" s="183"/>
      <c r="R12" s="183"/>
      <c r="S12" s="183"/>
      <c r="T12" s="183"/>
      <c r="U12" s="183"/>
      <c r="V12" s="183"/>
      <c r="W12" s="183"/>
      <c r="X12" s="183"/>
      <c r="Y12" s="183"/>
      <c r="Z12" s="183"/>
    </row>
    <row r="13" spans="1:26" ht="14.65" customHeight="1" x14ac:dyDescent="0.7">
      <c r="A13" s="14"/>
      <c r="B13" s="81" t="s">
        <v>607</v>
      </c>
      <c r="C13" s="45" t="s">
        <v>6</v>
      </c>
      <c r="D13" s="45"/>
      <c r="E13" s="142" cm="1">
        <f t="array" ref="E13:G13">IF(R8,
    INDEX(8:8, COLUMN(V1) + _xlfn.SEQUENCE(1, COLUMNS(_xlfn.ANCHORARRAY(E4))) - 1),(INDEX(169:169, _xlfn.XMATCH(INDEX(_xlfn.ANCHORARRAY(E4),1,1)+0, 33:33+0, 0) + _xlfn.SEQUENCE(1, COLUMNS(_xlfn.ANCHORARRAY(E4))) - 1))/1000)</f>
        <v>0</v>
      </c>
      <c r="F13" s="142">
        <v>2</v>
      </c>
      <c r="G13" s="183">
        <v>1.1000000000000001</v>
      </c>
      <c r="H13" s="183"/>
      <c r="I13" s="183"/>
      <c r="J13" s="183"/>
      <c r="K13" s="183"/>
      <c r="L13" s="183"/>
      <c r="M13" s="183"/>
      <c r="N13" s="183"/>
      <c r="O13" s="183"/>
      <c r="P13" s="183"/>
      <c r="Q13" s="183"/>
      <c r="R13" s="183"/>
      <c r="S13" s="183"/>
      <c r="T13" s="183"/>
      <c r="U13" s="183"/>
      <c r="V13" s="183"/>
      <c r="W13" s="183"/>
      <c r="X13" s="183"/>
      <c r="Y13" s="183"/>
      <c r="Z13" s="183"/>
    </row>
    <row r="14" spans="1:26" ht="14.65" customHeight="1" x14ac:dyDescent="0.7">
      <c r="A14" s="14"/>
      <c r="B14" s="81" t="s">
        <v>609</v>
      </c>
      <c r="C14" s="45" t="s">
        <v>6</v>
      </c>
      <c r="D14" s="45"/>
      <c r="E14" s="142" cm="1">
        <f t="array" ref="E14:G14">IF(R9,
INDEX(9:9,COLUMN(V1)+_xlfn.SEQUENCE(1,COLUMNS(_xlfn.ANCHORARRAY(E4)))-1),INDEX(92:92,_xlfn.XMATCH(INDEX(_xlfn.ANCHORARRAY(E4),1,1),33:33,0)+_xlfn.SEQUENCE(1,COLUMNS(_xlfn.ANCHORARRAY(E4)))-1)/1000)</f>
        <v>5.2</v>
      </c>
      <c r="F14" s="142">
        <v>5.2880000000000003</v>
      </c>
      <c r="G14" s="183">
        <v>5.9859999999999998</v>
      </c>
      <c r="H14" s="183"/>
      <c r="I14" s="183"/>
      <c r="J14" s="183"/>
      <c r="K14" s="183"/>
      <c r="L14" s="183"/>
      <c r="M14" s="183"/>
      <c r="N14" s="183"/>
      <c r="O14" s="183"/>
      <c r="P14" s="183"/>
      <c r="Q14" s="183"/>
      <c r="R14" s="183"/>
      <c r="S14" s="183"/>
      <c r="T14" s="183"/>
      <c r="U14" s="183"/>
      <c r="V14" s="183"/>
      <c r="W14" s="183"/>
      <c r="X14" s="183"/>
      <c r="Y14" s="183"/>
      <c r="Z14" s="183"/>
    </row>
    <row r="15" spans="1:26" ht="20.25" customHeight="1" x14ac:dyDescent="0.7">
      <c r="A15" s="14"/>
      <c r="B15" s="60" t="s">
        <v>309</v>
      </c>
      <c r="C15" s="45" t="s">
        <v>645</v>
      </c>
      <c r="D15" s="45"/>
      <c r="E15" s="141" t="str" cm="1">
        <f t="array" ref="E15:G15">_xlfn.LET(
  _xlpm.n, COLUMNS(_xlfn.ANCHORARRAY(E4)),
  _xlpm.seq, _xlfn.SEQUENCE(1,_xlpm.n),
  _xlpm.col, COLUMN()+_xlpm.seq-1,
  _xlpm.curr13, INDEX(12:12, _xlpm.col),
  _xlpm.curr14, INDEX(13:13, _xlpm.col),
  _xlpm.prev13, INDEX(12:12, _xlpm.col-1),
  IF(_xlpm.seq=1, "", IFERROR((((_xlpm.curr13-_xlpm.curr14)/_xlpm.prev13)-1)*100, ""))
)</f>
        <v/>
      </c>
      <c r="F15" s="141">
        <v>-0.12946679588512477</v>
      </c>
      <c r="G15" s="182">
        <v>2.8340876161799811</v>
      </c>
      <c r="H15" s="182"/>
      <c r="I15" s="182"/>
      <c r="J15" s="182"/>
      <c r="K15" s="182"/>
      <c r="L15" s="182"/>
      <c r="M15" s="182"/>
      <c r="N15" s="182"/>
      <c r="O15" s="182"/>
      <c r="P15" s="182"/>
      <c r="Q15" s="182"/>
      <c r="R15" s="182"/>
      <c r="S15" s="182"/>
      <c r="T15" s="182"/>
      <c r="U15" s="182"/>
      <c r="V15" s="182"/>
      <c r="W15" s="182"/>
      <c r="X15" s="182"/>
      <c r="Y15" s="182"/>
      <c r="Z15" s="182"/>
    </row>
    <row r="16" spans="1:26" ht="14.65" customHeight="1" x14ac:dyDescent="0.7">
      <c r="A16" s="14"/>
      <c r="B16" s="60" t="s">
        <v>308</v>
      </c>
      <c r="C16" s="45" t="s">
        <v>645</v>
      </c>
      <c r="D16" s="45"/>
      <c r="E16" s="141" t="str" cm="1">
        <f t="array" ref="E16:G16">_xlfn.LET(
  _xlpm.n, COLUMNS(_xlfn.ANCHORARRAY(E4)),
  _xlpm.seq, _xlfn.SEQUENCE(1,_xlpm.n),
  _xlpm.vals, INDEX(15:15, COLUMN()-1+_xlpm.seq),
  _xlpm.clean, IF(_xlpm.vals="",0,_xlpm.vals/100),
  _xlpm.cum, _xlfn.SCAN(1, _xlpm.clean, _xlfn.LAMBDA(_xlpm.a,_xlpm.b,_xlpm.a*(1+_xlpm.b))),
  IF(_xlpm.seq=1,"",(_xlpm.cum-1)*100)
)</f>
        <v/>
      </c>
      <c r="F16" s="141">
        <v>-0.12946679588512477</v>
      </c>
      <c r="G16" s="184">
        <v>2.7009516178656101</v>
      </c>
      <c r="H16" s="184"/>
      <c r="I16" s="184"/>
      <c r="J16" s="184"/>
      <c r="K16" s="184"/>
      <c r="L16" s="184"/>
      <c r="M16" s="184"/>
      <c r="N16" s="184"/>
      <c r="O16" s="184"/>
      <c r="P16" s="184"/>
      <c r="Q16" s="184"/>
      <c r="R16" s="184"/>
      <c r="S16" s="184"/>
      <c r="T16" s="184"/>
      <c r="U16" s="184"/>
      <c r="V16" s="184"/>
      <c r="W16" s="184"/>
      <c r="X16" s="184"/>
      <c r="Y16" s="184"/>
      <c r="Z16" s="184"/>
    </row>
    <row r="17" spans="1:26" ht="20.25" customHeight="1" x14ac:dyDescent="0.7">
      <c r="A17" s="14"/>
      <c r="B17" s="56" t="s">
        <v>206</v>
      </c>
      <c r="C17" s="50" t="s">
        <v>614</v>
      </c>
      <c r="D17" s="50"/>
      <c r="E17" s="143" cm="1">
        <f t="array" ref="E17:G17">INDEX(139:139, _xlfn.XMATCH(INDEX(_xlfn.ANCHORARRAY(E4),1,1), 33:33, 0) + _xlfn.SEQUENCE(1, COLUMNS(_xlfn.ANCHORARRAY(E4))) - 1)</f>
        <v>-1.4299943654750491</v>
      </c>
      <c r="F17" s="143">
        <v>1.3470701540957015</v>
      </c>
      <c r="G17" s="184">
        <v>1.7273751105781794</v>
      </c>
      <c r="H17" s="184"/>
      <c r="I17" s="184"/>
      <c r="J17" s="184"/>
      <c r="K17" s="184"/>
      <c r="L17" s="184"/>
      <c r="M17" s="184"/>
      <c r="N17" s="184"/>
      <c r="O17" s="184"/>
      <c r="P17" s="184"/>
      <c r="Q17" s="184"/>
      <c r="R17" s="184"/>
      <c r="S17" s="184"/>
      <c r="T17" s="184"/>
      <c r="U17" s="184"/>
      <c r="V17" s="184"/>
      <c r="W17" s="184"/>
      <c r="X17" s="184"/>
      <c r="Y17" s="184"/>
      <c r="Z17" s="184"/>
    </row>
    <row r="18" spans="1:26" ht="14.65" customHeight="1" x14ac:dyDescent="0.7">
      <c r="A18" s="14"/>
      <c r="B18" s="56" t="s">
        <v>0</v>
      </c>
      <c r="C18" s="50" t="s">
        <v>614</v>
      </c>
      <c r="D18" s="50"/>
      <c r="E18" s="143" cm="1">
        <f t="array" ref="E18:G18">INDEX(142:142, _xlfn.XMATCH(INDEX(_xlfn.ANCHORARRAY(E4),1,1), 33:33, 0) + _xlfn.SEQUENCE(1, COLUMNS(_xlfn.ANCHORARRAY(E4))) - 1)</f>
        <v>-1.84205</v>
      </c>
      <c r="F18" s="143">
        <v>0.34606999999999999</v>
      </c>
      <c r="G18" s="184">
        <v>0.48633999999999999</v>
      </c>
      <c r="H18" s="184"/>
      <c r="I18" s="184"/>
      <c r="J18" s="184"/>
      <c r="K18" s="184"/>
      <c r="L18" s="184"/>
      <c r="M18" s="184"/>
      <c r="N18" s="184"/>
      <c r="O18" s="184"/>
      <c r="P18" s="184"/>
      <c r="Q18" s="184"/>
      <c r="R18" s="184"/>
      <c r="S18" s="184"/>
      <c r="T18" s="184"/>
      <c r="U18" s="184"/>
      <c r="V18" s="184"/>
      <c r="W18" s="184"/>
      <c r="X18" s="184"/>
      <c r="Y18" s="184"/>
      <c r="Z18" s="184"/>
    </row>
    <row r="19" spans="1:26" ht="14.65" customHeight="1" x14ac:dyDescent="0.7">
      <c r="A19" s="14"/>
      <c r="B19" s="56" t="s">
        <v>3</v>
      </c>
      <c r="C19" s="50" t="s">
        <v>614</v>
      </c>
      <c r="D19" s="50"/>
      <c r="E19" s="143" cm="1">
        <f t="array" ref="E19:G19">INDEX(143:143, _xlfn.XMATCH(INDEX(_xlfn.ANCHORARRAY(E4),1,1), 33:33, 0) + _xlfn.SEQUENCE(1, COLUMNS(_xlfn.ANCHORARRAY(E4))) - 1)</f>
        <v>1.54579</v>
      </c>
      <c r="F19" s="143">
        <v>3.8204099999999999</v>
      </c>
      <c r="G19" s="184">
        <v>3.6435300000000002</v>
      </c>
      <c r="H19" s="184"/>
      <c r="I19" s="184"/>
      <c r="J19" s="184"/>
      <c r="K19" s="184"/>
      <c r="L19" s="184"/>
      <c r="M19" s="184"/>
      <c r="N19" s="184"/>
      <c r="O19" s="184"/>
      <c r="P19" s="184"/>
      <c r="Q19" s="184"/>
      <c r="R19" s="184"/>
      <c r="S19" s="184"/>
      <c r="T19" s="184"/>
      <c r="U19" s="184"/>
      <c r="V19" s="184"/>
      <c r="W19" s="184"/>
      <c r="X19" s="184"/>
      <c r="Y19" s="184"/>
      <c r="Z19" s="184"/>
    </row>
    <row r="20" spans="1:26" ht="14.65" customHeight="1" x14ac:dyDescent="0.7">
      <c r="A20" s="14"/>
      <c r="B20" s="56" t="s">
        <v>1</v>
      </c>
      <c r="C20" s="50" t="s">
        <v>614</v>
      </c>
      <c r="D20" s="50"/>
      <c r="E20" s="143" cm="1">
        <f t="array" ref="E20:G20">INDEX(145:145, _xlfn.XMATCH(INDEX(_xlfn.ANCHORARRAY(E4),1,1), 33:33, 0) + _xlfn.SEQUENCE(1, COLUMNS(_xlfn.ANCHORARRAY(E4))) - 1)</f>
        <v>164.27800194226435</v>
      </c>
      <c r="F20" s="143">
        <v>154.16497702081645</v>
      </c>
      <c r="G20" s="184">
        <v>146.13231049104562</v>
      </c>
      <c r="H20" s="184"/>
      <c r="I20" s="184"/>
      <c r="J20" s="184"/>
      <c r="K20" s="184"/>
      <c r="L20" s="184"/>
      <c r="M20" s="184"/>
      <c r="N20" s="184"/>
      <c r="O20" s="184"/>
      <c r="P20" s="184"/>
      <c r="Q20" s="184"/>
      <c r="R20" s="184"/>
      <c r="S20" s="184"/>
      <c r="T20" s="184"/>
      <c r="U20" s="184"/>
      <c r="V20" s="184"/>
      <c r="W20" s="184"/>
      <c r="X20" s="184"/>
      <c r="Y20" s="184"/>
      <c r="Z20" s="184"/>
    </row>
    <row r="21" spans="1:26" ht="14.65" customHeight="1" x14ac:dyDescent="0.7">
      <c r="A21" s="14"/>
      <c r="B21" s="56" t="s">
        <v>2</v>
      </c>
      <c r="C21" s="50" t="s">
        <v>614</v>
      </c>
      <c r="D21" s="50"/>
      <c r="E21" s="184" cm="1">
        <f t="array" ref="E21:G21">INDEX(146:146, _xlfn.XMATCH(INDEX(_xlfn.ANCHORARRAY(E4),1,1), 33:33, 0) + _xlfn.SEQUENCE(1, COLUMNS(_xlfn.ANCHORARRAY(E4))) - 1)</f>
        <v>0.4917970039993555</v>
      </c>
      <c r="F21" s="184">
        <v>-1.7513179237631793</v>
      </c>
      <c r="G21" s="184">
        <v>-0.82100649195079434</v>
      </c>
      <c r="H21" s="184"/>
      <c r="I21" s="184"/>
      <c r="J21" s="184"/>
      <c r="K21" s="184"/>
      <c r="L21" s="184"/>
      <c r="M21" s="184"/>
      <c r="N21" s="184"/>
      <c r="O21" s="184"/>
      <c r="P21" s="184"/>
      <c r="Q21" s="184"/>
      <c r="R21" s="184"/>
      <c r="S21" s="184"/>
      <c r="T21" s="184"/>
      <c r="U21" s="184"/>
      <c r="V21" s="184"/>
      <c r="W21" s="184"/>
      <c r="X21" s="184"/>
      <c r="Y21" s="184"/>
      <c r="Z21" s="184"/>
    </row>
    <row r="22" spans="1:26" ht="20.25" customHeight="1" x14ac:dyDescent="0.7">
      <c r="A22" s="14"/>
      <c r="B22" s="56" t="s">
        <v>280</v>
      </c>
      <c r="C22" s="50" t="s">
        <v>644</v>
      </c>
      <c r="D22" s="50"/>
      <c r="E22" s="141" cm="1">
        <f t="array" ref="E22:G22">_xlfn.LET(
  _xlpm.pos,  _xlfn.XMATCH(INDEX(_xlfn.ANCHORARRAY(E4),1,1)+0, 33:33+0, 0) + _xlfn.SEQUENCE(1, COLUMNS(_xlfn.ANCHORARRAY(E4))),
  _xlpm.num,  INDEX(35:35, _xlpm.pos - 1),
  _xlpm.den,  INDEX(35:35, _xlpm.pos - 2),
  IF((_xlpm.num=0) + (_xlpm.den=0), "", 100*(_xlpm.num/_xlpm.den - 1))
)</f>
        <v>2.1358911863197383</v>
      </c>
      <c r="F22" s="141">
        <v>2.0865774054565467</v>
      </c>
      <c r="G22" s="182">
        <v>2.0730652469252542</v>
      </c>
      <c r="H22" s="182"/>
      <c r="I22" s="182"/>
      <c r="J22" s="182"/>
      <c r="K22" s="182"/>
      <c r="L22" s="182"/>
      <c r="M22" s="182"/>
      <c r="N22" s="182"/>
      <c r="O22" s="182"/>
      <c r="P22" s="182"/>
      <c r="Q22" s="182"/>
      <c r="R22" s="182"/>
      <c r="S22" s="182"/>
      <c r="T22" s="182"/>
      <c r="U22" s="182"/>
      <c r="V22" s="182"/>
      <c r="W22" s="182"/>
      <c r="X22" s="182"/>
      <c r="Y22" s="182"/>
      <c r="Z22" s="182"/>
    </row>
    <row r="23" spans="1:26" ht="14.65" customHeight="1" x14ac:dyDescent="0.7">
      <c r="A23" s="14"/>
      <c r="B23" s="56" t="s">
        <v>281</v>
      </c>
      <c r="C23" s="50" t="s">
        <v>644</v>
      </c>
      <c r="D23" s="50"/>
      <c r="E23" s="141" cm="1">
        <f t="array" ref="E23:G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6.2696911980743009</v>
      </c>
      <c r="F23" s="141">
        <v>3.2094021239268633</v>
      </c>
      <c r="G23" s="182">
        <v>2.7768191292891542</v>
      </c>
      <c r="H23" s="182"/>
      <c r="I23" s="182"/>
      <c r="J23" s="182"/>
      <c r="K23" s="182"/>
      <c r="L23" s="182"/>
      <c r="M23" s="182"/>
      <c r="N23" s="182"/>
      <c r="O23" s="182"/>
      <c r="P23" s="182"/>
      <c r="Q23" s="182"/>
      <c r="R23" s="182"/>
      <c r="S23" s="182"/>
      <c r="T23" s="182"/>
      <c r="U23" s="182"/>
      <c r="V23" s="182"/>
      <c r="W23" s="182"/>
      <c r="X23" s="182"/>
      <c r="Y23" s="182"/>
      <c r="Z23" s="182"/>
    </row>
    <row r="24" spans="1:26" ht="14.65" customHeight="1" x14ac:dyDescent="0.7">
      <c r="A24" s="14"/>
      <c r="B24" s="56" t="s">
        <v>282</v>
      </c>
      <c r="C24" s="50" t="s">
        <v>644</v>
      </c>
      <c r="D24" s="50"/>
      <c r="E24" s="141" cm="1">
        <f t="array" ref="E24:G24">_xlfn.LET(
  _xlpm.pos,  _xlfn.XMATCH(INDEX(_xlfn.ANCHORARRAY(E4),1,1)+0, 33:33+0, 0) + _xlfn.SEQUENCE(1, COLUMNS(_xlfn.ANCHORARRAY(E4))),
  _xlpm.num,  INDEX(34:34, _xlpm.pos - 1),
  _xlpm.den,  INDEX(34:34, _xlpm.pos - 2),
  IF((_xlpm.num=0) + (_xlpm.den=0), "", 100*(_xlpm.num/_xlpm.den - 1))
)</f>
        <v>8.5394961661031665</v>
      </c>
      <c r="F24" s="141">
        <v>5.3629461889515229</v>
      </c>
      <c r="G24" s="182">
        <v>4.9074496485536745</v>
      </c>
      <c r="H24" s="182"/>
      <c r="I24" s="182"/>
      <c r="J24" s="182"/>
      <c r="K24" s="182"/>
      <c r="L24" s="182"/>
      <c r="M24" s="182"/>
      <c r="N24" s="182"/>
      <c r="O24" s="182"/>
      <c r="P24" s="182"/>
      <c r="Q24" s="182"/>
      <c r="R24" s="182"/>
      <c r="S24" s="182"/>
      <c r="T24" s="182"/>
      <c r="U24" s="182"/>
      <c r="V24" s="182"/>
      <c r="W24" s="182"/>
      <c r="X24" s="182"/>
      <c r="Y24" s="182"/>
      <c r="Z24" s="182"/>
    </row>
    <row r="25" spans="1:26" ht="14.65" customHeight="1" x14ac:dyDescent="0.7">
      <c r="A25" s="14"/>
      <c r="B25" s="56" t="s">
        <v>283</v>
      </c>
      <c r="C25" s="45" t="s">
        <v>644</v>
      </c>
      <c r="D25" s="45"/>
      <c r="E25" s="141" cm="1">
        <f t="array" ref="E25:G25">_xlfn.LET(
  _xlpm.pos,  _xlfn.XMATCH(INDEX(_xlfn.ANCHORARRAY(E4),1,1)+0, 33:33+0, 0) + _xlfn.SEQUENCE(1, COLUMNS(_xlfn.ANCHORARRAY(E4))),
  _xlpm.num,  INDEX(90:90, _xlpm.pos - 1),
  _xlpm.den,  INDEX(90:90, _xlpm.pos - 2),
  IF((_xlpm.num=0) + (_xlpm.den=0), "", 100*(_xlpm.num/_xlpm.den - 1))
)</f>
        <v>0.41214777352651666</v>
      </c>
      <c r="F25" s="143">
        <v>0.89840122569280201</v>
      </c>
      <c r="G25" s="184">
        <v>1.6052979221115482</v>
      </c>
      <c r="H25" s="184"/>
      <c r="I25" s="184"/>
      <c r="J25" s="184"/>
      <c r="K25" s="184"/>
      <c r="L25" s="184"/>
      <c r="M25" s="184"/>
      <c r="N25" s="184"/>
      <c r="O25" s="184"/>
      <c r="P25" s="184"/>
      <c r="Q25" s="184"/>
      <c r="R25" s="184"/>
      <c r="S25" s="184"/>
      <c r="T25" s="184"/>
      <c r="U25" s="184"/>
      <c r="V25" s="184"/>
      <c r="W25" s="184"/>
      <c r="X25" s="184"/>
      <c r="Y25" s="184"/>
      <c r="Z25" s="184"/>
    </row>
    <row r="26" spans="1:26" ht="14.65" customHeight="1" x14ac:dyDescent="0.7">
      <c r="A26" s="14"/>
      <c r="B26" s="56" t="s">
        <v>272</v>
      </c>
      <c r="C26" s="45" t="s">
        <v>610</v>
      </c>
      <c r="D26" s="45"/>
      <c r="E26" s="143" cm="1">
        <f t="array" ref="E26:G26">_xlfn.LET(
  _xlpm.pos,   _xlfn.XMATCH(INDEX(_xlfn.ANCHORARRAY(E4),1,1)+0, 33:33+0, 0) + _xlfn.SEQUENCE(1, COLUMNS(_xlfn.ANCHORARRAY(E4))),
  _xlpm.rGDP,  INDEX(89:89, _xlpm.pos - 1),
  _xlpm.pGDP,  INDEX(90:90, _xlpm.pos - 1),
  IF((_xlpm.rGDP=0) + (_xlpm.pGDP=0), "", 100*(_xlpm.rGDP/_xlpm.pGDP - 1))
)</f>
        <v>1.0428730339908876</v>
      </c>
      <c r="F26" s="143">
        <v>2.2327473732196124</v>
      </c>
      <c r="G26" s="184">
        <v>2.7034073702548067</v>
      </c>
      <c r="H26" s="184"/>
      <c r="I26" s="184"/>
      <c r="J26" s="184"/>
      <c r="K26" s="184"/>
      <c r="L26" s="184"/>
      <c r="M26" s="184"/>
      <c r="N26" s="184"/>
      <c r="O26" s="184"/>
      <c r="P26" s="184"/>
      <c r="Q26" s="184"/>
      <c r="R26" s="184"/>
      <c r="S26" s="184"/>
      <c r="T26" s="184"/>
      <c r="U26" s="184"/>
      <c r="V26" s="184"/>
      <c r="W26" s="184"/>
      <c r="X26" s="184"/>
      <c r="Y26" s="184"/>
      <c r="Z26" s="184"/>
    </row>
    <row r="27" spans="1:26" x14ac:dyDescent="0.4">
      <c r="B27" s="43" t="s">
        <v>606</v>
      </c>
      <c r="C27" s="148" t="s">
        <v>646</v>
      </c>
      <c r="D27" s="148"/>
      <c r="E27" s="143" cm="1">
        <f t="array" ref="E27:G27">INDEX(34:34, _xlfn.XMATCH(INDEX(_xlfn.ANCHORARRAY(E4),1,1), 33:33, 0) + _xlfn.SEQUENCE(1, COLUMNS(_xlfn.ANCHORARRAY(E4))) - 1)/1000</f>
        <v>224.68620000000001</v>
      </c>
      <c r="F27" s="143">
        <v>236.73599999999999</v>
      </c>
      <c r="G27" s="184">
        <v>248.3537</v>
      </c>
      <c r="H27" s="184"/>
      <c r="I27" s="184"/>
      <c r="J27" s="184"/>
      <c r="K27" s="184"/>
      <c r="L27" s="184"/>
      <c r="M27" s="184"/>
      <c r="N27" s="184"/>
      <c r="O27" s="184"/>
      <c r="P27" s="184"/>
      <c r="Q27" s="184"/>
      <c r="R27" s="184"/>
      <c r="S27" s="184"/>
      <c r="T27" s="184"/>
      <c r="U27" s="184"/>
      <c r="V27" s="184"/>
      <c r="W27" s="184"/>
      <c r="X27" s="184"/>
      <c r="Y27" s="184"/>
      <c r="Z27" s="184"/>
    </row>
    <row r="28" spans="1:26" x14ac:dyDescent="0.4">
      <c r="C28" s="8"/>
      <c r="D28" s="8"/>
      <c r="F28" s="145"/>
      <c r="G28" s="145"/>
    </row>
    <row r="29" spans="1:26" ht="23.25" x14ac:dyDescent="0.7">
      <c r="A29" s="14" t="s">
        <v>839</v>
      </c>
      <c r="B29" s="8"/>
      <c r="C29" s="8"/>
    </row>
    <row r="30" spans="1:26" outlineLevel="1" x14ac:dyDescent="0.4">
      <c r="A30" s="151" t="s">
        <v>15</v>
      </c>
      <c r="B30" s="152" t="str">
        <f>Country</f>
        <v>Greece</v>
      </c>
      <c r="C30" s="8"/>
    </row>
    <row r="31" spans="1:26" outlineLevel="1" x14ac:dyDescent="0.4">
      <c r="A31" s="151" t="s">
        <v>871</v>
      </c>
      <c r="B31" s="258">
        <v>46179.855162037034</v>
      </c>
      <c r="C31" s="8"/>
    </row>
    <row r="32" spans="1:26" outlineLevel="1" x14ac:dyDescent="0.4">
      <c r="A32" s="151" t="s">
        <v>703</v>
      </c>
      <c r="B32" s="151" t="s">
        <v>704</v>
      </c>
    </row>
    <row r="33" spans="1:169" outlineLevel="1" x14ac:dyDescent="0.4">
      <c r="A33" s="151" t="s">
        <v>26</v>
      </c>
      <c r="B33" s="151" t="s">
        <v>16</v>
      </c>
      <c r="C33" t="s">
        <v>684</v>
      </c>
      <c r="D33" cm="1">
        <f t="array" ref="D33:G33">_xlfn.SEQUENCE(1, OutturnThrough-MTP_BaseYear+2, MTP_BaseYear-1)</f>
        <v>2022</v>
      </c>
      <c r="E33">
        <v>2023</v>
      </c>
      <c r="F33">
        <v>2024</v>
      </c>
      <c r="G33">
        <v>2025</v>
      </c>
    </row>
    <row r="34" spans="1:169" outlineLevel="1" x14ac:dyDescent="0.4">
      <c r="A34" t="s">
        <v>176</v>
      </c>
      <c r="B34" t="s">
        <v>90</v>
      </c>
      <c r="C34" t="s">
        <v>680</v>
      </c>
      <c r="D34" s="9">
        <v>207008.7</v>
      </c>
      <c r="E34" s="9">
        <v>224686.2</v>
      </c>
      <c r="F34">
        <v>236736</v>
      </c>
      <c r="G34">
        <v>248353.7</v>
      </c>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177</v>
      </c>
      <c r="B35" t="s">
        <v>90</v>
      </c>
      <c r="C35" t="s">
        <v>680</v>
      </c>
      <c r="D35" s="9">
        <v>200136.6</v>
      </c>
      <c r="E35" s="9">
        <v>204411.3</v>
      </c>
      <c r="F35">
        <v>208676.5</v>
      </c>
      <c r="G35">
        <v>213002.5</v>
      </c>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137</v>
      </c>
      <c r="B36" t="s">
        <v>136</v>
      </c>
      <c r="C36" t="s">
        <v>680</v>
      </c>
      <c r="D36" s="9">
        <v>188065.7</v>
      </c>
      <c r="E36" s="9">
        <v>199128.6</v>
      </c>
      <c r="F36">
        <v>206577.3</v>
      </c>
      <c r="G36">
        <v>216774.2</v>
      </c>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140</v>
      </c>
      <c r="B37" t="s">
        <v>139</v>
      </c>
      <c r="C37" t="s">
        <v>680</v>
      </c>
      <c r="D37" s="9">
        <v>101913.7</v>
      </c>
      <c r="E37" s="9">
        <v>98499.8</v>
      </c>
      <c r="F37">
        <v>99693.5</v>
      </c>
      <c r="G37">
        <v>98004.800000000003</v>
      </c>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142</v>
      </c>
      <c r="B38" t="s">
        <v>141</v>
      </c>
      <c r="C38" t="s">
        <v>680</v>
      </c>
      <c r="D38" s="9">
        <v>121907.9</v>
      </c>
      <c r="E38" s="9">
        <v>109270</v>
      </c>
      <c r="F38">
        <v>112839.8</v>
      </c>
      <c r="G38">
        <v>109250.4</v>
      </c>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332</v>
      </c>
      <c r="B39" t="s">
        <v>333</v>
      </c>
      <c r="C39" t="s">
        <v>680</v>
      </c>
      <c r="D39" s="9">
        <v>-19994.099999999999</v>
      </c>
      <c r="E39" s="9">
        <v>-10770.1</v>
      </c>
      <c r="F39">
        <v>-13146.4</v>
      </c>
      <c r="G39">
        <v>-11245.7</v>
      </c>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174</v>
      </c>
      <c r="B40" t="s">
        <v>175</v>
      </c>
      <c r="C40" t="s">
        <v>680</v>
      </c>
      <c r="D40" s="9">
        <v>167164.70000000001</v>
      </c>
      <c r="E40" s="9">
        <v>177102.6</v>
      </c>
      <c r="F40">
        <v>184298.3</v>
      </c>
      <c r="G40">
        <v>193666.2</v>
      </c>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150</v>
      </c>
      <c r="B41" t="s">
        <v>149</v>
      </c>
      <c r="C41" t="s">
        <v>680</v>
      </c>
      <c r="D41" s="9">
        <v>32544.5</v>
      </c>
      <c r="E41" s="9">
        <v>35689.699999999997</v>
      </c>
      <c r="F41">
        <v>37971.300000000003</v>
      </c>
      <c r="G41">
        <v>41925.1</v>
      </c>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152</v>
      </c>
      <c r="B42" t="s">
        <v>151</v>
      </c>
      <c r="C42" t="s">
        <v>680</v>
      </c>
      <c r="D42" s="9">
        <v>6330.9</v>
      </c>
      <c r="E42" s="9">
        <v>471.4</v>
      </c>
      <c r="F42">
        <v>5192</v>
      </c>
      <c r="G42">
        <v>721.7</v>
      </c>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154</v>
      </c>
      <c r="B43" t="s">
        <v>153</v>
      </c>
      <c r="C43" t="s">
        <v>680</v>
      </c>
      <c r="D43" s="9">
        <v>61.7</v>
      </c>
      <c r="E43" s="9">
        <v>166.8</v>
      </c>
      <c r="F43">
        <v>141.69999999999999</v>
      </c>
      <c r="G43">
        <v>178.3</v>
      </c>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627</v>
      </c>
      <c r="B44" t="s">
        <v>155</v>
      </c>
      <c r="C44" t="s">
        <v>680</v>
      </c>
      <c r="D44" s="9">
        <v>6392.6</v>
      </c>
      <c r="E44" s="9">
        <v>638.20000000000005</v>
      </c>
      <c r="F44">
        <v>5333.7</v>
      </c>
      <c r="G44">
        <v>900</v>
      </c>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166</v>
      </c>
      <c r="B45" t="s">
        <v>171</v>
      </c>
      <c r="C45" t="s">
        <v>680</v>
      </c>
      <c r="D45" s="9">
        <v>146877.70000000001</v>
      </c>
      <c r="E45" s="9">
        <v>155442.79999999999</v>
      </c>
      <c r="F45">
        <v>162570.79999999999</v>
      </c>
      <c r="G45">
        <v>171484.79999999999</v>
      </c>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167</v>
      </c>
      <c r="B46" t="s">
        <v>172</v>
      </c>
      <c r="C46" t="s">
        <v>680</v>
      </c>
      <c r="D46" s="9">
        <v>144007.4</v>
      </c>
      <c r="E46" s="9">
        <v>152523.9</v>
      </c>
      <c r="F46">
        <v>159572</v>
      </c>
      <c r="G46">
        <v>168321.5</v>
      </c>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168</v>
      </c>
      <c r="B47" t="s">
        <v>173</v>
      </c>
      <c r="C47" t="s">
        <v>680</v>
      </c>
      <c r="D47" s="9">
        <v>2870.2</v>
      </c>
      <c r="E47" s="9">
        <v>2918.9</v>
      </c>
      <c r="F47">
        <v>2998.7</v>
      </c>
      <c r="G47">
        <v>3163.2</v>
      </c>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92</v>
      </c>
      <c r="B48" t="s">
        <v>91</v>
      </c>
      <c r="C48" t="s">
        <v>685</v>
      </c>
      <c r="D48" s="9">
        <v>-5324</v>
      </c>
      <c r="E48" s="9">
        <v>-3213</v>
      </c>
      <c r="F48">
        <v>3189</v>
      </c>
      <c r="G48">
        <v>4290</v>
      </c>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94</v>
      </c>
      <c r="B49" t="s">
        <v>93</v>
      </c>
      <c r="C49" t="s">
        <v>685</v>
      </c>
      <c r="D49" s="9">
        <v>22740</v>
      </c>
      <c r="E49" s="9">
        <v>23487</v>
      </c>
      <c r="F49">
        <v>24541</v>
      </c>
      <c r="G49">
        <v>25237</v>
      </c>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351</v>
      </c>
      <c r="B50" t="s">
        <v>352</v>
      </c>
      <c r="C50" t="s">
        <v>685</v>
      </c>
      <c r="D50" s="9">
        <v>39510</v>
      </c>
      <c r="E50" s="9">
        <v>38430</v>
      </c>
      <c r="F50">
        <v>40195</v>
      </c>
      <c r="G50">
        <v>42621</v>
      </c>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349</v>
      </c>
      <c r="B51" t="s">
        <v>350</v>
      </c>
      <c r="C51" t="s">
        <v>685</v>
      </c>
      <c r="D51" s="9">
        <v>11796</v>
      </c>
      <c r="E51" s="9">
        <v>4497</v>
      </c>
      <c r="F51">
        <v>3382</v>
      </c>
      <c r="G51">
        <v>3296</v>
      </c>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96</v>
      </c>
      <c r="B52" t="s">
        <v>95</v>
      </c>
      <c r="C52" t="s">
        <v>685</v>
      </c>
      <c r="D52" s="9">
        <v>5167</v>
      </c>
      <c r="E52" s="9">
        <v>7617</v>
      </c>
      <c r="F52">
        <v>8231</v>
      </c>
      <c r="G52">
        <v>7847</v>
      </c>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98</v>
      </c>
      <c r="B53" t="s">
        <v>97</v>
      </c>
      <c r="C53" t="s">
        <v>685</v>
      </c>
      <c r="D53" s="9">
        <v>1331</v>
      </c>
      <c r="E53" s="9">
        <v>2368</v>
      </c>
      <c r="F53">
        <v>2472</v>
      </c>
      <c r="G53">
        <v>1914</v>
      </c>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100</v>
      </c>
      <c r="B54" t="s">
        <v>99</v>
      </c>
      <c r="C54" t="s">
        <v>685</v>
      </c>
      <c r="D54" s="9">
        <v>43</v>
      </c>
      <c r="E54" s="9">
        <v>78</v>
      </c>
      <c r="F54">
        <v>72</v>
      </c>
      <c r="G54">
        <v>61</v>
      </c>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101</v>
      </c>
      <c r="B55" t="s">
        <v>163</v>
      </c>
      <c r="C55" t="s">
        <v>685</v>
      </c>
      <c r="D55" s="9">
        <v>19151</v>
      </c>
      <c r="E55" s="9">
        <v>22802</v>
      </c>
      <c r="F55">
        <v>26397</v>
      </c>
      <c r="G55">
        <v>27474</v>
      </c>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103</v>
      </c>
      <c r="B56" t="s">
        <v>102</v>
      </c>
      <c r="C56" t="s">
        <v>685</v>
      </c>
      <c r="D56" s="9">
        <v>2940</v>
      </c>
      <c r="E56" s="9">
        <v>2953</v>
      </c>
      <c r="F56">
        <v>3417</v>
      </c>
      <c r="G56">
        <v>3502</v>
      </c>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105</v>
      </c>
      <c r="B57" t="s">
        <v>104</v>
      </c>
      <c r="C57" t="s">
        <v>685</v>
      </c>
      <c r="D57" s="9">
        <v>3662</v>
      </c>
      <c r="E57" s="9">
        <v>2692</v>
      </c>
      <c r="F57">
        <v>3175</v>
      </c>
      <c r="G57">
        <v>2904</v>
      </c>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631</v>
      </c>
      <c r="B58" t="s">
        <v>633</v>
      </c>
      <c r="C58" t="s">
        <v>685</v>
      </c>
      <c r="D58" s="9">
        <v>496</v>
      </c>
      <c r="E58" s="9">
        <v>601</v>
      </c>
      <c r="F58">
        <v>609</v>
      </c>
      <c r="G58">
        <v>641</v>
      </c>
    </row>
    <row r="59" spans="1:169" outlineLevel="1" x14ac:dyDescent="0.4">
      <c r="A59" t="s">
        <v>107</v>
      </c>
      <c r="B59" t="s">
        <v>106</v>
      </c>
      <c r="C59" t="s">
        <v>685</v>
      </c>
      <c r="D59" s="9">
        <v>0</v>
      </c>
      <c r="E59" s="9">
        <v>0</v>
      </c>
      <c r="F59">
        <v>0</v>
      </c>
      <c r="G59">
        <v>0</v>
      </c>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160</v>
      </c>
      <c r="B60" t="s">
        <v>108</v>
      </c>
      <c r="C60" t="s">
        <v>685</v>
      </c>
      <c r="D60" s="9">
        <v>3772</v>
      </c>
      <c r="E60" s="9">
        <v>5251</v>
      </c>
      <c r="F60">
        <v>5469</v>
      </c>
      <c r="G60">
        <v>6272</v>
      </c>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161</v>
      </c>
      <c r="B61" t="s">
        <v>162</v>
      </c>
      <c r="C61" t="s">
        <v>685</v>
      </c>
      <c r="D61" s="9">
        <v>5398</v>
      </c>
      <c r="E61" s="9">
        <v>5653</v>
      </c>
      <c r="F61">
        <v>6011</v>
      </c>
      <c r="G61">
        <v>8457</v>
      </c>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632</v>
      </c>
      <c r="B62" t="s">
        <v>634</v>
      </c>
      <c r="C62" t="s">
        <v>685</v>
      </c>
      <c r="D62" s="9">
        <v>4290</v>
      </c>
      <c r="E62" s="9">
        <v>5063</v>
      </c>
      <c r="F62">
        <v>5264</v>
      </c>
      <c r="G62">
        <v>7789</v>
      </c>
    </row>
    <row r="63" spans="1:169" outlineLevel="1" x14ac:dyDescent="0.4">
      <c r="A63" t="s">
        <v>679</v>
      </c>
      <c r="B63" t="s">
        <v>109</v>
      </c>
      <c r="C63" t="s">
        <v>685</v>
      </c>
      <c r="D63" s="9">
        <v>16005</v>
      </c>
      <c r="E63" s="9">
        <v>16618</v>
      </c>
      <c r="F63">
        <v>17517</v>
      </c>
      <c r="G63">
        <v>18098</v>
      </c>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111</v>
      </c>
      <c r="B64" t="s">
        <v>110</v>
      </c>
      <c r="C64" t="s">
        <v>685</v>
      </c>
      <c r="D64" s="9">
        <v>80</v>
      </c>
      <c r="E64" s="9">
        <v>80</v>
      </c>
      <c r="F64">
        <v>91</v>
      </c>
      <c r="G64">
        <v>116</v>
      </c>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113</v>
      </c>
      <c r="B65" t="s">
        <v>112</v>
      </c>
      <c r="C65" t="s">
        <v>685</v>
      </c>
      <c r="D65" s="9">
        <v>6484</v>
      </c>
      <c r="E65" s="9">
        <v>6571</v>
      </c>
      <c r="F65">
        <v>6592</v>
      </c>
      <c r="G65">
        <v>6352</v>
      </c>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115</v>
      </c>
      <c r="B66" t="s">
        <v>114</v>
      </c>
      <c r="C66" t="s">
        <v>685</v>
      </c>
      <c r="D66" s="9">
        <v>3107</v>
      </c>
      <c r="E66" s="9">
        <v>1283</v>
      </c>
      <c r="F66">
        <v>1301</v>
      </c>
      <c r="G66">
        <v>1303</v>
      </c>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156</v>
      </c>
      <c r="B67" t="s">
        <v>157</v>
      </c>
      <c r="C67" t="s">
        <v>685</v>
      </c>
      <c r="D67" s="9">
        <v>0</v>
      </c>
      <c r="E67" s="9">
        <v>0</v>
      </c>
      <c r="F67">
        <v>0</v>
      </c>
      <c r="G67">
        <v>0</v>
      </c>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117</v>
      </c>
      <c r="B68" t="s">
        <v>116</v>
      </c>
      <c r="C68" t="s">
        <v>685</v>
      </c>
      <c r="D68" s="9">
        <v>5162</v>
      </c>
      <c r="E68" s="9">
        <v>7612</v>
      </c>
      <c r="F68">
        <v>8225</v>
      </c>
      <c r="G68">
        <v>7841</v>
      </c>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119</v>
      </c>
      <c r="B69" t="s">
        <v>118</v>
      </c>
      <c r="C69" t="s">
        <v>685</v>
      </c>
      <c r="D69" s="9">
        <v>385</v>
      </c>
      <c r="E69" s="9">
        <v>1374</v>
      </c>
      <c r="F69">
        <v>1723</v>
      </c>
      <c r="G69">
        <v>1175</v>
      </c>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121</v>
      </c>
      <c r="B70" t="s">
        <v>120</v>
      </c>
      <c r="C70" t="s">
        <v>685</v>
      </c>
      <c r="D70" s="9">
        <v>29041</v>
      </c>
      <c r="E70" s="9">
        <v>29219</v>
      </c>
      <c r="F70">
        <v>31519</v>
      </c>
      <c r="G70">
        <v>32504</v>
      </c>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123</v>
      </c>
      <c r="B71" t="s">
        <v>122</v>
      </c>
      <c r="C71" t="s">
        <v>685</v>
      </c>
      <c r="D71" s="9">
        <v>37164</v>
      </c>
      <c r="E71" s="9">
        <v>38785</v>
      </c>
      <c r="F71">
        <v>39639</v>
      </c>
      <c r="G71">
        <v>40757</v>
      </c>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125</v>
      </c>
      <c r="B72" t="s">
        <v>124</v>
      </c>
      <c r="C72" t="s">
        <v>685</v>
      </c>
      <c r="D72" s="9">
        <v>6146</v>
      </c>
      <c r="E72" s="9">
        <v>7148</v>
      </c>
      <c r="F72">
        <v>6639</v>
      </c>
      <c r="G72">
        <v>6901</v>
      </c>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127</v>
      </c>
      <c r="B73" t="s">
        <v>126</v>
      </c>
      <c r="C73" t="s">
        <v>685</v>
      </c>
      <c r="D73" s="9">
        <v>262</v>
      </c>
      <c r="E73" s="9">
        <v>259</v>
      </c>
      <c r="F73">
        <v>268</v>
      </c>
      <c r="G73">
        <v>294</v>
      </c>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159</v>
      </c>
      <c r="B74" t="s">
        <v>158</v>
      </c>
      <c r="C74" t="s">
        <v>685</v>
      </c>
      <c r="D74" s="9">
        <v>4681</v>
      </c>
      <c r="E74" s="9">
        <v>5104</v>
      </c>
      <c r="F74">
        <v>5499</v>
      </c>
      <c r="G74">
        <v>7934</v>
      </c>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129</v>
      </c>
      <c r="B75" t="s">
        <v>128</v>
      </c>
      <c r="C75" t="s">
        <v>685</v>
      </c>
      <c r="D75" s="9">
        <v>5136</v>
      </c>
      <c r="E75" s="9">
        <v>5394</v>
      </c>
      <c r="F75">
        <v>5743</v>
      </c>
      <c r="G75">
        <v>8163</v>
      </c>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131</v>
      </c>
      <c r="B76" t="s">
        <v>130</v>
      </c>
      <c r="C76" t="s">
        <v>685</v>
      </c>
      <c r="D76" s="9">
        <v>700</v>
      </c>
      <c r="E76" s="9">
        <v>1432</v>
      </c>
      <c r="F76">
        <v>1700</v>
      </c>
      <c r="G76">
        <v>1901</v>
      </c>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133</v>
      </c>
      <c r="B77" t="s">
        <v>132</v>
      </c>
      <c r="C77" t="s">
        <v>685</v>
      </c>
      <c r="D77" s="9">
        <v>455</v>
      </c>
      <c r="E77" s="9">
        <v>290</v>
      </c>
      <c r="F77">
        <v>244</v>
      </c>
      <c r="G77">
        <v>229</v>
      </c>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135</v>
      </c>
      <c r="B78" t="s">
        <v>134</v>
      </c>
      <c r="C78" t="s">
        <v>685</v>
      </c>
      <c r="D78" s="9">
        <v>69</v>
      </c>
      <c r="E78" s="9">
        <v>73</v>
      </c>
      <c r="F78">
        <v>75</v>
      </c>
      <c r="G78">
        <v>34</v>
      </c>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393</v>
      </c>
      <c r="B79" t="s">
        <v>626</v>
      </c>
      <c r="C79" t="s">
        <v>685</v>
      </c>
      <c r="D79" s="9">
        <v>11319</v>
      </c>
      <c r="E79" s="9">
        <v>12364</v>
      </c>
      <c r="F79">
        <v>12222</v>
      </c>
      <c r="G79">
        <v>14059</v>
      </c>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137</v>
      </c>
      <c r="B80" t="s">
        <v>138</v>
      </c>
      <c r="C80" t="s">
        <v>685</v>
      </c>
      <c r="D80" s="9">
        <v>40956</v>
      </c>
      <c r="E80" s="9">
        <v>43708</v>
      </c>
      <c r="F80">
        <v>44014</v>
      </c>
      <c r="G80">
        <v>45833</v>
      </c>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687</v>
      </c>
      <c r="B81" t="s">
        <v>169</v>
      </c>
      <c r="C81" t="s">
        <v>685</v>
      </c>
      <c r="D81" s="9">
        <v>20629</v>
      </c>
      <c r="E81" s="9">
        <v>21890</v>
      </c>
      <c r="F81">
        <v>21560</v>
      </c>
      <c r="G81">
        <v>22431</v>
      </c>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688</v>
      </c>
      <c r="B82" t="s">
        <v>170</v>
      </c>
      <c r="C82" t="s">
        <v>685</v>
      </c>
      <c r="D82" s="9">
        <v>20327</v>
      </c>
      <c r="E82" s="9">
        <v>21818</v>
      </c>
      <c r="F82">
        <v>22454</v>
      </c>
      <c r="G82">
        <v>23402</v>
      </c>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689</v>
      </c>
      <c r="B83" t="s">
        <v>149</v>
      </c>
      <c r="C83" t="s">
        <v>685</v>
      </c>
      <c r="D83" s="9">
        <v>8234</v>
      </c>
      <c r="E83" s="9">
        <v>9056</v>
      </c>
      <c r="F83">
        <v>10067</v>
      </c>
      <c r="G83">
        <v>11854</v>
      </c>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627</v>
      </c>
      <c r="B84" t="s">
        <v>628</v>
      </c>
      <c r="C84" t="s">
        <v>685</v>
      </c>
      <c r="D84" s="9">
        <v>425</v>
      </c>
      <c r="E84" s="9">
        <v>-134</v>
      </c>
      <c r="F84">
        <v>25</v>
      </c>
      <c r="G84">
        <v>-61</v>
      </c>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144</v>
      </c>
      <c r="B85" t="s">
        <v>143</v>
      </c>
      <c r="C85" t="s">
        <v>685</v>
      </c>
      <c r="D85" s="9">
        <v>275</v>
      </c>
      <c r="E85" s="9">
        <v>284</v>
      </c>
      <c r="F85">
        <v>321</v>
      </c>
      <c r="G85">
        <v>346</v>
      </c>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146</v>
      </c>
      <c r="B86" t="s">
        <v>145</v>
      </c>
      <c r="C86" t="s">
        <v>685</v>
      </c>
      <c r="D86" s="9">
        <v>1675</v>
      </c>
      <c r="E86" s="9">
        <v>1852</v>
      </c>
      <c r="F86">
        <v>2010</v>
      </c>
      <c r="G86">
        <v>2023</v>
      </c>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148</v>
      </c>
      <c r="B87" t="s">
        <v>147</v>
      </c>
      <c r="C87" t="s">
        <v>685</v>
      </c>
      <c r="D87" s="147">
        <v>4528</v>
      </c>
      <c r="E87" s="147">
        <v>4742</v>
      </c>
      <c r="F87">
        <v>4959</v>
      </c>
      <c r="G87">
        <v>5922</v>
      </c>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164</v>
      </c>
      <c r="B88" t="s">
        <v>165</v>
      </c>
      <c r="C88" t="s">
        <v>686</v>
      </c>
      <c r="D88" s="9">
        <v>368005</v>
      </c>
      <c r="E88" s="9">
        <v>369110</v>
      </c>
      <c r="F88">
        <v>364964</v>
      </c>
      <c r="G88">
        <v>362925</v>
      </c>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691</v>
      </c>
      <c r="B89" t="s">
        <v>295</v>
      </c>
      <c r="C89" t="s">
        <v>683</v>
      </c>
      <c r="D89" s="9">
        <v>192091.41</v>
      </c>
      <c r="E89" s="9">
        <v>196194.31</v>
      </c>
      <c r="F89" s="9">
        <v>200288.05</v>
      </c>
      <c r="G89" s="9">
        <v>204440.16</v>
      </c>
      <c r="H89" s="9"/>
      <c r="I89" s="9"/>
      <c r="J89" s="9"/>
      <c r="K89" s="9"/>
      <c r="L89" s="9"/>
      <c r="M89" s="9"/>
      <c r="N89" s="9"/>
      <c r="O89" s="9"/>
      <c r="P89" s="9"/>
      <c r="Q89" s="9"/>
      <c r="R89" s="9"/>
      <c r="S89" s="9"/>
      <c r="T89" s="9"/>
      <c r="U89" s="9"/>
      <c r="V89" s="9"/>
      <c r="W89" s="9"/>
      <c r="X89" s="9"/>
      <c r="Y89" s="9"/>
      <c r="Z89" s="9"/>
    </row>
    <row r="90" spans="1:169" outlineLevel="1" x14ac:dyDescent="0.4">
      <c r="A90" t="s">
        <v>692</v>
      </c>
      <c r="B90" t="s">
        <v>294</v>
      </c>
      <c r="C90" t="s">
        <v>683</v>
      </c>
      <c r="D90" s="9">
        <v>193372.38999999998</v>
      </c>
      <c r="E90" s="9">
        <v>194169.37</v>
      </c>
      <c r="F90" s="9">
        <v>195913.79</v>
      </c>
      <c r="G90" s="9">
        <v>199058.78999999998</v>
      </c>
      <c r="H90" s="9"/>
      <c r="I90" s="9"/>
      <c r="J90" s="9"/>
      <c r="K90" s="9"/>
      <c r="L90" s="9"/>
      <c r="M90" s="9"/>
      <c r="N90" s="9"/>
      <c r="O90" s="9"/>
      <c r="P90" s="9"/>
      <c r="Q90" s="9"/>
      <c r="R90" s="9"/>
      <c r="S90" s="9"/>
      <c r="T90" s="9"/>
      <c r="U90" s="9"/>
      <c r="V90" s="9"/>
      <c r="W90" s="9"/>
      <c r="X90" s="9"/>
      <c r="Y90" s="9"/>
      <c r="Z90" s="9"/>
    </row>
    <row r="91" spans="1:169" outlineLevel="1" x14ac:dyDescent="0.4">
      <c r="A91" t="s">
        <v>693</v>
      </c>
      <c r="B91" t="s">
        <v>615</v>
      </c>
      <c r="C91" t="s">
        <v>681</v>
      </c>
      <c r="D91" s="9">
        <v>1018.9999999999999</v>
      </c>
      <c r="E91" s="9">
        <v>864</v>
      </c>
      <c r="F91" s="9">
        <v>572</v>
      </c>
      <c r="G91" s="9">
        <v>1326</v>
      </c>
      <c r="H91" s="9"/>
      <c r="I91" s="9"/>
      <c r="J91" s="9"/>
      <c r="K91" s="9"/>
      <c r="L91" s="9"/>
      <c r="M91" s="9"/>
      <c r="N91" s="9"/>
      <c r="O91" s="9"/>
      <c r="P91" s="9"/>
      <c r="Q91" s="9"/>
      <c r="R91" s="9"/>
      <c r="S91" s="9"/>
      <c r="T91" s="9"/>
      <c r="U91" s="9"/>
      <c r="V91" s="9"/>
      <c r="W91" s="9"/>
      <c r="X91" s="9"/>
      <c r="Y91" s="9"/>
      <c r="Z91" s="9"/>
    </row>
    <row r="92" spans="1:169" outlineLevel="1" x14ac:dyDescent="0.4">
      <c r="A92" t="s">
        <v>694</v>
      </c>
      <c r="B92" t="s">
        <v>616</v>
      </c>
      <c r="C92" t="s">
        <v>681</v>
      </c>
      <c r="D92" s="9">
        <v>5368</v>
      </c>
      <c r="E92" s="9">
        <v>5049</v>
      </c>
      <c r="F92" s="9">
        <v>5288</v>
      </c>
      <c r="G92" s="9">
        <v>5986</v>
      </c>
      <c r="H92" s="9"/>
      <c r="I92" s="9"/>
      <c r="J92" s="9"/>
      <c r="K92" s="9"/>
      <c r="L92" s="9"/>
      <c r="M92" s="9"/>
      <c r="N92" s="9"/>
      <c r="O92" s="9"/>
      <c r="P92" s="9"/>
      <c r="Q92" s="9"/>
      <c r="R92" s="9"/>
      <c r="S92" s="9"/>
      <c r="T92" s="9"/>
      <c r="U92" s="9"/>
      <c r="V92" s="9"/>
      <c r="W92" s="9"/>
      <c r="X92" s="9"/>
      <c r="Y92" s="9"/>
      <c r="Z92" s="9"/>
    </row>
    <row r="93" spans="1:169" outlineLevel="1" x14ac:dyDescent="0.4">
      <c r="A93" t="s">
        <v>695</v>
      </c>
      <c r="B93" t="s">
        <v>617</v>
      </c>
      <c r="C93" t="s">
        <v>681</v>
      </c>
      <c r="D93" s="9"/>
      <c r="E93" s="9">
        <v>739</v>
      </c>
      <c r="F93" s="9">
        <v>705</v>
      </c>
      <c r="G93" s="9">
        <v>780</v>
      </c>
      <c r="H93" s="9"/>
      <c r="I93" s="9"/>
      <c r="J93" s="9"/>
      <c r="K93" s="9"/>
      <c r="L93" s="9"/>
      <c r="M93" s="9"/>
      <c r="N93" s="9"/>
      <c r="O93" s="9"/>
      <c r="P93" s="9"/>
      <c r="Q93" s="9"/>
      <c r="R93" s="9"/>
      <c r="S93" s="9"/>
      <c r="T93" s="9"/>
      <c r="U93" s="9"/>
      <c r="V93" s="9"/>
      <c r="W93" s="9"/>
      <c r="X93" s="9"/>
      <c r="Y93" s="9"/>
      <c r="Z93" s="9"/>
    </row>
    <row r="94" spans="1:169" outlineLevel="1" x14ac:dyDescent="0.4">
      <c r="A94" t="s">
        <v>696</v>
      </c>
      <c r="B94" t="s">
        <v>650</v>
      </c>
      <c r="C94" t="s">
        <v>681</v>
      </c>
      <c r="D94" s="9"/>
      <c r="E94" s="9"/>
      <c r="F94" s="9">
        <v>1995</v>
      </c>
      <c r="G94" s="9">
        <v>960</v>
      </c>
      <c r="H94" s="9"/>
      <c r="I94" s="9"/>
      <c r="J94" s="9"/>
      <c r="K94" s="9"/>
      <c r="L94" s="9"/>
      <c r="M94" s="9"/>
      <c r="N94" s="9"/>
      <c r="O94" s="9"/>
      <c r="P94" s="9"/>
      <c r="Q94" s="9"/>
      <c r="R94" s="9"/>
      <c r="S94" s="9"/>
      <c r="T94" s="9"/>
      <c r="U94" s="9"/>
      <c r="V94" s="9"/>
      <c r="W94" s="9"/>
      <c r="X94" s="9"/>
      <c r="Y94" s="9"/>
      <c r="Z94" s="9"/>
    </row>
    <row r="95" spans="1:169" outlineLevel="1" x14ac:dyDescent="0.4">
      <c r="A95" t="s">
        <v>697</v>
      </c>
      <c r="B95" t="s">
        <v>619</v>
      </c>
      <c r="C95" t="s">
        <v>681</v>
      </c>
      <c r="D95" s="9"/>
      <c r="E95" s="9">
        <v>5664</v>
      </c>
      <c r="F95" s="9">
        <v>5873</v>
      </c>
      <c r="G95" s="9">
        <v>8430</v>
      </c>
      <c r="H95" s="9"/>
      <c r="I95" s="9"/>
      <c r="J95" s="9"/>
      <c r="K95" s="9"/>
      <c r="L95" s="9"/>
      <c r="M95" s="9"/>
      <c r="N95" s="9"/>
      <c r="O95" s="9"/>
      <c r="P95" s="9"/>
      <c r="Q95" s="9"/>
      <c r="R95" s="9"/>
      <c r="S95" s="9"/>
      <c r="T95" s="9"/>
      <c r="U95" s="9"/>
      <c r="V95" s="9"/>
      <c r="W95" s="9"/>
      <c r="X95" s="9"/>
      <c r="Y95" s="9"/>
      <c r="Z95" s="9"/>
    </row>
    <row r="96" spans="1:169" outlineLevel="1" x14ac:dyDescent="0.4">
      <c r="A96" t="s">
        <v>698</v>
      </c>
      <c r="B96" t="s">
        <v>621</v>
      </c>
      <c r="C96" t="s">
        <v>681</v>
      </c>
      <c r="D96" s="9"/>
      <c r="E96" s="9">
        <v>295.45999999999998</v>
      </c>
      <c r="F96" s="9">
        <v>149.57999999999998</v>
      </c>
      <c r="G96" s="9">
        <v>-21.49</v>
      </c>
      <c r="H96" s="9"/>
      <c r="I96" s="9"/>
      <c r="J96" s="9"/>
      <c r="K96" s="9"/>
      <c r="L96" s="9"/>
      <c r="M96" s="9"/>
      <c r="N96" s="9"/>
      <c r="O96" s="9"/>
      <c r="P96" s="9"/>
      <c r="Q96" s="9"/>
      <c r="R96" s="9"/>
      <c r="S96" s="9"/>
      <c r="T96" s="9"/>
      <c r="U96" s="9"/>
      <c r="V96" s="9"/>
      <c r="W96" s="9"/>
      <c r="X96" s="9"/>
      <c r="Y96" s="9"/>
      <c r="Z96" s="9"/>
    </row>
    <row r="97" spans="1:26" outlineLevel="1" x14ac:dyDescent="0.4">
      <c r="A97" t="s">
        <v>699</v>
      </c>
      <c r="B97" t="s">
        <v>620</v>
      </c>
      <c r="C97" t="s">
        <v>681</v>
      </c>
      <c r="D97" s="9">
        <v>-151</v>
      </c>
      <c r="E97" s="9">
        <v>-302</v>
      </c>
      <c r="F97" s="9">
        <v>-400</v>
      </c>
      <c r="G97" s="9">
        <v>-436</v>
      </c>
      <c r="H97" s="9"/>
      <c r="I97" s="9"/>
      <c r="J97" s="9"/>
      <c r="K97" s="9"/>
      <c r="L97" s="9"/>
      <c r="M97" s="9"/>
      <c r="N97" s="9"/>
      <c r="O97" s="9"/>
      <c r="P97" s="9"/>
      <c r="Q97" s="9"/>
      <c r="R97" s="9"/>
      <c r="S97" s="9"/>
      <c r="T97" s="9"/>
      <c r="U97" s="9"/>
      <c r="V97" s="9"/>
      <c r="W97" s="9"/>
      <c r="X97" s="9"/>
      <c r="Y97" s="9"/>
      <c r="Z97" s="9"/>
    </row>
    <row r="98" spans="1:26" outlineLevel="1" x14ac:dyDescent="0.4">
      <c r="A98" t="s">
        <v>690</v>
      </c>
      <c r="B98" t="s">
        <v>701</v>
      </c>
      <c r="C98" t="s">
        <v>682</v>
      </c>
      <c r="D98" s="9">
        <v>-2.7577699999999998</v>
      </c>
      <c r="E98" s="9">
        <v>-1.84205</v>
      </c>
      <c r="F98" s="9">
        <v>0.34606999999999999</v>
      </c>
      <c r="G98" s="9">
        <v>0.48633999999999999</v>
      </c>
      <c r="H98" s="9"/>
      <c r="I98" s="9"/>
      <c r="J98" s="9"/>
      <c r="K98" s="9"/>
      <c r="L98" s="9"/>
      <c r="M98" s="9"/>
      <c r="N98" s="9"/>
      <c r="O98" s="9"/>
      <c r="P98" s="9"/>
      <c r="Q98" s="9"/>
      <c r="R98" s="9"/>
      <c r="S98" s="9"/>
      <c r="T98" s="9"/>
      <c r="U98" s="9"/>
      <c r="V98" s="9"/>
      <c r="W98" s="9"/>
      <c r="X98" s="9"/>
      <c r="Y98" s="9"/>
      <c r="Z98" s="9"/>
    </row>
    <row r="99" spans="1:26" outlineLevel="1" x14ac:dyDescent="0.4">
      <c r="A99" t="s">
        <v>700</v>
      </c>
      <c r="B99" t="s">
        <v>702</v>
      </c>
      <c r="C99" t="s">
        <v>682</v>
      </c>
      <c r="D99" s="9">
        <v>-0.26416000000000001</v>
      </c>
      <c r="E99" s="9">
        <v>1.54579</v>
      </c>
      <c r="F99" s="9">
        <v>3.8204099999999999</v>
      </c>
      <c r="G99" s="9">
        <v>3.6435300000000002</v>
      </c>
      <c r="H99" s="9"/>
      <c r="I99" s="9"/>
      <c r="J99" s="9"/>
      <c r="K99" s="9"/>
      <c r="L99" s="9"/>
      <c r="M99" s="9"/>
      <c r="N99" s="9"/>
      <c r="O99" s="9"/>
      <c r="P99" s="9"/>
      <c r="Q99" s="9"/>
      <c r="R99" s="9"/>
      <c r="S99" s="9"/>
      <c r="T99" s="9"/>
      <c r="U99" s="9"/>
      <c r="V99" s="9"/>
      <c r="W99" s="9"/>
      <c r="X99" s="9"/>
      <c r="Y99" s="9"/>
      <c r="Z99" s="9"/>
    </row>
    <row r="101" spans="1:26" ht="23.25" x14ac:dyDescent="0.7">
      <c r="A101" s="14" t="s">
        <v>629</v>
      </c>
    </row>
    <row r="102" spans="1:26" ht="15.75" outlineLevel="1" x14ac:dyDescent="0.5">
      <c r="A102" s="80" t="s">
        <v>331</v>
      </c>
      <c r="B102" s="37"/>
    </row>
    <row r="103" spans="1:26" outlineLevel="1" x14ac:dyDescent="0.4">
      <c r="A103" s="1" t="s">
        <v>212</v>
      </c>
      <c r="B103" s="1"/>
      <c r="C103" s="1" t="s">
        <v>31</v>
      </c>
      <c r="D103" s="64" cm="1">
        <f t="array" ref="D103:G103">_xlfn.SEQUENCE(1, OutturnThrough-MTP_BaseYear+2, MTP_BaseYear-1)</f>
        <v>2022</v>
      </c>
      <c r="E103" s="64">
        <v>2023</v>
      </c>
      <c r="F103" s="64">
        <v>2024</v>
      </c>
      <c r="G103" s="64">
        <v>2025</v>
      </c>
      <c r="H103" s="64"/>
      <c r="I103" s="64"/>
      <c r="J103" s="64"/>
      <c r="K103" s="64"/>
      <c r="L103" s="64"/>
      <c r="M103" s="64"/>
      <c r="N103" s="64"/>
      <c r="O103" s="64"/>
      <c r="P103" s="64"/>
      <c r="Q103" s="64"/>
      <c r="R103" s="64"/>
      <c r="S103" s="64"/>
      <c r="T103" s="64"/>
      <c r="U103" s="64"/>
      <c r="V103" s="64"/>
      <c r="W103" s="64"/>
      <c r="X103" s="64"/>
      <c r="Y103" s="64"/>
      <c r="Z103" s="64"/>
    </row>
    <row r="104" spans="1:26" outlineLevel="1" x14ac:dyDescent="0.4">
      <c r="A104" s="1"/>
      <c r="B104" s="1" t="s">
        <v>255</v>
      </c>
      <c r="C104" s="1"/>
      <c r="D104" s="64" t="str" cm="1">
        <f t="array" ref="D104:G104">IF(_xlfn.ANCHORARRAY(D103) = MTP_YearT, "T", "T" &amp; IF(_xlfn.ANCHORARRAY(D103) &gt; MTP_YearT, "+", "") &amp; (_xlfn.ANCHORARRAY(D103) - MTP_YearT))</f>
        <v>T-2</v>
      </c>
      <c r="E104" s="64" t="str">
        <v>T-1</v>
      </c>
      <c r="F104" s="64" t="str">
        <v>T</v>
      </c>
      <c r="G104" s="64" t="str">
        <v>T+1</v>
      </c>
      <c r="H104" s="64"/>
      <c r="I104" s="64"/>
      <c r="J104" s="64"/>
      <c r="K104" s="64"/>
      <c r="L104" s="64"/>
      <c r="M104" s="64"/>
      <c r="N104" s="64"/>
      <c r="O104" s="64"/>
      <c r="P104" s="64"/>
      <c r="Q104" s="64"/>
      <c r="R104" s="64"/>
      <c r="S104" s="64"/>
      <c r="T104" s="64"/>
      <c r="U104" s="64"/>
      <c r="V104" s="64"/>
      <c r="W104" s="64"/>
      <c r="X104" s="64"/>
      <c r="Y104" s="64"/>
      <c r="Z104" s="64"/>
    </row>
    <row r="105" spans="1:26" outlineLevel="1" x14ac:dyDescent="0.4">
      <c r="A105" s="1"/>
      <c r="B105" s="1" t="s">
        <v>30</v>
      </c>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outlineLevel="1" x14ac:dyDescent="0.4">
      <c r="A106" s="1">
        <v>1</v>
      </c>
      <c r="B106" t="s">
        <v>32</v>
      </c>
      <c r="C106" t="s">
        <v>72</v>
      </c>
      <c r="D106" s="4">
        <f t="shared" ref="D106:D115" si="0">IFERROR(D160/D$34*100,"")</f>
        <v>19.086154350034562</v>
      </c>
      <c r="E106" s="4">
        <f t="shared" ref="E106:K106" si="1">IFERROR(E160/E$34*100,"")</f>
        <v>17.103854175289804</v>
      </c>
      <c r="F106" s="4">
        <f t="shared" si="1"/>
        <v>16.97882873749662</v>
      </c>
      <c r="G106" s="4">
        <f t="shared" si="1"/>
        <v>17.161411325863074</v>
      </c>
      <c r="H106" s="4" t="str">
        <f t="shared" si="1"/>
        <v/>
      </c>
      <c r="I106" s="4" t="str">
        <f t="shared" si="1"/>
        <v/>
      </c>
      <c r="J106" s="4" t="str">
        <f t="shared" si="1"/>
        <v/>
      </c>
      <c r="K106" s="4" t="str">
        <f t="shared" si="1"/>
        <v/>
      </c>
      <c r="L106" s="4" t="str">
        <f t="shared" ref="L106:Z106" si="2">IFERROR(L160/L$34*100,"")</f>
        <v/>
      </c>
      <c r="M106" s="4" t="str">
        <f t="shared" si="2"/>
        <v/>
      </c>
      <c r="N106" s="4" t="str">
        <f t="shared" si="2"/>
        <v/>
      </c>
      <c r="O106" s="4" t="str">
        <f t="shared" si="2"/>
        <v/>
      </c>
      <c r="P106" s="4" t="str">
        <f t="shared" si="2"/>
        <v/>
      </c>
      <c r="Q106" s="4" t="str">
        <f t="shared" si="2"/>
        <v/>
      </c>
      <c r="R106" s="4" t="str">
        <f t="shared" si="2"/>
        <v/>
      </c>
      <c r="S106" s="4" t="str">
        <f t="shared" si="2"/>
        <v/>
      </c>
      <c r="T106" s="4" t="str">
        <f t="shared" si="2"/>
        <v/>
      </c>
      <c r="U106" s="4" t="str">
        <f t="shared" si="2"/>
        <v/>
      </c>
      <c r="V106" s="4" t="str">
        <f t="shared" si="2"/>
        <v/>
      </c>
      <c r="W106" s="4" t="str">
        <f t="shared" si="2"/>
        <v/>
      </c>
      <c r="X106" s="4" t="str">
        <f t="shared" si="2"/>
        <v/>
      </c>
      <c r="Y106" s="4" t="str">
        <f t="shared" si="2"/>
        <v/>
      </c>
      <c r="Z106" s="4" t="str">
        <f t="shared" si="2"/>
        <v/>
      </c>
    </row>
    <row r="107" spans="1:26" outlineLevel="1" x14ac:dyDescent="0.4">
      <c r="A107" s="1">
        <v>2</v>
      </c>
      <c r="B107" t="s">
        <v>33</v>
      </c>
      <c r="C107" t="s">
        <v>73</v>
      </c>
      <c r="D107" s="4">
        <f t="shared" si="0"/>
        <v>9.2513019984184233</v>
      </c>
      <c r="E107" s="4">
        <f t="shared" ref="E107:K107" si="3">IFERROR(E161/E$34*100,"")</f>
        <v>10.148375823704347</v>
      </c>
      <c r="F107" s="4">
        <f t="shared" si="3"/>
        <v>11.150395377128953</v>
      </c>
      <c r="G107" s="4">
        <f t="shared" si="3"/>
        <v>11.062448435437039</v>
      </c>
      <c r="H107" s="4" t="str">
        <f t="shared" si="3"/>
        <v/>
      </c>
      <c r="I107" s="4" t="str">
        <f t="shared" si="3"/>
        <v/>
      </c>
      <c r="J107" s="4" t="str">
        <f t="shared" si="3"/>
        <v/>
      </c>
      <c r="K107" s="4" t="str">
        <f t="shared" si="3"/>
        <v/>
      </c>
      <c r="L107" s="4" t="str">
        <f t="shared" ref="L107:Z107" si="4">IFERROR(L161/L$34*100,"")</f>
        <v/>
      </c>
      <c r="M107" s="4" t="str">
        <f t="shared" si="4"/>
        <v/>
      </c>
      <c r="N107" s="4" t="str">
        <f t="shared" si="4"/>
        <v/>
      </c>
      <c r="O107" s="4" t="str">
        <f t="shared" si="4"/>
        <v/>
      </c>
      <c r="P107" s="4" t="str">
        <f t="shared" si="4"/>
        <v/>
      </c>
      <c r="Q107" s="4" t="str">
        <f t="shared" si="4"/>
        <v/>
      </c>
      <c r="R107" s="4" t="str">
        <f t="shared" si="4"/>
        <v/>
      </c>
      <c r="S107" s="4" t="str">
        <f t="shared" si="4"/>
        <v/>
      </c>
      <c r="T107" s="4" t="str">
        <f t="shared" si="4"/>
        <v/>
      </c>
      <c r="U107" s="4" t="str">
        <f t="shared" si="4"/>
        <v/>
      </c>
      <c r="V107" s="4" t="str">
        <f t="shared" si="4"/>
        <v/>
      </c>
      <c r="W107" s="4" t="str">
        <f t="shared" si="4"/>
        <v/>
      </c>
      <c r="X107" s="4" t="str">
        <f t="shared" si="4"/>
        <v/>
      </c>
      <c r="Y107" s="4" t="str">
        <f t="shared" si="4"/>
        <v/>
      </c>
      <c r="Z107" s="4" t="str">
        <f t="shared" si="4"/>
        <v/>
      </c>
    </row>
    <row r="108" spans="1:26" outlineLevel="1" x14ac:dyDescent="0.4">
      <c r="A108" s="1">
        <v>3</v>
      </c>
      <c r="B108" t="s">
        <v>34</v>
      </c>
      <c r="C108" t="s">
        <v>74</v>
      </c>
      <c r="D108" s="4">
        <f t="shared" si="0"/>
        <v>14.028878979482503</v>
      </c>
      <c r="E108" s="4">
        <f t="shared" ref="E108:K108" si="5">IFERROR(E162/E$34*100,"")</f>
        <v>13.004358968196533</v>
      </c>
      <c r="F108" s="4">
        <f t="shared" si="5"/>
        <v>13.313986888348204</v>
      </c>
      <c r="G108" s="4">
        <f t="shared" si="5"/>
        <v>13.087785686301432</v>
      </c>
      <c r="H108" s="4" t="str">
        <f t="shared" si="5"/>
        <v/>
      </c>
      <c r="I108" s="4" t="str">
        <f t="shared" si="5"/>
        <v/>
      </c>
      <c r="J108" s="4" t="str">
        <f t="shared" si="5"/>
        <v/>
      </c>
      <c r="K108" s="4" t="str">
        <f t="shared" si="5"/>
        <v/>
      </c>
      <c r="L108" s="4" t="str">
        <f t="shared" ref="L108:Z108" si="6">IFERROR(L162/L$34*100,"")</f>
        <v/>
      </c>
      <c r="M108" s="4" t="str">
        <f t="shared" si="6"/>
        <v/>
      </c>
      <c r="N108" s="4" t="str">
        <f t="shared" si="6"/>
        <v/>
      </c>
      <c r="O108" s="4" t="str">
        <f t="shared" si="6"/>
        <v/>
      </c>
      <c r="P108" s="4" t="str">
        <f t="shared" si="6"/>
        <v/>
      </c>
      <c r="Q108" s="4" t="str">
        <f t="shared" si="6"/>
        <v/>
      </c>
      <c r="R108" s="4" t="str">
        <f t="shared" si="6"/>
        <v/>
      </c>
      <c r="S108" s="4" t="str">
        <f t="shared" si="6"/>
        <v/>
      </c>
      <c r="T108" s="4" t="str">
        <f t="shared" si="6"/>
        <v/>
      </c>
      <c r="U108" s="4" t="str">
        <f t="shared" si="6"/>
        <v/>
      </c>
      <c r="V108" s="4" t="str">
        <f t="shared" si="6"/>
        <v/>
      </c>
      <c r="W108" s="4" t="str">
        <f t="shared" si="6"/>
        <v/>
      </c>
      <c r="X108" s="4" t="str">
        <f t="shared" si="6"/>
        <v/>
      </c>
      <c r="Y108" s="4" t="str">
        <f t="shared" si="6"/>
        <v/>
      </c>
      <c r="Z108" s="4" t="str">
        <f t="shared" si="6"/>
        <v/>
      </c>
    </row>
    <row r="109" spans="1:26" outlineLevel="1" x14ac:dyDescent="0.4">
      <c r="A109" s="1">
        <v>4</v>
      </c>
      <c r="B109" t="s">
        <v>36</v>
      </c>
      <c r="C109" t="s">
        <v>75</v>
      </c>
      <c r="D109" s="4">
        <f t="shared" si="0"/>
        <v>5.5413129979561244</v>
      </c>
      <c r="E109" s="4">
        <f t="shared" ref="E109:K109" si="7">IFERROR(E163/E$34*100,"")</f>
        <v>5.3131879038410013</v>
      </c>
      <c r="F109" s="4">
        <f t="shared" si="7"/>
        <v>5.4647370911057047</v>
      </c>
      <c r="G109" s="4">
        <f t="shared" si="7"/>
        <v>5.2783590500161663</v>
      </c>
      <c r="H109" s="4" t="str">
        <f t="shared" si="7"/>
        <v/>
      </c>
      <c r="I109" s="4" t="str">
        <f t="shared" si="7"/>
        <v/>
      </c>
      <c r="J109" s="4" t="str">
        <f t="shared" si="7"/>
        <v/>
      </c>
      <c r="K109" s="4" t="str">
        <f t="shared" si="7"/>
        <v/>
      </c>
      <c r="L109" s="4" t="str">
        <f t="shared" ref="L109:Z109" si="8">IFERROR(L163/L$34*100,"")</f>
        <v/>
      </c>
      <c r="M109" s="4" t="str">
        <f t="shared" si="8"/>
        <v/>
      </c>
      <c r="N109" s="4" t="str">
        <f t="shared" si="8"/>
        <v/>
      </c>
      <c r="O109" s="4" t="str">
        <f t="shared" si="8"/>
        <v/>
      </c>
      <c r="P109" s="4" t="str">
        <f t="shared" si="8"/>
        <v/>
      </c>
      <c r="Q109" s="4" t="str">
        <f t="shared" si="8"/>
        <v/>
      </c>
      <c r="R109" s="4" t="str">
        <f t="shared" si="8"/>
        <v/>
      </c>
      <c r="S109" s="4" t="str">
        <f t="shared" si="8"/>
        <v/>
      </c>
      <c r="T109" s="4" t="str">
        <f t="shared" si="8"/>
        <v/>
      </c>
      <c r="U109" s="4" t="str">
        <f t="shared" si="8"/>
        <v/>
      </c>
      <c r="V109" s="4" t="str">
        <f t="shared" si="8"/>
        <v/>
      </c>
      <c r="W109" s="4" t="str">
        <f t="shared" si="8"/>
        <v/>
      </c>
      <c r="X109" s="4" t="str">
        <f t="shared" si="8"/>
        <v/>
      </c>
      <c r="Y109" s="4" t="str">
        <f t="shared" si="8"/>
        <v/>
      </c>
      <c r="Z109" s="4" t="str">
        <f t="shared" si="8"/>
        <v/>
      </c>
    </row>
    <row r="110" spans="1:26" outlineLevel="1" x14ac:dyDescent="0.4">
      <c r="A110" s="1">
        <v>5</v>
      </c>
      <c r="B110" t="s">
        <v>37</v>
      </c>
      <c r="C110" t="s">
        <v>76</v>
      </c>
      <c r="D110" s="4">
        <f t="shared" si="0"/>
        <v>0.12656472892202114</v>
      </c>
      <c r="E110" s="4">
        <f t="shared" ref="E110:K110" si="9">IFERROR(E164/E$34*100,"")</f>
        <v>0.11527187695550506</v>
      </c>
      <c r="F110" s="4">
        <f t="shared" si="9"/>
        <v>0.11320627196539604</v>
      </c>
      <c r="G110" s="4">
        <f t="shared" si="9"/>
        <v>0.11837955303263047</v>
      </c>
      <c r="H110" s="4" t="str">
        <f t="shared" si="9"/>
        <v/>
      </c>
      <c r="I110" s="4" t="str">
        <f t="shared" si="9"/>
        <v/>
      </c>
      <c r="J110" s="4" t="str">
        <f t="shared" si="9"/>
        <v/>
      </c>
      <c r="K110" s="4" t="str">
        <f t="shared" si="9"/>
        <v/>
      </c>
      <c r="L110" s="4" t="str">
        <f t="shared" ref="L110:Z110" si="10">IFERROR(L164/L$34*100,"")</f>
        <v/>
      </c>
      <c r="M110" s="4" t="str">
        <f t="shared" si="10"/>
        <v/>
      </c>
      <c r="N110" s="4" t="str">
        <f t="shared" si="10"/>
        <v/>
      </c>
      <c r="O110" s="4" t="str">
        <f t="shared" si="10"/>
        <v/>
      </c>
      <c r="P110" s="4" t="str">
        <f t="shared" si="10"/>
        <v/>
      </c>
      <c r="Q110" s="4" t="str">
        <f t="shared" si="10"/>
        <v/>
      </c>
      <c r="R110" s="4" t="str">
        <f t="shared" si="10"/>
        <v/>
      </c>
      <c r="S110" s="4" t="str">
        <f t="shared" si="10"/>
        <v/>
      </c>
      <c r="T110" s="4" t="str">
        <f t="shared" si="10"/>
        <v/>
      </c>
      <c r="U110" s="4" t="str">
        <f t="shared" si="10"/>
        <v/>
      </c>
      <c r="V110" s="4" t="str">
        <f t="shared" si="10"/>
        <v/>
      </c>
      <c r="W110" s="4" t="str">
        <f t="shared" si="10"/>
        <v/>
      </c>
      <c r="X110" s="4" t="str">
        <f t="shared" si="10"/>
        <v/>
      </c>
      <c r="Y110" s="4" t="str">
        <f t="shared" si="10"/>
        <v/>
      </c>
      <c r="Z110" s="4" t="str">
        <f t="shared" si="10"/>
        <v/>
      </c>
    </row>
    <row r="111" spans="1:26" outlineLevel="1" x14ac:dyDescent="0.4">
      <c r="A111" s="1">
        <v>6</v>
      </c>
      <c r="B111" t="s">
        <v>38</v>
      </c>
      <c r="C111" t="s">
        <v>77</v>
      </c>
      <c r="D111" s="4">
        <f t="shared" si="0"/>
        <v>2.4810551440591624</v>
      </c>
      <c r="E111" s="4">
        <f t="shared" ref="E111:K111" si="11">IFERROR(E165/E$34*100,"")</f>
        <v>2.4006814837760393</v>
      </c>
      <c r="F111" s="4">
        <f t="shared" si="11"/>
        <v>2.4259090294674235</v>
      </c>
      <c r="G111" s="4">
        <f t="shared" si="11"/>
        <v>3.2868445285896684</v>
      </c>
      <c r="H111" s="4" t="str">
        <f t="shared" si="11"/>
        <v/>
      </c>
      <c r="I111" s="4" t="str">
        <f t="shared" si="11"/>
        <v/>
      </c>
      <c r="J111" s="4" t="str">
        <f t="shared" si="11"/>
        <v/>
      </c>
      <c r="K111" s="4" t="str">
        <f t="shared" si="11"/>
        <v/>
      </c>
      <c r="L111" s="4" t="str">
        <f t="shared" ref="L111:Z111" si="12">IFERROR(L165/L$34*100,"")</f>
        <v/>
      </c>
      <c r="M111" s="4" t="str">
        <f t="shared" si="12"/>
        <v/>
      </c>
      <c r="N111" s="4" t="str">
        <f t="shared" si="12"/>
        <v/>
      </c>
      <c r="O111" s="4" t="str">
        <f t="shared" si="12"/>
        <v/>
      </c>
      <c r="P111" s="4" t="str">
        <f t="shared" si="12"/>
        <v/>
      </c>
      <c r="Q111" s="4" t="str">
        <f t="shared" si="12"/>
        <v/>
      </c>
      <c r="R111" s="4" t="str">
        <f t="shared" si="12"/>
        <v/>
      </c>
      <c r="S111" s="4" t="str">
        <f t="shared" si="12"/>
        <v/>
      </c>
      <c r="T111" s="4" t="str">
        <f t="shared" si="12"/>
        <v/>
      </c>
      <c r="U111" s="4" t="str">
        <f t="shared" si="12"/>
        <v/>
      </c>
      <c r="V111" s="4" t="str">
        <f t="shared" si="12"/>
        <v/>
      </c>
      <c r="W111" s="4" t="str">
        <f t="shared" si="12"/>
        <v/>
      </c>
      <c r="X111" s="4" t="str">
        <f t="shared" si="12"/>
        <v/>
      </c>
      <c r="Y111" s="4" t="str">
        <f t="shared" si="12"/>
        <v/>
      </c>
      <c r="Z111" s="4" t="str">
        <f t="shared" si="12"/>
        <v/>
      </c>
    </row>
    <row r="112" spans="1:26" outlineLevel="1" x14ac:dyDescent="0.4">
      <c r="A112" s="1">
        <v>7</v>
      </c>
      <c r="B112" t="s">
        <v>39</v>
      </c>
      <c r="C112" t="s">
        <v>78</v>
      </c>
      <c r="D112" s="4">
        <f t="shared" si="0"/>
        <v>50.515268198872796</v>
      </c>
      <c r="E112" s="4">
        <f t="shared" ref="E112:K112" si="13">IFERROR(E166/E$34*100,"")</f>
        <v>48.085730231763229</v>
      </c>
      <c r="F112" s="4">
        <f t="shared" si="13"/>
        <v>49.447063395512302</v>
      </c>
      <c r="G112" s="4">
        <f t="shared" si="13"/>
        <v>49.995228579240006</v>
      </c>
      <c r="H112" s="4" t="str">
        <f t="shared" si="13"/>
        <v/>
      </c>
      <c r="I112" s="4" t="str">
        <f t="shared" si="13"/>
        <v/>
      </c>
      <c r="J112" s="4" t="str">
        <f t="shared" si="13"/>
        <v/>
      </c>
      <c r="K112" s="4" t="str">
        <f t="shared" si="13"/>
        <v/>
      </c>
      <c r="L112" s="4" t="str">
        <f t="shared" ref="L112:Z112" si="14">IFERROR(L166/L$34*100,"")</f>
        <v/>
      </c>
      <c r="M112" s="4" t="str">
        <f t="shared" si="14"/>
        <v/>
      </c>
      <c r="N112" s="4" t="str">
        <f t="shared" si="14"/>
        <v/>
      </c>
      <c r="O112" s="4" t="str">
        <f t="shared" si="14"/>
        <v/>
      </c>
      <c r="P112" s="4" t="str">
        <f t="shared" si="14"/>
        <v/>
      </c>
      <c r="Q112" s="4" t="str">
        <f t="shared" si="14"/>
        <v/>
      </c>
      <c r="R112" s="4" t="str">
        <f t="shared" si="14"/>
        <v/>
      </c>
      <c r="S112" s="4" t="str">
        <f t="shared" si="14"/>
        <v/>
      </c>
      <c r="T112" s="4" t="str">
        <f t="shared" si="14"/>
        <v/>
      </c>
      <c r="U112" s="4" t="str">
        <f t="shared" si="14"/>
        <v/>
      </c>
      <c r="V112" s="4" t="str">
        <f t="shared" si="14"/>
        <v/>
      </c>
      <c r="W112" s="4" t="str">
        <f t="shared" si="14"/>
        <v/>
      </c>
      <c r="X112" s="4" t="str">
        <f t="shared" si="14"/>
        <v/>
      </c>
      <c r="Y112" s="4" t="str">
        <f t="shared" si="14"/>
        <v/>
      </c>
      <c r="Z112" s="4" t="str">
        <f t="shared" si="14"/>
        <v/>
      </c>
    </row>
    <row r="113" spans="1:26" outlineLevel="1" x14ac:dyDescent="0.4">
      <c r="A113" s="1">
        <v>8</v>
      </c>
      <c r="B113" s="2" t="s">
        <v>40</v>
      </c>
      <c r="C113" t="s">
        <v>79</v>
      </c>
      <c r="D113" s="4">
        <f t="shared" si="0"/>
        <v>2.3119801245068445</v>
      </c>
      <c r="E113" s="4">
        <f t="shared" ref="E113:K113" si="15">IFERROR(E167/E$34*100,"")</f>
        <v>2.5208490775134389</v>
      </c>
      <c r="F113" s="4">
        <f t="shared" si="15"/>
        <v>2.4808225195998919</v>
      </c>
      <c r="G113" s="4">
        <f t="shared" si="15"/>
        <v>3.3943524900172615</v>
      </c>
      <c r="H113" s="4" t="str">
        <f t="shared" si="15"/>
        <v/>
      </c>
      <c r="I113" s="4" t="str">
        <f t="shared" si="15"/>
        <v/>
      </c>
      <c r="J113" s="4" t="str">
        <f t="shared" si="15"/>
        <v/>
      </c>
      <c r="K113" s="4" t="str">
        <f t="shared" si="15"/>
        <v/>
      </c>
      <c r="L113" s="4" t="str">
        <f t="shared" ref="L113:Z113" si="16">IFERROR(L167/L$34*100,"")</f>
        <v/>
      </c>
      <c r="M113" s="4" t="str">
        <f t="shared" si="16"/>
        <v/>
      </c>
      <c r="N113" s="4" t="str">
        <f t="shared" si="16"/>
        <v/>
      </c>
      <c r="O113" s="4" t="str">
        <f t="shared" si="16"/>
        <v/>
      </c>
      <c r="P113" s="4" t="str">
        <f t="shared" si="16"/>
        <v/>
      </c>
      <c r="Q113" s="4" t="str">
        <f t="shared" si="16"/>
        <v/>
      </c>
      <c r="R113" s="4" t="str">
        <f t="shared" si="16"/>
        <v/>
      </c>
      <c r="S113" s="4" t="str">
        <f t="shared" si="16"/>
        <v/>
      </c>
      <c r="T113" s="4" t="str">
        <f t="shared" si="16"/>
        <v/>
      </c>
      <c r="U113" s="4" t="str">
        <f t="shared" si="16"/>
        <v/>
      </c>
      <c r="V113" s="4" t="str">
        <f t="shared" si="16"/>
        <v/>
      </c>
      <c r="W113" s="4" t="str">
        <f t="shared" si="16"/>
        <v/>
      </c>
      <c r="X113" s="4" t="str">
        <f t="shared" si="16"/>
        <v/>
      </c>
      <c r="Y113" s="4" t="str">
        <f t="shared" si="16"/>
        <v/>
      </c>
      <c r="Z113" s="4" t="str">
        <f t="shared" si="16"/>
        <v/>
      </c>
    </row>
    <row r="114" spans="1:26" outlineLevel="1" x14ac:dyDescent="0.4">
      <c r="A114" s="1">
        <v>9</v>
      </c>
      <c r="B114" t="s">
        <v>41</v>
      </c>
      <c r="D114" s="4">
        <f t="shared" si="0"/>
        <v>48.20328807436595</v>
      </c>
      <c r="E114" s="4">
        <f t="shared" ref="E114:K114" si="17">IFERROR(E168/E$34*100,"")</f>
        <v>45.56488115424979</v>
      </c>
      <c r="F114" s="4">
        <f t="shared" si="17"/>
        <v>46.966240875912405</v>
      </c>
      <c r="G114" s="4">
        <f t="shared" si="17"/>
        <v>46.600876089222751</v>
      </c>
      <c r="H114" s="4" t="str">
        <f t="shared" si="17"/>
        <v/>
      </c>
      <c r="I114" s="4" t="str">
        <f t="shared" si="17"/>
        <v/>
      </c>
      <c r="J114" s="4" t="str">
        <f t="shared" si="17"/>
        <v/>
      </c>
      <c r="K114" s="4" t="str">
        <f t="shared" si="17"/>
        <v/>
      </c>
      <c r="L114" s="4" t="str">
        <f t="shared" ref="L114:Z114" si="18">IFERROR(L168/L$34*100,"")</f>
        <v/>
      </c>
      <c r="M114" s="4" t="str">
        <f t="shared" si="18"/>
        <v/>
      </c>
      <c r="N114" s="4" t="str">
        <f t="shared" si="18"/>
        <v/>
      </c>
      <c r="O114" s="4" t="str">
        <f t="shared" si="18"/>
        <v/>
      </c>
      <c r="P114" s="4" t="str">
        <f t="shared" si="18"/>
        <v/>
      </c>
      <c r="Q114" s="4" t="str">
        <f t="shared" si="18"/>
        <v/>
      </c>
      <c r="R114" s="4" t="str">
        <f t="shared" si="18"/>
        <v/>
      </c>
      <c r="S114" s="4" t="str">
        <f t="shared" si="18"/>
        <v/>
      </c>
      <c r="T114" s="4" t="str">
        <f t="shared" si="18"/>
        <v/>
      </c>
      <c r="U114" s="4" t="str">
        <f t="shared" si="18"/>
        <v/>
      </c>
      <c r="V114" s="4" t="str">
        <f t="shared" si="18"/>
        <v/>
      </c>
      <c r="W114" s="4" t="str">
        <f t="shared" si="18"/>
        <v/>
      </c>
      <c r="X114" s="4" t="str">
        <f t="shared" si="18"/>
        <v/>
      </c>
      <c r="Y114" s="4" t="str">
        <f t="shared" si="18"/>
        <v/>
      </c>
      <c r="Z114" s="4" t="str">
        <f t="shared" si="18"/>
        <v/>
      </c>
    </row>
    <row r="115" spans="1:26" outlineLevel="1" x14ac:dyDescent="0.4">
      <c r="A115" s="1">
        <v>10</v>
      </c>
      <c r="B115" t="s">
        <v>42</v>
      </c>
      <c r="D115" s="4">
        <f t="shared" si="0"/>
        <v>0</v>
      </c>
      <c r="E115" s="4">
        <f t="shared" ref="E115:K115" si="19">IFERROR(E169/E$34*100,"")</f>
        <v>0</v>
      </c>
      <c r="F115" s="4">
        <f t="shared" si="19"/>
        <v>0.84271086780210869</v>
      </c>
      <c r="G115" s="4">
        <f t="shared" si="19"/>
        <v>0</v>
      </c>
      <c r="H115" s="4" t="str">
        <f t="shared" si="19"/>
        <v/>
      </c>
      <c r="I115" s="4" t="str">
        <f t="shared" si="19"/>
        <v/>
      </c>
      <c r="J115" s="4" t="str">
        <f t="shared" si="19"/>
        <v/>
      </c>
      <c r="K115" s="4" t="str">
        <f t="shared" si="19"/>
        <v/>
      </c>
      <c r="L115" s="4" t="str">
        <f t="shared" ref="L115:Z115" si="20">IFERROR(L169/L$34*100,"")</f>
        <v/>
      </c>
      <c r="M115" s="4" t="str">
        <f t="shared" si="20"/>
        <v/>
      </c>
      <c r="N115" s="4" t="str">
        <f t="shared" si="20"/>
        <v/>
      </c>
      <c r="O115" s="4" t="str">
        <f t="shared" si="20"/>
        <v/>
      </c>
      <c r="P115" s="4" t="str">
        <f t="shared" si="20"/>
        <v/>
      </c>
      <c r="Q115" s="4" t="str">
        <f t="shared" si="20"/>
        <v/>
      </c>
      <c r="R115" s="4" t="str">
        <f t="shared" si="20"/>
        <v/>
      </c>
      <c r="S115" s="4" t="str">
        <f t="shared" si="20"/>
        <v/>
      </c>
      <c r="T115" s="4" t="str">
        <f t="shared" si="20"/>
        <v/>
      </c>
      <c r="U115" s="4" t="str">
        <f t="shared" si="20"/>
        <v/>
      </c>
      <c r="V115" s="4" t="str">
        <f t="shared" si="20"/>
        <v/>
      </c>
      <c r="W115" s="4" t="str">
        <f t="shared" si="20"/>
        <v/>
      </c>
      <c r="X115" s="4" t="str">
        <f t="shared" si="20"/>
        <v/>
      </c>
      <c r="Y115" s="4" t="str">
        <f t="shared" si="20"/>
        <v/>
      </c>
      <c r="Z115" s="4" t="str">
        <f t="shared" si="20"/>
        <v/>
      </c>
    </row>
    <row r="116" spans="1:26" outlineLevel="1" x14ac:dyDescent="0.4">
      <c r="A116" s="1">
        <v>11</v>
      </c>
      <c r="B116" t="s">
        <v>43</v>
      </c>
      <c r="D116" s="4">
        <f>IFERROR(D171/D$34*100,"")</f>
        <v>0</v>
      </c>
      <c r="E116" s="4">
        <f t="shared" ref="E116:K116" si="21">IFERROR(E171/E$34*100,"")</f>
        <v>0</v>
      </c>
      <c r="F116" s="4">
        <f t="shared" si="21"/>
        <v>4.22411462557448E-4</v>
      </c>
      <c r="G116" s="4">
        <f t="shared" si="21"/>
        <v>8.0530308185462903E-4</v>
      </c>
      <c r="H116" s="4" t="str">
        <f t="shared" si="21"/>
        <v/>
      </c>
      <c r="I116" s="4" t="str">
        <f t="shared" si="21"/>
        <v/>
      </c>
      <c r="J116" s="4" t="str">
        <f t="shared" si="21"/>
        <v/>
      </c>
      <c r="K116" s="4" t="str">
        <f t="shared" si="21"/>
        <v/>
      </c>
      <c r="L116" s="4" t="str">
        <f t="shared" ref="L116:Z116" si="22">IFERROR(L171/L$34*100,"")</f>
        <v/>
      </c>
      <c r="M116" s="4" t="str">
        <f t="shared" si="22"/>
        <v/>
      </c>
      <c r="N116" s="4" t="str">
        <f t="shared" si="22"/>
        <v/>
      </c>
      <c r="O116" s="4" t="str">
        <f t="shared" si="22"/>
        <v/>
      </c>
      <c r="P116" s="4" t="str">
        <f t="shared" si="22"/>
        <v/>
      </c>
      <c r="Q116" s="4" t="str">
        <f t="shared" si="22"/>
        <v/>
      </c>
      <c r="R116" s="4" t="str">
        <f t="shared" si="22"/>
        <v/>
      </c>
      <c r="S116" s="4" t="str">
        <f t="shared" si="22"/>
        <v/>
      </c>
      <c r="T116" s="4" t="str">
        <f t="shared" si="22"/>
        <v/>
      </c>
      <c r="U116" s="4" t="str">
        <f t="shared" si="22"/>
        <v/>
      </c>
      <c r="V116" s="4" t="str">
        <f t="shared" si="22"/>
        <v/>
      </c>
      <c r="W116" s="4" t="str">
        <f t="shared" si="22"/>
        <v/>
      </c>
      <c r="X116" s="4" t="str">
        <f t="shared" si="22"/>
        <v/>
      </c>
      <c r="Y116" s="4" t="str">
        <f t="shared" si="22"/>
        <v/>
      </c>
      <c r="Z116" s="4" t="str">
        <f t="shared" si="22"/>
        <v/>
      </c>
    </row>
    <row r="117" spans="1:26" outlineLevel="1" x14ac:dyDescent="0.4">
      <c r="A117" s="1"/>
      <c r="B117" s="1" t="s">
        <v>29</v>
      </c>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outlineLevel="1" x14ac:dyDescent="0.4">
      <c r="A118" s="1">
        <v>12</v>
      </c>
      <c r="B118" t="s">
        <v>44</v>
      </c>
      <c r="C118" t="s">
        <v>5</v>
      </c>
      <c r="D118" s="4">
        <f t="shared" ref="D118:D129" si="23">IFERROR(D173/D$34*100,"")</f>
        <v>10.985045556056338</v>
      </c>
      <c r="E118" s="4">
        <f t="shared" ref="E118:K118" si="24">IFERROR(E173/E$34*100,"")</f>
        <v>10.45324545966775</v>
      </c>
      <c r="F118" s="4">
        <f t="shared" si="24"/>
        <v>10.366399702622331</v>
      </c>
      <c r="G118" s="4">
        <f t="shared" si="24"/>
        <v>10.161716938382636</v>
      </c>
      <c r="H118" s="4" t="str">
        <f t="shared" si="24"/>
        <v/>
      </c>
      <c r="I118" s="4" t="str">
        <f t="shared" si="24"/>
        <v/>
      </c>
      <c r="J118" s="4" t="str">
        <f t="shared" si="24"/>
        <v/>
      </c>
      <c r="K118" s="4" t="str">
        <f t="shared" si="24"/>
        <v/>
      </c>
      <c r="L118" s="4" t="str">
        <f t="shared" ref="L118:Z118" si="25">IFERROR(L173/L$34*100,"")</f>
        <v/>
      </c>
      <c r="M118" s="4" t="str">
        <f t="shared" si="25"/>
        <v/>
      </c>
      <c r="N118" s="4" t="str">
        <f t="shared" si="25"/>
        <v/>
      </c>
      <c r="O118" s="4" t="str">
        <f t="shared" si="25"/>
        <v/>
      </c>
      <c r="P118" s="4" t="str">
        <f t="shared" si="25"/>
        <v/>
      </c>
      <c r="Q118" s="4" t="str">
        <f t="shared" si="25"/>
        <v/>
      </c>
      <c r="R118" s="4" t="str">
        <f t="shared" si="25"/>
        <v/>
      </c>
      <c r="S118" s="4" t="str">
        <f t="shared" si="25"/>
        <v/>
      </c>
      <c r="T118" s="4" t="str">
        <f t="shared" si="25"/>
        <v/>
      </c>
      <c r="U118" s="4" t="str">
        <f t="shared" si="25"/>
        <v/>
      </c>
      <c r="V118" s="4" t="str">
        <f t="shared" si="25"/>
        <v/>
      </c>
      <c r="W118" s="4" t="str">
        <f t="shared" si="25"/>
        <v/>
      </c>
      <c r="X118" s="4" t="str">
        <f t="shared" si="25"/>
        <v/>
      </c>
      <c r="Y118" s="4" t="str">
        <f t="shared" si="25"/>
        <v/>
      </c>
      <c r="Z118" s="4" t="str">
        <f t="shared" si="25"/>
        <v/>
      </c>
    </row>
    <row r="119" spans="1:26" outlineLevel="1" x14ac:dyDescent="0.4">
      <c r="A119" s="1">
        <v>13</v>
      </c>
      <c r="B119" t="s">
        <v>45</v>
      </c>
      <c r="C119" t="s">
        <v>80</v>
      </c>
      <c r="D119" s="4">
        <f t="shared" si="23"/>
        <v>5.4678861323219747</v>
      </c>
      <c r="E119" s="4">
        <f t="shared" ref="E119:K119" si="26">IFERROR(E174/E$34*100,"")</f>
        <v>5.5027856628488978</v>
      </c>
      <c r="F119" s="4">
        <f t="shared" si="26"/>
        <v>5.1627128953771289</v>
      </c>
      <c r="G119" s="4">
        <f t="shared" si="26"/>
        <v>5.6608780138971149</v>
      </c>
      <c r="H119" s="4" t="str">
        <f t="shared" si="26"/>
        <v/>
      </c>
      <c r="I119" s="4" t="str">
        <f t="shared" si="26"/>
        <v/>
      </c>
      <c r="J119" s="4" t="str">
        <f t="shared" si="26"/>
        <v/>
      </c>
      <c r="K119" s="4" t="str">
        <f t="shared" si="26"/>
        <v/>
      </c>
      <c r="L119" s="4" t="str">
        <f t="shared" ref="L119:Z119" si="27">IFERROR(L174/L$34*100,"")</f>
        <v/>
      </c>
      <c r="M119" s="4" t="str">
        <f t="shared" si="27"/>
        <v/>
      </c>
      <c r="N119" s="4" t="str">
        <f t="shared" si="27"/>
        <v/>
      </c>
      <c r="O119" s="4" t="str">
        <f t="shared" si="27"/>
        <v/>
      </c>
      <c r="P119" s="4" t="str">
        <f t="shared" si="27"/>
        <v/>
      </c>
      <c r="Q119" s="4" t="str">
        <f t="shared" si="27"/>
        <v/>
      </c>
      <c r="R119" s="4" t="str">
        <f t="shared" si="27"/>
        <v/>
      </c>
      <c r="S119" s="4" t="str">
        <f t="shared" si="27"/>
        <v/>
      </c>
      <c r="T119" s="4" t="str">
        <f t="shared" si="27"/>
        <v/>
      </c>
      <c r="U119" s="4" t="str">
        <f t="shared" si="27"/>
        <v/>
      </c>
      <c r="V119" s="4" t="str">
        <f t="shared" si="27"/>
        <v/>
      </c>
      <c r="W119" s="4" t="str">
        <f t="shared" si="27"/>
        <v/>
      </c>
      <c r="X119" s="4" t="str">
        <f t="shared" si="27"/>
        <v/>
      </c>
      <c r="Y119" s="4" t="str">
        <f t="shared" si="27"/>
        <v/>
      </c>
      <c r="Z119" s="4" t="str">
        <f t="shared" si="27"/>
        <v/>
      </c>
    </row>
    <row r="120" spans="1:26" outlineLevel="1" x14ac:dyDescent="0.4">
      <c r="A120" s="1">
        <v>14</v>
      </c>
      <c r="B120" t="s">
        <v>46</v>
      </c>
      <c r="C120" t="s">
        <v>28</v>
      </c>
      <c r="D120" s="4">
        <f t="shared" si="23"/>
        <v>2.4936150026544777</v>
      </c>
      <c r="E120" s="4">
        <f t="shared" ref="E120:K120" si="28">IFERROR(E175/E$34*100,"")</f>
        <v>3.3878360130706735</v>
      </c>
      <c r="F120" s="4">
        <f t="shared" si="28"/>
        <v>3.4743342795350096</v>
      </c>
      <c r="G120" s="4">
        <f t="shared" si="28"/>
        <v>3.1571907324110735</v>
      </c>
      <c r="H120" s="4" t="str">
        <f t="shared" si="28"/>
        <v/>
      </c>
      <c r="I120" s="4" t="str">
        <f t="shared" si="28"/>
        <v/>
      </c>
      <c r="J120" s="4" t="str">
        <f t="shared" si="28"/>
        <v/>
      </c>
      <c r="K120" s="4" t="str">
        <f t="shared" si="28"/>
        <v/>
      </c>
      <c r="L120" s="4" t="str">
        <f t="shared" ref="L120:Z120" si="29">IFERROR(L175/L$34*100,"")</f>
        <v/>
      </c>
      <c r="M120" s="4" t="str">
        <f t="shared" si="29"/>
        <v/>
      </c>
      <c r="N120" s="4" t="str">
        <f t="shared" si="29"/>
        <v/>
      </c>
      <c r="O120" s="4" t="str">
        <f t="shared" si="29"/>
        <v/>
      </c>
      <c r="P120" s="4" t="str">
        <f t="shared" si="29"/>
        <v/>
      </c>
      <c r="Q120" s="4" t="str">
        <f t="shared" si="29"/>
        <v/>
      </c>
      <c r="R120" s="4" t="str">
        <f t="shared" si="29"/>
        <v/>
      </c>
      <c r="S120" s="4" t="str">
        <f t="shared" si="29"/>
        <v/>
      </c>
      <c r="T120" s="4" t="str">
        <f t="shared" si="29"/>
        <v/>
      </c>
      <c r="U120" s="4" t="str">
        <f t="shared" si="29"/>
        <v/>
      </c>
      <c r="V120" s="4" t="str">
        <f t="shared" si="29"/>
        <v/>
      </c>
      <c r="W120" s="4" t="str">
        <f t="shared" si="29"/>
        <v/>
      </c>
      <c r="X120" s="4" t="str">
        <f t="shared" si="29"/>
        <v/>
      </c>
      <c r="Y120" s="4" t="str">
        <f t="shared" si="29"/>
        <v/>
      </c>
      <c r="Z120" s="4" t="str">
        <f t="shared" si="29"/>
        <v/>
      </c>
    </row>
    <row r="121" spans="1:26" outlineLevel="1" x14ac:dyDescent="0.4">
      <c r="A121" s="1">
        <v>15</v>
      </c>
      <c r="B121" t="s">
        <v>47</v>
      </c>
      <c r="C121" t="s">
        <v>81</v>
      </c>
      <c r="D121" s="4">
        <f t="shared" si="23"/>
        <v>17.952868647549593</v>
      </c>
      <c r="E121" s="4">
        <f t="shared" ref="E121:K121" si="30">IFERROR(E176/E$34*100,"")</f>
        <v>17.261852307796381</v>
      </c>
      <c r="F121" s="4">
        <f t="shared" si="30"/>
        <v>16.743967964314681</v>
      </c>
      <c r="G121" s="4">
        <f t="shared" si="30"/>
        <v>16.410868853574559</v>
      </c>
      <c r="H121" s="4" t="str">
        <f t="shared" si="30"/>
        <v/>
      </c>
      <c r="I121" s="4" t="str">
        <f t="shared" si="30"/>
        <v/>
      </c>
      <c r="J121" s="4" t="str">
        <f t="shared" si="30"/>
        <v/>
      </c>
      <c r="K121" s="4" t="str">
        <f t="shared" si="30"/>
        <v/>
      </c>
      <c r="L121" s="4" t="str">
        <f t="shared" ref="L121:Z121" si="31">IFERROR(L176/L$34*100,"")</f>
        <v/>
      </c>
      <c r="M121" s="4" t="str">
        <f t="shared" si="31"/>
        <v/>
      </c>
      <c r="N121" s="4" t="str">
        <f t="shared" si="31"/>
        <v/>
      </c>
      <c r="O121" s="4" t="str">
        <f t="shared" si="31"/>
        <v/>
      </c>
      <c r="P121" s="4" t="str">
        <f t="shared" si="31"/>
        <v/>
      </c>
      <c r="Q121" s="4" t="str">
        <f t="shared" si="31"/>
        <v/>
      </c>
      <c r="R121" s="4" t="str">
        <f t="shared" si="31"/>
        <v/>
      </c>
      <c r="S121" s="4" t="str">
        <f t="shared" si="31"/>
        <v/>
      </c>
      <c r="T121" s="4" t="str">
        <f t="shared" si="31"/>
        <v/>
      </c>
      <c r="U121" s="4" t="str">
        <f t="shared" si="31"/>
        <v/>
      </c>
      <c r="V121" s="4" t="str">
        <f t="shared" si="31"/>
        <v/>
      </c>
      <c r="W121" s="4" t="str">
        <f t="shared" si="31"/>
        <v/>
      </c>
      <c r="X121" s="4" t="str">
        <f t="shared" si="31"/>
        <v/>
      </c>
      <c r="Y121" s="4" t="str">
        <f t="shared" si="31"/>
        <v/>
      </c>
      <c r="Z121" s="4" t="str">
        <f t="shared" si="31"/>
        <v/>
      </c>
    </row>
    <row r="122" spans="1:26" outlineLevel="1" x14ac:dyDescent="0.4">
      <c r="A122" s="1">
        <v>16</v>
      </c>
      <c r="B122" t="s">
        <v>48</v>
      </c>
      <c r="C122" t="s">
        <v>82</v>
      </c>
      <c r="D122" s="4">
        <f t="shared" si="23"/>
        <v>2.9689573433387095</v>
      </c>
      <c r="E122" s="4">
        <f t="shared" ref="E122:K122" si="32">IFERROR(E177/E$34*100,"")</f>
        <v>3.1813257779071429</v>
      </c>
      <c r="F122" s="4">
        <f t="shared" si="32"/>
        <v>2.8043896999188971</v>
      </c>
      <c r="G122" s="4">
        <f t="shared" si="32"/>
        <v>2.7786982839393977</v>
      </c>
      <c r="H122" s="4" t="str">
        <f t="shared" si="32"/>
        <v/>
      </c>
      <c r="I122" s="4" t="str">
        <f t="shared" si="32"/>
        <v/>
      </c>
      <c r="J122" s="4" t="str">
        <f t="shared" si="32"/>
        <v/>
      </c>
      <c r="K122" s="4" t="str">
        <f t="shared" si="32"/>
        <v/>
      </c>
      <c r="L122" s="4" t="str">
        <f t="shared" ref="L122:Z122" si="33">IFERROR(L177/L$34*100,"")</f>
        <v/>
      </c>
      <c r="M122" s="4" t="str">
        <f t="shared" si="33"/>
        <v/>
      </c>
      <c r="N122" s="4" t="str">
        <f t="shared" si="33"/>
        <v/>
      </c>
      <c r="O122" s="4" t="str">
        <f t="shared" si="33"/>
        <v/>
      </c>
      <c r="P122" s="4" t="str">
        <f t="shared" si="33"/>
        <v/>
      </c>
      <c r="Q122" s="4" t="str">
        <f t="shared" si="33"/>
        <v/>
      </c>
      <c r="R122" s="4" t="str">
        <f t="shared" si="33"/>
        <v/>
      </c>
      <c r="S122" s="4" t="str">
        <f t="shared" si="33"/>
        <v/>
      </c>
      <c r="T122" s="4" t="str">
        <f t="shared" si="33"/>
        <v/>
      </c>
      <c r="U122" s="4" t="str">
        <f t="shared" si="33"/>
        <v/>
      </c>
      <c r="V122" s="4" t="str">
        <f t="shared" si="33"/>
        <v/>
      </c>
      <c r="W122" s="4" t="str">
        <f t="shared" si="33"/>
        <v/>
      </c>
      <c r="X122" s="4" t="str">
        <f t="shared" si="33"/>
        <v/>
      </c>
      <c r="Y122" s="4" t="str">
        <f t="shared" si="33"/>
        <v/>
      </c>
      <c r="Z122" s="4" t="str">
        <f t="shared" si="33"/>
        <v/>
      </c>
    </row>
    <row r="123" spans="1:26" outlineLevel="1" x14ac:dyDescent="0.4">
      <c r="A123" s="1">
        <v>17</v>
      </c>
      <c r="B123" t="s">
        <v>49</v>
      </c>
      <c r="C123" t="s">
        <v>83</v>
      </c>
      <c r="D123" s="4">
        <f t="shared" si="23"/>
        <v>5.6983112303975627</v>
      </c>
      <c r="E123" s="4">
        <f t="shared" ref="E123:K123" si="34">IFERROR(E178/E$34*100,"")</f>
        <v>2.0014580334706804</v>
      </c>
      <c r="F123" s="4">
        <f t="shared" si="34"/>
        <v>1.4285955663692891</v>
      </c>
      <c r="G123" s="4">
        <f t="shared" si="34"/>
        <v>1.3271394788964286</v>
      </c>
      <c r="H123" s="4" t="str">
        <f t="shared" si="34"/>
        <v/>
      </c>
      <c r="I123" s="4" t="str">
        <f t="shared" si="34"/>
        <v/>
      </c>
      <c r="J123" s="4" t="str">
        <f t="shared" si="34"/>
        <v/>
      </c>
      <c r="K123" s="4" t="str">
        <f t="shared" si="34"/>
        <v/>
      </c>
      <c r="L123" s="4" t="str">
        <f t="shared" ref="L123:Z123" si="35">IFERROR(L178/L$34*100,"")</f>
        <v/>
      </c>
      <c r="M123" s="4" t="str">
        <f t="shared" si="35"/>
        <v/>
      </c>
      <c r="N123" s="4" t="str">
        <f t="shared" si="35"/>
        <v/>
      </c>
      <c r="O123" s="4" t="str">
        <f t="shared" si="35"/>
        <v/>
      </c>
      <c r="P123" s="4" t="str">
        <f t="shared" si="35"/>
        <v/>
      </c>
      <c r="Q123" s="4" t="str">
        <f t="shared" si="35"/>
        <v/>
      </c>
      <c r="R123" s="4" t="str">
        <f t="shared" si="35"/>
        <v/>
      </c>
      <c r="S123" s="4" t="str">
        <f t="shared" si="35"/>
        <v/>
      </c>
      <c r="T123" s="4" t="str">
        <f t="shared" si="35"/>
        <v/>
      </c>
      <c r="U123" s="4" t="str">
        <f t="shared" si="35"/>
        <v/>
      </c>
      <c r="V123" s="4" t="str">
        <f t="shared" si="35"/>
        <v/>
      </c>
      <c r="W123" s="4" t="str">
        <f t="shared" si="35"/>
        <v/>
      </c>
      <c r="X123" s="4" t="str">
        <f t="shared" si="35"/>
        <v/>
      </c>
      <c r="Y123" s="4" t="str">
        <f t="shared" si="35"/>
        <v/>
      </c>
      <c r="Z123" s="4" t="str">
        <f t="shared" si="35"/>
        <v/>
      </c>
    </row>
    <row r="124" spans="1:26" outlineLevel="1" x14ac:dyDescent="0.4">
      <c r="A124" s="1">
        <v>18</v>
      </c>
      <c r="B124" t="s">
        <v>50</v>
      </c>
      <c r="C124" t="s">
        <v>84</v>
      </c>
      <c r="D124" s="4">
        <f t="shared" si="23"/>
        <v>1.4820633142471789</v>
      </c>
      <c r="E124" s="4">
        <f t="shared" ref="E124:K124" si="36">IFERROR(E179/E$34*100,"")</f>
        <v>1.3868230447619836</v>
      </c>
      <c r="F124" s="4">
        <f t="shared" si="36"/>
        <v>1.5147675047310083</v>
      </c>
      <c r="G124" s="4">
        <f t="shared" si="36"/>
        <v>1.4837709283171541</v>
      </c>
      <c r="H124" s="4" t="str">
        <f t="shared" si="36"/>
        <v/>
      </c>
      <c r="I124" s="4" t="str">
        <f t="shared" si="36"/>
        <v/>
      </c>
      <c r="J124" s="4" t="str">
        <f t="shared" si="36"/>
        <v/>
      </c>
      <c r="K124" s="4" t="str">
        <f t="shared" si="36"/>
        <v/>
      </c>
      <c r="L124" s="4" t="str">
        <f t="shared" ref="L124:Z124" si="37">IFERROR(L179/L$34*100,"")</f>
        <v/>
      </c>
      <c r="M124" s="4" t="str">
        <f t="shared" si="37"/>
        <v/>
      </c>
      <c r="N124" s="4" t="str">
        <f t="shared" si="37"/>
        <v/>
      </c>
      <c r="O124" s="4" t="str">
        <f t="shared" si="37"/>
        <v/>
      </c>
      <c r="P124" s="4" t="str">
        <f t="shared" si="37"/>
        <v/>
      </c>
      <c r="Q124" s="4" t="str">
        <f t="shared" si="37"/>
        <v/>
      </c>
      <c r="R124" s="4" t="str">
        <f t="shared" si="37"/>
        <v/>
      </c>
      <c r="S124" s="4" t="str">
        <f t="shared" si="37"/>
        <v/>
      </c>
      <c r="T124" s="4" t="str">
        <f t="shared" si="37"/>
        <v/>
      </c>
      <c r="U124" s="4" t="str">
        <f t="shared" si="37"/>
        <v/>
      </c>
      <c r="V124" s="4" t="str">
        <f t="shared" si="37"/>
        <v/>
      </c>
      <c r="W124" s="4" t="str">
        <f t="shared" si="37"/>
        <v/>
      </c>
      <c r="X124" s="4" t="str">
        <f t="shared" si="37"/>
        <v/>
      </c>
      <c r="Y124" s="4" t="str">
        <f t="shared" si="37"/>
        <v/>
      </c>
      <c r="Z124" s="4" t="str">
        <f t="shared" si="37"/>
        <v/>
      </c>
    </row>
    <row r="125" spans="1:26" outlineLevel="1" x14ac:dyDescent="0.4">
      <c r="A125" s="1">
        <v>19</v>
      </c>
      <c r="B125" t="s">
        <v>10</v>
      </c>
      <c r="C125" t="s">
        <v>4</v>
      </c>
      <c r="D125" s="4">
        <f t="shared" si="23"/>
        <v>3.9776106028393974</v>
      </c>
      <c r="E125" s="4">
        <f t="shared" ref="E125:K125" si="38">IFERROR(E180/E$34*100,"")</f>
        <v>4.0305101069847638</v>
      </c>
      <c r="F125" s="4">
        <f t="shared" si="38"/>
        <v>4.2524161935658285</v>
      </c>
      <c r="G125" s="4">
        <f t="shared" si="38"/>
        <v>4.7730313661523871</v>
      </c>
      <c r="H125" s="4" t="str">
        <f t="shared" si="38"/>
        <v/>
      </c>
      <c r="I125" s="4" t="str">
        <f t="shared" si="38"/>
        <v/>
      </c>
      <c r="J125" s="4" t="str">
        <f t="shared" si="38"/>
        <v/>
      </c>
      <c r="K125" s="4" t="str">
        <f t="shared" si="38"/>
        <v/>
      </c>
      <c r="L125" s="4" t="str">
        <f t="shared" ref="L125:Z125" si="39">IFERROR(L180/L$34*100,"")</f>
        <v/>
      </c>
      <c r="M125" s="4" t="str">
        <f t="shared" si="39"/>
        <v/>
      </c>
      <c r="N125" s="4" t="str">
        <f t="shared" si="39"/>
        <v/>
      </c>
      <c r="O125" s="4" t="str">
        <f t="shared" si="39"/>
        <v/>
      </c>
      <c r="P125" s="4" t="str">
        <f t="shared" si="39"/>
        <v/>
      </c>
      <c r="Q125" s="4" t="str">
        <f t="shared" si="39"/>
        <v/>
      </c>
      <c r="R125" s="4" t="str">
        <f t="shared" si="39"/>
        <v/>
      </c>
      <c r="S125" s="4" t="str">
        <f t="shared" si="39"/>
        <v/>
      </c>
      <c r="T125" s="4" t="str">
        <f t="shared" si="39"/>
        <v/>
      </c>
      <c r="U125" s="4" t="str">
        <f t="shared" si="39"/>
        <v/>
      </c>
      <c r="V125" s="4" t="str">
        <f t="shared" si="39"/>
        <v/>
      </c>
      <c r="W125" s="4" t="str">
        <f t="shared" si="39"/>
        <v/>
      </c>
      <c r="X125" s="4" t="str">
        <f t="shared" si="39"/>
        <v/>
      </c>
      <c r="Y125" s="4" t="str">
        <f t="shared" si="39"/>
        <v/>
      </c>
      <c r="Z125" s="4" t="str">
        <f t="shared" si="39"/>
        <v/>
      </c>
    </row>
    <row r="126" spans="1:26" outlineLevel="1" x14ac:dyDescent="0.4">
      <c r="A126" s="1">
        <v>20</v>
      </c>
      <c r="B126" t="s">
        <v>51</v>
      </c>
      <c r="D126" s="4">
        <f t="shared" si="23"/>
        <v>0</v>
      </c>
      <c r="E126" s="4">
        <f t="shared" ref="E126:K126" si="40">IFERROR(E181/E$34*100,"")</f>
        <v>0</v>
      </c>
      <c r="F126" s="4">
        <f t="shared" si="40"/>
        <v>0</v>
      </c>
      <c r="G126" s="4">
        <f t="shared" si="40"/>
        <v>0</v>
      </c>
      <c r="H126" s="4" t="str">
        <f t="shared" si="40"/>
        <v/>
      </c>
      <c r="I126" s="4" t="str">
        <f t="shared" si="40"/>
        <v/>
      </c>
      <c r="J126" s="4" t="str">
        <f t="shared" si="40"/>
        <v/>
      </c>
      <c r="K126" s="4" t="str">
        <f t="shared" si="40"/>
        <v/>
      </c>
      <c r="L126" s="4" t="str">
        <f t="shared" ref="L126:Z126" si="41">IFERROR(L181/L$34*100,"")</f>
        <v/>
      </c>
      <c r="M126" s="4" t="str">
        <f t="shared" si="41"/>
        <v/>
      </c>
      <c r="N126" s="4" t="str">
        <f t="shared" si="41"/>
        <v/>
      </c>
      <c r="O126" s="4" t="str">
        <f t="shared" si="41"/>
        <v/>
      </c>
      <c r="P126" s="4" t="str">
        <f t="shared" si="41"/>
        <v/>
      </c>
      <c r="Q126" s="4" t="str">
        <f t="shared" si="41"/>
        <v/>
      </c>
      <c r="R126" s="4" t="str">
        <f t="shared" si="41"/>
        <v/>
      </c>
      <c r="S126" s="4" t="str">
        <f t="shared" si="41"/>
        <v/>
      </c>
      <c r="T126" s="4" t="str">
        <f t="shared" si="41"/>
        <v/>
      </c>
      <c r="U126" s="4" t="str">
        <f t="shared" si="41"/>
        <v/>
      </c>
      <c r="V126" s="4" t="str">
        <f t="shared" si="41"/>
        <v/>
      </c>
      <c r="W126" s="4" t="str">
        <f t="shared" si="41"/>
        <v/>
      </c>
      <c r="X126" s="4" t="str">
        <f t="shared" si="41"/>
        <v/>
      </c>
      <c r="Y126" s="4" t="str">
        <f t="shared" si="41"/>
        <v/>
      </c>
      <c r="Z126" s="4" t="str">
        <f t="shared" si="41"/>
        <v/>
      </c>
    </row>
    <row r="127" spans="1:26" outlineLevel="1" x14ac:dyDescent="0.4">
      <c r="A127" s="1">
        <v>21</v>
      </c>
      <c r="B127" t="s">
        <v>52</v>
      </c>
      <c r="C127" t="s">
        <v>85</v>
      </c>
      <c r="D127" s="4">
        <f t="shared" si="23"/>
        <v>1.8221456392895563</v>
      </c>
      <c r="E127" s="4">
        <f t="shared" ref="E127:K127" si="42">IFERROR(E182/E$34*100,"")</f>
        <v>2.3370371656114171</v>
      </c>
      <c r="F127" s="4">
        <f t="shared" si="42"/>
        <v>2.3101682887266826</v>
      </c>
      <c r="G127" s="4">
        <f t="shared" si="42"/>
        <v>2.5254304646961168</v>
      </c>
      <c r="H127" s="4" t="str">
        <f t="shared" si="42"/>
        <v/>
      </c>
      <c r="I127" s="4" t="str">
        <f t="shared" si="42"/>
        <v/>
      </c>
      <c r="J127" s="4" t="str">
        <f t="shared" si="42"/>
        <v/>
      </c>
      <c r="K127" s="4" t="str">
        <f t="shared" si="42"/>
        <v/>
      </c>
      <c r="L127" s="4" t="str">
        <f t="shared" ref="L127:Z127" si="43">IFERROR(L182/L$34*100,"")</f>
        <v/>
      </c>
      <c r="M127" s="4" t="str">
        <f t="shared" si="43"/>
        <v/>
      </c>
      <c r="N127" s="4" t="str">
        <f t="shared" si="43"/>
        <v/>
      </c>
      <c r="O127" s="4" t="str">
        <f t="shared" si="43"/>
        <v/>
      </c>
      <c r="P127" s="4" t="str">
        <f t="shared" si="43"/>
        <v/>
      </c>
      <c r="Q127" s="4" t="str">
        <f t="shared" si="43"/>
        <v/>
      </c>
      <c r="R127" s="4" t="str">
        <f t="shared" si="43"/>
        <v/>
      </c>
      <c r="S127" s="4" t="str">
        <f t="shared" si="43"/>
        <v/>
      </c>
      <c r="T127" s="4" t="str">
        <f t="shared" si="43"/>
        <v/>
      </c>
      <c r="U127" s="4" t="str">
        <f t="shared" si="43"/>
        <v/>
      </c>
      <c r="V127" s="4" t="str">
        <f t="shared" si="43"/>
        <v/>
      </c>
      <c r="W127" s="4" t="str">
        <f t="shared" si="43"/>
        <v/>
      </c>
      <c r="X127" s="4" t="str">
        <f t="shared" si="43"/>
        <v/>
      </c>
      <c r="Y127" s="4" t="str">
        <f t="shared" si="43"/>
        <v/>
      </c>
      <c r="Z127" s="4" t="str">
        <f t="shared" si="43"/>
        <v/>
      </c>
    </row>
    <row r="128" spans="1:26" outlineLevel="1" x14ac:dyDescent="0.4">
      <c r="A128" s="1">
        <v>22</v>
      </c>
      <c r="B128" t="s">
        <v>53</v>
      </c>
      <c r="C128" t="s">
        <v>86</v>
      </c>
      <c r="D128" s="4">
        <f t="shared" si="23"/>
        <v>0.23863731331098645</v>
      </c>
      <c r="E128" s="4">
        <f t="shared" ref="E128:K128" si="44">IFERROR(E183/E$34*100,"")</f>
        <v>-2.7148974881412387E-2</v>
      </c>
      <c r="F128" s="4">
        <f t="shared" si="44"/>
        <v>4.2241146255744794E-2</v>
      </c>
      <c r="G128" s="4">
        <f t="shared" si="44"/>
        <v>-1.0871591605037492E-2</v>
      </c>
      <c r="H128" s="4" t="str">
        <f t="shared" si="44"/>
        <v/>
      </c>
      <c r="I128" s="4" t="str">
        <f t="shared" si="44"/>
        <v/>
      </c>
      <c r="J128" s="4" t="str">
        <f t="shared" si="44"/>
        <v/>
      </c>
      <c r="K128" s="4" t="str">
        <f t="shared" si="44"/>
        <v/>
      </c>
      <c r="L128" s="4" t="str">
        <f t="shared" ref="L128:Z128" si="45">IFERROR(L183/L$34*100,"")</f>
        <v/>
      </c>
      <c r="M128" s="4" t="str">
        <f t="shared" si="45"/>
        <v/>
      </c>
      <c r="N128" s="4" t="str">
        <f t="shared" si="45"/>
        <v/>
      </c>
      <c r="O128" s="4" t="str">
        <f t="shared" si="45"/>
        <v/>
      </c>
      <c r="P128" s="4" t="str">
        <f t="shared" si="45"/>
        <v/>
      </c>
      <c r="Q128" s="4" t="str">
        <f t="shared" si="45"/>
        <v/>
      </c>
      <c r="R128" s="4" t="str">
        <f t="shared" si="45"/>
        <v/>
      </c>
      <c r="S128" s="4" t="str">
        <f t="shared" si="45"/>
        <v/>
      </c>
      <c r="T128" s="4" t="str">
        <f t="shared" si="45"/>
        <v/>
      </c>
      <c r="U128" s="4" t="str">
        <f t="shared" si="45"/>
        <v/>
      </c>
      <c r="V128" s="4" t="str">
        <f t="shared" si="45"/>
        <v/>
      </c>
      <c r="W128" s="4" t="str">
        <f t="shared" si="45"/>
        <v/>
      </c>
      <c r="X128" s="4" t="str">
        <f t="shared" si="45"/>
        <v/>
      </c>
      <c r="Y128" s="4" t="str">
        <f t="shared" si="45"/>
        <v/>
      </c>
      <c r="Z128" s="4" t="str">
        <f t="shared" si="45"/>
        <v/>
      </c>
    </row>
    <row r="129" spans="1:26" outlineLevel="1" x14ac:dyDescent="0.4">
      <c r="A129" s="1">
        <v>23</v>
      </c>
      <c r="B129" t="s">
        <v>54</v>
      </c>
      <c r="C129" t="s">
        <v>87</v>
      </c>
      <c r="D129" s="4">
        <f t="shared" si="23"/>
        <v>53.087140782005783</v>
      </c>
      <c r="E129" s="4">
        <f t="shared" ref="E129:K129" si="46">IFERROR(E184/E$34*100,"")</f>
        <v>49.515724597238282</v>
      </c>
      <c r="F129" s="4">
        <f t="shared" si="46"/>
        <v>48.099993241416598</v>
      </c>
      <c r="G129" s="4">
        <f t="shared" si="46"/>
        <v>48.267853468661833</v>
      </c>
      <c r="H129" s="4" t="str">
        <f t="shared" si="46"/>
        <v/>
      </c>
      <c r="I129" s="4" t="str">
        <f t="shared" si="46"/>
        <v/>
      </c>
      <c r="J129" s="4" t="str">
        <f t="shared" si="46"/>
        <v/>
      </c>
      <c r="K129" s="4" t="str">
        <f t="shared" si="46"/>
        <v/>
      </c>
      <c r="L129" s="4" t="str">
        <f t="shared" ref="L129:Z129" si="47">IFERROR(L184/L$34*100,"")</f>
        <v/>
      </c>
      <c r="M129" s="4" t="str">
        <f t="shared" si="47"/>
        <v/>
      </c>
      <c r="N129" s="4" t="str">
        <f t="shared" si="47"/>
        <v/>
      </c>
      <c r="O129" s="4" t="str">
        <f t="shared" si="47"/>
        <v/>
      </c>
      <c r="P129" s="4" t="str">
        <f t="shared" si="47"/>
        <v/>
      </c>
      <c r="Q129" s="4" t="str">
        <f t="shared" si="47"/>
        <v/>
      </c>
      <c r="R129" s="4" t="str">
        <f t="shared" si="47"/>
        <v/>
      </c>
      <c r="S129" s="4" t="str">
        <f t="shared" si="47"/>
        <v/>
      </c>
      <c r="T129" s="4" t="str">
        <f t="shared" si="47"/>
        <v/>
      </c>
      <c r="U129" s="4" t="str">
        <f t="shared" si="47"/>
        <v/>
      </c>
      <c r="V129" s="4" t="str">
        <f t="shared" si="47"/>
        <v/>
      </c>
      <c r="W129" s="4" t="str">
        <f t="shared" si="47"/>
        <v/>
      </c>
      <c r="X129" s="4" t="str">
        <f t="shared" si="47"/>
        <v/>
      </c>
      <c r="Y129" s="4" t="str">
        <f t="shared" si="47"/>
        <v/>
      </c>
      <c r="Z129" s="4" t="str">
        <f t="shared" si="47"/>
        <v/>
      </c>
    </row>
    <row r="130" spans="1:26" outlineLevel="1" x14ac:dyDescent="0.4">
      <c r="A130" s="1">
        <v>24</v>
      </c>
      <c r="B130" s="2" t="s">
        <v>55</v>
      </c>
      <c r="C130" t="s">
        <v>79</v>
      </c>
      <c r="D130" s="4"/>
      <c r="E130" s="4"/>
      <c r="F130" s="4"/>
      <c r="G130" s="4"/>
      <c r="H130" s="4"/>
      <c r="I130" s="4"/>
      <c r="J130" s="4"/>
      <c r="K130" s="4"/>
      <c r="L130" s="4"/>
      <c r="M130" s="4"/>
      <c r="N130" s="4"/>
      <c r="O130" s="4"/>
      <c r="P130" s="4"/>
      <c r="Q130" s="4"/>
      <c r="R130" s="4"/>
      <c r="S130" s="4"/>
      <c r="T130" s="4"/>
      <c r="U130" s="4"/>
      <c r="V130" s="4"/>
      <c r="W130" s="4"/>
      <c r="X130" s="4"/>
      <c r="Y130" s="4"/>
      <c r="Z130" s="4"/>
    </row>
    <row r="131" spans="1:26" outlineLevel="1" x14ac:dyDescent="0.4">
      <c r="A131" s="1">
        <v>25</v>
      </c>
      <c r="B131" t="s">
        <v>56</v>
      </c>
      <c r="D131" s="4">
        <f>IFERROR(D129-D130,"")</f>
        <v>53.087140782005783</v>
      </c>
      <c r="E131" s="4">
        <f t="shared" ref="E131:K131" si="48">IFERROR(E129-E130,"")</f>
        <v>49.515724597238282</v>
      </c>
      <c r="F131" s="4">
        <f t="shared" si="48"/>
        <v>48.099993241416598</v>
      </c>
      <c r="G131" s="4">
        <f t="shared" si="48"/>
        <v>48.267853468661833</v>
      </c>
      <c r="H131" s="4" t="str">
        <f t="shared" si="48"/>
        <v/>
      </c>
      <c r="I131" s="4" t="str">
        <f t="shared" si="48"/>
        <v/>
      </c>
      <c r="J131" s="4" t="str">
        <f t="shared" si="48"/>
        <v/>
      </c>
      <c r="K131" s="4" t="str">
        <f t="shared" si="48"/>
        <v/>
      </c>
      <c r="L131" s="4" t="str">
        <f t="shared" ref="L131" si="49">IFERROR(L129-L130,"")</f>
        <v/>
      </c>
      <c r="M131" s="4" t="str">
        <f t="shared" ref="M131" si="50">IFERROR(M129-M130,"")</f>
        <v/>
      </c>
      <c r="N131" s="4" t="str">
        <f t="shared" ref="N131" si="51">IFERROR(N129-N130,"")</f>
        <v/>
      </c>
      <c r="O131" s="4" t="str">
        <f t="shared" ref="O131" si="52">IFERROR(O129-O130,"")</f>
        <v/>
      </c>
      <c r="P131" s="4" t="str">
        <f t="shared" ref="P131" si="53">IFERROR(P129-P130,"")</f>
        <v/>
      </c>
      <c r="Q131" s="4" t="str">
        <f t="shared" ref="Q131" si="54">IFERROR(Q129-Q130,"")</f>
        <v/>
      </c>
      <c r="R131" s="4" t="str">
        <f t="shared" ref="R131" si="55">IFERROR(R129-R130,"")</f>
        <v/>
      </c>
      <c r="S131" s="4" t="str">
        <f t="shared" ref="S131" si="56">IFERROR(S129-S130,"")</f>
        <v/>
      </c>
      <c r="T131" s="4" t="str">
        <f t="shared" ref="T131" si="57">IFERROR(T129-T130,"")</f>
        <v/>
      </c>
      <c r="U131" s="4" t="str">
        <f t="shared" ref="U131" si="58">IFERROR(U129-U130,"")</f>
        <v/>
      </c>
      <c r="V131" s="4" t="str">
        <f t="shared" ref="V131" si="59">IFERROR(V129-V130,"")</f>
        <v/>
      </c>
      <c r="W131" s="4" t="str">
        <f t="shared" ref="W131" si="60">IFERROR(W129-W130,"")</f>
        <v/>
      </c>
      <c r="X131" s="4" t="str">
        <f t="shared" ref="X131" si="61">IFERROR(X129-X130,"")</f>
        <v/>
      </c>
      <c r="Y131" s="4" t="str">
        <f t="shared" ref="Y131" si="62">IFERROR(Y129-Y130,"")</f>
        <v/>
      </c>
      <c r="Z131" s="4" t="str">
        <f t="shared" ref="Z131" si="63">IFERROR(Z129-Z130,"")</f>
        <v/>
      </c>
    </row>
    <row r="132" spans="1:26" outlineLevel="1" x14ac:dyDescent="0.4">
      <c r="A132" s="1">
        <v>26</v>
      </c>
      <c r="B132" t="s">
        <v>623</v>
      </c>
      <c r="C132" t="s">
        <v>832</v>
      </c>
      <c r="D132" s="4">
        <f>IFERROR(D187/D$34*100,"")</f>
        <v>0</v>
      </c>
      <c r="E132" s="4">
        <f t="shared" ref="E132:K132" si="64">IFERROR(E187/E$34*100,"")</f>
        <v>0.32890315471088122</v>
      </c>
      <c r="F132" s="4">
        <f t="shared" si="64"/>
        <v>0.29780008110300082</v>
      </c>
      <c r="G132" s="4">
        <f t="shared" si="64"/>
        <v>0.31406820192330531</v>
      </c>
      <c r="H132" s="4" t="str">
        <f t="shared" si="64"/>
        <v/>
      </c>
      <c r="I132" s="4" t="str">
        <f t="shared" si="64"/>
        <v/>
      </c>
      <c r="J132" s="4" t="str">
        <f t="shared" si="64"/>
        <v/>
      </c>
      <c r="K132" s="4" t="str">
        <f t="shared" si="64"/>
        <v/>
      </c>
      <c r="L132" s="4" t="str">
        <f t="shared" ref="L132:Z132" si="65">IFERROR(L187/L$34*100,"")</f>
        <v/>
      </c>
      <c r="M132" s="4" t="str">
        <f t="shared" si="65"/>
        <v/>
      </c>
      <c r="N132" s="4" t="str">
        <f t="shared" si="65"/>
        <v/>
      </c>
      <c r="O132" s="4" t="str">
        <f t="shared" si="65"/>
        <v/>
      </c>
      <c r="P132" s="4" t="str">
        <f t="shared" si="65"/>
        <v/>
      </c>
      <c r="Q132" s="4" t="str">
        <f t="shared" si="65"/>
        <v/>
      </c>
      <c r="R132" s="4" t="str">
        <f t="shared" si="65"/>
        <v/>
      </c>
      <c r="S132" s="4" t="str">
        <f t="shared" si="65"/>
        <v/>
      </c>
      <c r="T132" s="4" t="str">
        <f t="shared" si="65"/>
        <v/>
      </c>
      <c r="U132" s="4" t="str">
        <f t="shared" si="65"/>
        <v/>
      </c>
      <c r="V132" s="4" t="str">
        <f t="shared" si="65"/>
        <v/>
      </c>
      <c r="W132" s="4" t="str">
        <f t="shared" si="65"/>
        <v/>
      </c>
      <c r="X132" s="4" t="str">
        <f t="shared" si="65"/>
        <v/>
      </c>
      <c r="Y132" s="4" t="str">
        <f t="shared" si="65"/>
        <v/>
      </c>
      <c r="Z132" s="4" t="str">
        <f t="shared" si="65"/>
        <v/>
      </c>
    </row>
    <row r="133" spans="1:26" outlineLevel="1" x14ac:dyDescent="0.4">
      <c r="A133" s="1">
        <v>27</v>
      </c>
      <c r="B133" t="s">
        <v>57</v>
      </c>
      <c r="C133" t="s">
        <v>831</v>
      </c>
      <c r="D133" s="4">
        <f>IFERROR(D188/D$34*100,"")</f>
        <v>0</v>
      </c>
      <c r="E133" s="4">
        <f t="shared" ref="E133:K133" si="66">IFERROR(E188/E$34*100,"")</f>
        <v>0.13149895276167381</v>
      </c>
      <c r="F133" s="4">
        <f t="shared" si="66"/>
        <v>6.3184306569343054E-2</v>
      </c>
      <c r="G133" s="4">
        <f t="shared" si="66"/>
        <v>-8.6529816145279881E-3</v>
      </c>
      <c r="H133" s="4" t="str">
        <f t="shared" si="66"/>
        <v/>
      </c>
      <c r="I133" s="4" t="str">
        <f t="shared" si="66"/>
        <v/>
      </c>
      <c r="J133" s="4" t="str">
        <f t="shared" si="66"/>
        <v/>
      </c>
      <c r="K133" s="4" t="str">
        <f t="shared" si="66"/>
        <v/>
      </c>
      <c r="L133" s="4" t="str">
        <f t="shared" ref="L133:Z133" si="67">IFERROR(L188/L$34*100,"")</f>
        <v/>
      </c>
      <c r="M133" s="4" t="str">
        <f t="shared" si="67"/>
        <v/>
      </c>
      <c r="N133" s="4" t="str">
        <f t="shared" si="67"/>
        <v/>
      </c>
      <c r="O133" s="4" t="str">
        <f t="shared" si="67"/>
        <v/>
      </c>
      <c r="P133" s="4" t="str">
        <f t="shared" si="67"/>
        <v/>
      </c>
      <c r="Q133" s="4" t="str">
        <f t="shared" si="67"/>
        <v/>
      </c>
      <c r="R133" s="4" t="str">
        <f t="shared" si="67"/>
        <v/>
      </c>
      <c r="S133" s="4" t="str">
        <f t="shared" si="67"/>
        <v/>
      </c>
      <c r="T133" s="4" t="str">
        <f t="shared" si="67"/>
        <v/>
      </c>
      <c r="U133" s="4" t="str">
        <f t="shared" si="67"/>
        <v/>
      </c>
      <c r="V133" s="4" t="str">
        <f t="shared" si="67"/>
        <v/>
      </c>
      <c r="W133" s="4" t="str">
        <f t="shared" si="67"/>
        <v/>
      </c>
      <c r="X133" s="4" t="str">
        <f t="shared" si="67"/>
        <v/>
      </c>
      <c r="Y133" s="4" t="str">
        <f t="shared" si="67"/>
        <v/>
      </c>
      <c r="Z133" s="4" t="str">
        <f t="shared" si="67"/>
        <v/>
      </c>
    </row>
    <row r="134" spans="1:26" outlineLevel="1" x14ac:dyDescent="0.4">
      <c r="A134" s="1">
        <v>28</v>
      </c>
      <c r="B134" t="s">
        <v>58</v>
      </c>
      <c r="C134" t="s">
        <v>833</v>
      </c>
      <c r="D134" s="4">
        <f>IFERROR(D189/D$34*100,"")</f>
        <v>7.2943794149714483E-2</v>
      </c>
      <c r="E134" s="4">
        <f t="shared" ref="E134:K134" si="68">IFERROR(E189/E$34*100,"")</f>
        <v>0.13440967892109085</v>
      </c>
      <c r="F134" s="4">
        <f t="shared" si="68"/>
        <v>0.16896458502297917</v>
      </c>
      <c r="G134" s="4">
        <f t="shared" si="68"/>
        <v>0.17555607184430916</v>
      </c>
      <c r="H134" s="4" t="str">
        <f t="shared" si="68"/>
        <v/>
      </c>
      <c r="I134" s="4" t="str">
        <f t="shared" si="68"/>
        <v/>
      </c>
      <c r="J134" s="4" t="str">
        <f t="shared" si="68"/>
        <v/>
      </c>
      <c r="K134" s="4" t="str">
        <f t="shared" si="68"/>
        <v/>
      </c>
      <c r="L134" s="4" t="str">
        <f t="shared" ref="L134:Z134" si="69">IFERROR(L189/L$34*100,"")</f>
        <v/>
      </c>
      <c r="M134" s="4" t="str">
        <f t="shared" si="69"/>
        <v/>
      </c>
      <c r="N134" s="4" t="str">
        <f t="shared" si="69"/>
        <v/>
      </c>
      <c r="O134" s="4" t="str">
        <f t="shared" si="69"/>
        <v/>
      </c>
      <c r="P134" s="4" t="str">
        <f t="shared" si="69"/>
        <v/>
      </c>
      <c r="Q134" s="4" t="str">
        <f t="shared" si="69"/>
        <v/>
      </c>
      <c r="R134" s="4" t="str">
        <f t="shared" si="69"/>
        <v/>
      </c>
      <c r="S134" s="4" t="str">
        <f t="shared" si="69"/>
        <v/>
      </c>
      <c r="T134" s="4" t="str">
        <f t="shared" si="69"/>
        <v/>
      </c>
      <c r="U134" s="4" t="str">
        <f t="shared" si="69"/>
        <v/>
      </c>
      <c r="V134" s="4" t="str">
        <f t="shared" si="69"/>
        <v/>
      </c>
      <c r="W134" s="4" t="str">
        <f t="shared" si="69"/>
        <v/>
      </c>
      <c r="X134" s="4" t="str">
        <f t="shared" si="69"/>
        <v/>
      </c>
      <c r="Y134" s="4" t="str">
        <f t="shared" si="69"/>
        <v/>
      </c>
      <c r="Z134" s="4" t="str">
        <f t="shared" si="69"/>
        <v/>
      </c>
    </row>
    <row r="135" spans="1:26" outlineLevel="1" x14ac:dyDescent="0.4">
      <c r="A135" s="1">
        <v>29</v>
      </c>
      <c r="B135" t="s">
        <v>59</v>
      </c>
      <c r="C135" s="4"/>
      <c r="D135" s="4">
        <f>IFERROR(D131-D132-D133-D134-D120,"")</f>
        <v>50.520581985201588</v>
      </c>
      <c r="E135" s="4">
        <f t="shared" ref="E135:K135" si="70">IFERROR(E131-E132-E133-E134-E120,"")</f>
        <v>45.533076797773965</v>
      </c>
      <c r="F135" s="4">
        <f t="shared" si="70"/>
        <v>44.095709989186275</v>
      </c>
      <c r="G135" s="4">
        <f t="shared" si="70"/>
        <v>44.629691444097666</v>
      </c>
      <c r="H135" s="4" t="str">
        <f t="shared" si="70"/>
        <v/>
      </c>
      <c r="I135" s="4" t="str">
        <f t="shared" si="70"/>
        <v/>
      </c>
      <c r="J135" s="4" t="str">
        <f t="shared" si="70"/>
        <v/>
      </c>
      <c r="K135" s="4" t="str">
        <f t="shared" si="70"/>
        <v/>
      </c>
      <c r="L135" s="4" t="str">
        <f t="shared" ref="L135" si="71">IFERROR(L131-L132-L133-L134-L120,"")</f>
        <v/>
      </c>
      <c r="M135" s="4" t="str">
        <f t="shared" ref="M135" si="72">IFERROR(M131-M132-M133-M134-M120,"")</f>
        <v/>
      </c>
      <c r="N135" s="4" t="str">
        <f t="shared" ref="N135" si="73">IFERROR(N131-N132-N133-N134-N120,"")</f>
        <v/>
      </c>
      <c r="O135" s="4" t="str">
        <f t="shared" ref="O135" si="74">IFERROR(O131-O132-O133-O134-O120,"")</f>
        <v/>
      </c>
      <c r="P135" s="4" t="str">
        <f t="shared" ref="P135" si="75">IFERROR(P131-P132-P133-P134-P120,"")</f>
        <v/>
      </c>
      <c r="Q135" s="4" t="str">
        <f t="shared" ref="Q135" si="76">IFERROR(Q131-Q132-Q133-Q134-Q120,"")</f>
        <v/>
      </c>
      <c r="R135" s="4" t="str">
        <f t="shared" ref="R135" si="77">IFERROR(R131-R132-R133-R134-R120,"")</f>
        <v/>
      </c>
      <c r="S135" s="4" t="str">
        <f t="shared" ref="S135" si="78">IFERROR(S131-S132-S133-S134-S120,"")</f>
        <v/>
      </c>
      <c r="T135" s="4" t="str">
        <f t="shared" ref="T135" si="79">IFERROR(T131-T132-T133-T134-T120,"")</f>
        <v/>
      </c>
      <c r="U135" s="4" t="str">
        <f t="shared" ref="U135" si="80">IFERROR(U131-U132-U133-U134-U120,"")</f>
        <v/>
      </c>
      <c r="V135" s="4" t="str">
        <f t="shared" ref="V135" si="81">IFERROR(V131-V132-V133-V134-V120,"")</f>
        <v/>
      </c>
      <c r="W135" s="4" t="str">
        <f t="shared" ref="W135" si="82">IFERROR(W131-W132-W133-W134-W120,"")</f>
        <v/>
      </c>
      <c r="X135" s="4" t="str">
        <f t="shared" ref="X135" si="83">IFERROR(X131-X132-X133-X134-X120,"")</f>
        <v/>
      </c>
      <c r="Y135" s="4" t="str">
        <f t="shared" ref="Y135" si="84">IFERROR(Y131-Y132-Y133-Y134-Y120,"")</f>
        <v/>
      </c>
      <c r="Z135" s="4" t="str">
        <f t="shared" ref="Z135" si="85">IFERROR(Z131-Z132-Z133-Z134-Z120,"")</f>
        <v/>
      </c>
    </row>
    <row r="136" spans="1:26" outlineLevel="1" x14ac:dyDescent="0.4">
      <c r="A136" s="1"/>
      <c r="B136" s="1" t="s">
        <v>35</v>
      </c>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outlineLevel="1" x14ac:dyDescent="0.4">
      <c r="A137" s="1"/>
      <c r="D137" s="4"/>
      <c r="E137" s="4"/>
      <c r="F137" s="4"/>
      <c r="G137" s="4"/>
      <c r="H137" s="4"/>
      <c r="I137" s="4"/>
      <c r="J137" s="4"/>
      <c r="K137" s="4"/>
      <c r="L137" s="4"/>
      <c r="M137" s="4"/>
      <c r="N137" s="4"/>
      <c r="O137" s="4"/>
      <c r="P137" s="4"/>
      <c r="Q137" s="4"/>
      <c r="R137" s="4"/>
      <c r="S137" s="4"/>
      <c r="T137" s="4"/>
      <c r="U137" s="4"/>
      <c r="V137" s="4"/>
      <c r="W137" s="4"/>
      <c r="X137" s="4"/>
      <c r="Y137" s="4"/>
      <c r="Z137" s="4"/>
    </row>
    <row r="138" spans="1:26" outlineLevel="1" x14ac:dyDescent="0.4">
      <c r="A138" s="1"/>
      <c r="B138" s="1" t="s">
        <v>60</v>
      </c>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outlineLevel="1" x14ac:dyDescent="0.4">
      <c r="A139" s="1"/>
      <c r="B139" t="s">
        <v>61</v>
      </c>
      <c r="C139" t="s">
        <v>27</v>
      </c>
      <c r="D139" s="4">
        <f>IFERROR(D194/D$34*100,"")</f>
        <v>-2.5718725831329796</v>
      </c>
      <c r="E139" s="4">
        <f t="shared" ref="E139:K139" si="86">IFERROR(E194/E$34*100,"")</f>
        <v>-1.4299943654750491</v>
      </c>
      <c r="F139" s="4">
        <f t="shared" si="86"/>
        <v>1.3470701540957015</v>
      </c>
      <c r="G139" s="4">
        <f t="shared" si="86"/>
        <v>1.7273751105781794</v>
      </c>
      <c r="H139" s="4" t="str">
        <f t="shared" si="86"/>
        <v/>
      </c>
      <c r="I139" s="4" t="str">
        <f t="shared" si="86"/>
        <v/>
      </c>
      <c r="J139" s="4" t="str">
        <f t="shared" si="86"/>
        <v/>
      </c>
      <c r="K139" s="4" t="str">
        <f t="shared" si="86"/>
        <v/>
      </c>
      <c r="L139" s="4" t="str">
        <f t="shared" ref="L139:Z139" si="87">IFERROR(L194/L$34*100,"")</f>
        <v/>
      </c>
      <c r="M139" s="4" t="str">
        <f t="shared" si="87"/>
        <v/>
      </c>
      <c r="N139" s="4" t="str">
        <f t="shared" si="87"/>
        <v/>
      </c>
      <c r="O139" s="4" t="str">
        <f t="shared" si="87"/>
        <v/>
      </c>
      <c r="P139" s="4" t="str">
        <f t="shared" si="87"/>
        <v/>
      </c>
      <c r="Q139" s="4" t="str">
        <f t="shared" si="87"/>
        <v/>
      </c>
      <c r="R139" s="4" t="str">
        <f t="shared" si="87"/>
        <v/>
      </c>
      <c r="S139" s="4" t="str">
        <f t="shared" si="87"/>
        <v/>
      </c>
      <c r="T139" s="4" t="str">
        <f t="shared" si="87"/>
        <v/>
      </c>
      <c r="U139" s="4" t="str">
        <f t="shared" si="87"/>
        <v/>
      </c>
      <c r="V139" s="4" t="str">
        <f t="shared" si="87"/>
        <v/>
      </c>
      <c r="W139" s="4" t="str">
        <f t="shared" si="87"/>
        <v/>
      </c>
      <c r="X139" s="4" t="str">
        <f t="shared" si="87"/>
        <v/>
      </c>
      <c r="Y139" s="4" t="str">
        <f t="shared" si="87"/>
        <v/>
      </c>
      <c r="Z139" s="4" t="str">
        <f t="shared" si="87"/>
        <v/>
      </c>
    </row>
    <row r="140" spans="1:26" outlineLevel="1" x14ac:dyDescent="0.4">
      <c r="A140" s="1"/>
      <c r="B140" t="s">
        <v>62</v>
      </c>
      <c r="C140" t="s">
        <v>88</v>
      </c>
      <c r="D140" s="4">
        <f>IFERROR(D195/D$34*100,"")</f>
        <v>-5.0654875857874568</v>
      </c>
      <c r="E140" s="4">
        <f t="shared" ref="E140:K140" si="88">IFERROR(E195/E$34*100,"")</f>
        <v>-4.8178303785457226</v>
      </c>
      <c r="F140" s="4">
        <f t="shared" si="88"/>
        <v>-2.1272641254393077</v>
      </c>
      <c r="G140" s="4">
        <f t="shared" si="88"/>
        <v>-1.4298156218328939</v>
      </c>
      <c r="H140" s="4" t="str">
        <f t="shared" si="88"/>
        <v/>
      </c>
      <c r="I140" s="4" t="str">
        <f t="shared" si="88"/>
        <v/>
      </c>
      <c r="J140" s="4" t="str">
        <f t="shared" si="88"/>
        <v/>
      </c>
      <c r="K140" s="4" t="str">
        <f t="shared" si="88"/>
        <v/>
      </c>
      <c r="L140" s="4" t="str">
        <f t="shared" ref="L140:Z140" si="89">IFERROR(L195/L$34*100,"")</f>
        <v/>
      </c>
      <c r="M140" s="4" t="str">
        <f t="shared" si="89"/>
        <v/>
      </c>
      <c r="N140" s="4" t="str">
        <f t="shared" si="89"/>
        <v/>
      </c>
      <c r="O140" s="4" t="str">
        <f t="shared" si="89"/>
        <v/>
      </c>
      <c r="P140" s="4" t="str">
        <f t="shared" si="89"/>
        <v/>
      </c>
      <c r="Q140" s="4" t="str">
        <f t="shared" si="89"/>
        <v/>
      </c>
      <c r="R140" s="4" t="str">
        <f t="shared" si="89"/>
        <v/>
      </c>
      <c r="S140" s="4" t="str">
        <f t="shared" si="89"/>
        <v/>
      </c>
      <c r="T140" s="4" t="str">
        <f t="shared" si="89"/>
        <v/>
      </c>
      <c r="U140" s="4" t="str">
        <f t="shared" si="89"/>
        <v/>
      </c>
      <c r="V140" s="4" t="str">
        <f t="shared" si="89"/>
        <v/>
      </c>
      <c r="W140" s="4" t="str">
        <f t="shared" si="89"/>
        <v/>
      </c>
      <c r="X140" s="4" t="str">
        <f t="shared" si="89"/>
        <v/>
      </c>
      <c r="Y140" s="4" t="str">
        <f t="shared" si="89"/>
        <v/>
      </c>
      <c r="Z140" s="4" t="str">
        <f t="shared" si="89"/>
        <v/>
      </c>
    </row>
    <row r="141" spans="1:26" outlineLevel="1" x14ac:dyDescent="0.4">
      <c r="A141" s="1"/>
      <c r="B141" s="1" t="s">
        <v>63</v>
      </c>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outlineLevel="1" x14ac:dyDescent="0.4">
      <c r="A142" s="1"/>
      <c r="B142" t="s">
        <v>0</v>
      </c>
      <c r="C142" t="s">
        <v>624</v>
      </c>
      <c r="D142" s="4">
        <f>IFERROR(D98,"")</f>
        <v>-2.7577699999999998</v>
      </c>
      <c r="E142" s="4">
        <f t="shared" ref="E142:K142" si="90">IFERROR(E98,"")</f>
        <v>-1.84205</v>
      </c>
      <c r="F142" s="4">
        <f t="shared" si="90"/>
        <v>0.34606999999999999</v>
      </c>
      <c r="G142" s="4">
        <f t="shared" si="90"/>
        <v>0.48633999999999999</v>
      </c>
      <c r="H142" s="4">
        <f t="shared" si="90"/>
        <v>0</v>
      </c>
      <c r="I142" s="4">
        <f t="shared" si="90"/>
        <v>0</v>
      </c>
      <c r="J142" s="4">
        <f t="shared" si="90"/>
        <v>0</v>
      </c>
      <c r="K142" s="4">
        <f t="shared" si="90"/>
        <v>0</v>
      </c>
      <c r="L142" s="4">
        <f t="shared" ref="L142:Z142" si="91">IFERROR(L98,"")</f>
        <v>0</v>
      </c>
      <c r="M142" s="4">
        <f t="shared" si="91"/>
        <v>0</v>
      </c>
      <c r="N142" s="4">
        <f t="shared" si="91"/>
        <v>0</v>
      </c>
      <c r="O142" s="4">
        <f t="shared" si="91"/>
        <v>0</v>
      </c>
      <c r="P142" s="4">
        <f t="shared" si="91"/>
        <v>0</v>
      </c>
      <c r="Q142" s="4">
        <f t="shared" si="91"/>
        <v>0</v>
      </c>
      <c r="R142" s="4">
        <f t="shared" si="91"/>
        <v>0</v>
      </c>
      <c r="S142" s="4">
        <f t="shared" si="91"/>
        <v>0</v>
      </c>
      <c r="T142" s="4">
        <f t="shared" si="91"/>
        <v>0</v>
      </c>
      <c r="U142" s="4">
        <f t="shared" si="91"/>
        <v>0</v>
      </c>
      <c r="V142" s="4">
        <f t="shared" si="91"/>
        <v>0</v>
      </c>
      <c r="W142" s="4">
        <f t="shared" si="91"/>
        <v>0</v>
      </c>
      <c r="X142" s="4">
        <f t="shared" si="91"/>
        <v>0</v>
      </c>
      <c r="Y142" s="4">
        <f t="shared" si="91"/>
        <v>0</v>
      </c>
      <c r="Z142" s="4">
        <f t="shared" si="91"/>
        <v>0</v>
      </c>
    </row>
    <row r="143" spans="1:26" outlineLevel="1" x14ac:dyDescent="0.4">
      <c r="A143" s="1"/>
      <c r="B143" t="s">
        <v>3</v>
      </c>
      <c r="C143" t="s">
        <v>625</v>
      </c>
      <c r="D143" s="4">
        <f>IFERROR(D99,"")</f>
        <v>-0.26416000000000001</v>
      </c>
      <c r="E143" s="4">
        <f t="shared" ref="E143:K143" si="92">IFERROR(E99,"")</f>
        <v>1.54579</v>
      </c>
      <c r="F143" s="4">
        <f t="shared" si="92"/>
        <v>3.8204099999999999</v>
      </c>
      <c r="G143" s="4">
        <f t="shared" si="92"/>
        <v>3.6435300000000002</v>
      </c>
      <c r="H143" s="4">
        <f t="shared" si="92"/>
        <v>0</v>
      </c>
      <c r="I143" s="4">
        <f t="shared" si="92"/>
        <v>0</v>
      </c>
      <c r="J143" s="4">
        <f t="shared" si="92"/>
        <v>0</v>
      </c>
      <c r="K143" s="4">
        <f t="shared" si="92"/>
        <v>0</v>
      </c>
      <c r="L143" s="4">
        <f t="shared" ref="L143:Z143" si="93">IFERROR(L99,"")</f>
        <v>0</v>
      </c>
      <c r="M143" s="4">
        <f t="shared" si="93"/>
        <v>0</v>
      </c>
      <c r="N143" s="4">
        <f t="shared" si="93"/>
        <v>0</v>
      </c>
      <c r="O143" s="4">
        <f t="shared" si="93"/>
        <v>0</v>
      </c>
      <c r="P143" s="4">
        <f t="shared" si="93"/>
        <v>0</v>
      </c>
      <c r="Q143" s="4">
        <f t="shared" si="93"/>
        <v>0</v>
      </c>
      <c r="R143" s="4">
        <f t="shared" si="93"/>
        <v>0</v>
      </c>
      <c r="S143" s="4">
        <f t="shared" si="93"/>
        <v>0</v>
      </c>
      <c r="T143" s="4">
        <f t="shared" si="93"/>
        <v>0</v>
      </c>
      <c r="U143" s="4">
        <f t="shared" si="93"/>
        <v>0</v>
      </c>
      <c r="V143" s="4">
        <f t="shared" si="93"/>
        <v>0</v>
      </c>
      <c r="W143" s="4">
        <f t="shared" si="93"/>
        <v>0</v>
      </c>
      <c r="X143" s="4">
        <f t="shared" si="93"/>
        <v>0</v>
      </c>
      <c r="Y143" s="4">
        <f t="shared" si="93"/>
        <v>0</v>
      </c>
      <c r="Z143" s="4">
        <f t="shared" si="93"/>
        <v>0</v>
      </c>
    </row>
    <row r="144" spans="1:26" outlineLevel="1" x14ac:dyDescent="0.4">
      <c r="A144" s="1"/>
      <c r="B144" s="1" t="s">
        <v>20</v>
      </c>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outlineLevel="1" x14ac:dyDescent="0.4">
      <c r="A145" s="1"/>
      <c r="B145" t="s">
        <v>1</v>
      </c>
      <c r="D145" s="4">
        <f>IFERROR(D200/D$34*100,"")</f>
        <v>177.77272162957399</v>
      </c>
      <c r="E145" s="4">
        <f t="shared" ref="E145:K145" si="94">IFERROR(E200/E$34*100,"")</f>
        <v>164.27800194226435</v>
      </c>
      <c r="F145" s="4">
        <f t="shared" si="94"/>
        <v>154.16497702081645</v>
      </c>
      <c r="G145" s="4">
        <f t="shared" si="94"/>
        <v>146.13231049104562</v>
      </c>
      <c r="H145" s="4" t="str">
        <f t="shared" si="94"/>
        <v/>
      </c>
      <c r="I145" s="4" t="str">
        <f t="shared" si="94"/>
        <v/>
      </c>
      <c r="J145" s="4" t="str">
        <f t="shared" si="94"/>
        <v/>
      </c>
      <c r="K145" s="4" t="str">
        <f t="shared" si="94"/>
        <v/>
      </c>
      <c r="L145" s="4" t="str">
        <f t="shared" ref="L145:Z145" si="95">IFERROR(L200/L$34*100,"")</f>
        <v/>
      </c>
      <c r="M145" s="4" t="str">
        <f t="shared" si="95"/>
        <v/>
      </c>
      <c r="N145" s="4" t="str">
        <f t="shared" si="95"/>
        <v/>
      </c>
      <c r="O145" s="4" t="str">
        <f t="shared" si="95"/>
        <v/>
      </c>
      <c r="P145" s="4" t="str">
        <f t="shared" si="95"/>
        <v/>
      </c>
      <c r="Q145" s="4" t="str">
        <f t="shared" si="95"/>
        <v/>
      </c>
      <c r="R145" s="4" t="str">
        <f t="shared" si="95"/>
        <v/>
      </c>
      <c r="S145" s="4" t="str">
        <f t="shared" si="95"/>
        <v/>
      </c>
      <c r="T145" s="4" t="str">
        <f t="shared" si="95"/>
        <v/>
      </c>
      <c r="U145" s="4" t="str">
        <f t="shared" si="95"/>
        <v/>
      </c>
      <c r="V145" s="4" t="str">
        <f t="shared" si="95"/>
        <v/>
      </c>
      <c r="W145" s="4" t="str">
        <f t="shared" si="95"/>
        <v/>
      </c>
      <c r="X145" s="4" t="str">
        <f t="shared" si="95"/>
        <v/>
      </c>
      <c r="Y145" s="4" t="str">
        <f t="shared" si="95"/>
        <v/>
      </c>
      <c r="Z145" s="4" t="str">
        <f t="shared" si="95"/>
        <v/>
      </c>
    </row>
    <row r="146" spans="1:26" outlineLevel="1" x14ac:dyDescent="0.4">
      <c r="A146" s="1"/>
      <c r="B146" t="s">
        <v>2</v>
      </c>
      <c r="D146" s="4">
        <f>IFERROR(D201/D$34*100,"")</f>
        <v>0</v>
      </c>
      <c r="E146" s="4">
        <f t="shared" ref="E146:K146" si="96">IFERROR(E201/E$34*100,"")</f>
        <v>0.4917970039993555</v>
      </c>
      <c r="F146" s="4">
        <f t="shared" si="96"/>
        <v>-1.7513179237631793</v>
      </c>
      <c r="G146" s="4">
        <f t="shared" si="96"/>
        <v>-0.82100649195079434</v>
      </c>
      <c r="H146" s="4" t="str">
        <f t="shared" si="96"/>
        <v/>
      </c>
      <c r="I146" s="4" t="str">
        <f t="shared" si="96"/>
        <v/>
      </c>
      <c r="J146" s="4" t="str">
        <f t="shared" si="96"/>
        <v/>
      </c>
      <c r="K146" s="4" t="str">
        <f t="shared" si="96"/>
        <v/>
      </c>
      <c r="L146" s="4" t="str">
        <f t="shared" ref="L146:Z146" si="97">IFERROR(L201/L$34*100,"")</f>
        <v/>
      </c>
      <c r="M146" s="4" t="str">
        <f t="shared" si="97"/>
        <v/>
      </c>
      <c r="N146" s="4" t="str">
        <f t="shared" si="97"/>
        <v/>
      </c>
      <c r="O146" s="4" t="str">
        <f t="shared" si="97"/>
        <v/>
      </c>
      <c r="P146" s="4" t="str">
        <f t="shared" si="97"/>
        <v/>
      </c>
      <c r="Q146" s="4" t="str">
        <f t="shared" si="97"/>
        <v/>
      </c>
      <c r="R146" s="4" t="str">
        <f t="shared" si="97"/>
        <v/>
      </c>
      <c r="S146" s="4" t="str">
        <f t="shared" si="97"/>
        <v/>
      </c>
      <c r="T146" s="4" t="str">
        <f t="shared" si="97"/>
        <v/>
      </c>
      <c r="U146" s="4" t="str">
        <f t="shared" si="97"/>
        <v/>
      </c>
      <c r="V146" s="4" t="str">
        <f t="shared" si="97"/>
        <v/>
      </c>
      <c r="W146" s="4" t="str">
        <f t="shared" si="97"/>
        <v/>
      </c>
      <c r="X146" s="4" t="str">
        <f t="shared" si="97"/>
        <v/>
      </c>
      <c r="Y146" s="4" t="str">
        <f t="shared" si="97"/>
        <v/>
      </c>
      <c r="Z146" s="4" t="str">
        <f t="shared" si="97"/>
        <v/>
      </c>
    </row>
    <row r="147" spans="1:26" outlineLevel="1" x14ac:dyDescent="0.4">
      <c r="A147" s="1"/>
      <c r="B147" t="s">
        <v>64</v>
      </c>
      <c r="D147" s="4"/>
      <c r="E147" s="4"/>
      <c r="F147" s="4"/>
      <c r="G147" s="4"/>
      <c r="H147" s="4"/>
      <c r="I147" s="4"/>
      <c r="J147" s="4"/>
      <c r="K147" s="4"/>
      <c r="L147" s="4"/>
      <c r="M147" s="4"/>
      <c r="N147" s="4"/>
      <c r="O147" s="4"/>
      <c r="P147" s="4"/>
      <c r="Q147" s="4"/>
      <c r="R147" s="4"/>
      <c r="S147" s="4"/>
      <c r="T147" s="4"/>
      <c r="U147" s="4"/>
      <c r="V147" s="4"/>
      <c r="W147" s="4"/>
      <c r="X147" s="4"/>
      <c r="Y147" s="4"/>
      <c r="Z147" s="4"/>
    </row>
    <row r="148" spans="1:26" outlineLevel="1" x14ac:dyDescent="0.4">
      <c r="A148" s="1"/>
      <c r="B148" t="s">
        <v>65</v>
      </c>
      <c r="D148" s="4">
        <f t="shared" ref="D148:D153" si="98">IFERROR(D203/D$34*100,"")</f>
        <v>5.0654875857874568</v>
      </c>
      <c r="E148" s="4">
        <f t="shared" ref="E148:K148" si="99">IFERROR(E203/E$34*100,"")</f>
        <v>4.8178303785457226</v>
      </c>
      <c r="F148" s="4">
        <f t="shared" si="99"/>
        <v>2.1272641254393077</v>
      </c>
      <c r="G148" s="4">
        <f t="shared" si="99"/>
        <v>1.4298156218328939</v>
      </c>
      <c r="H148" s="4" t="str">
        <f t="shared" si="99"/>
        <v/>
      </c>
      <c r="I148" s="4" t="str">
        <f t="shared" si="99"/>
        <v/>
      </c>
      <c r="J148" s="4" t="str">
        <f t="shared" si="99"/>
        <v/>
      </c>
      <c r="K148" s="4" t="str">
        <f t="shared" si="99"/>
        <v/>
      </c>
      <c r="L148" s="4" t="str">
        <f t="shared" ref="L148:Z148" si="100">IFERROR(L203/L$34*100,"")</f>
        <v/>
      </c>
      <c r="M148" s="4" t="str">
        <f t="shared" si="100"/>
        <v/>
      </c>
      <c r="N148" s="4" t="str">
        <f t="shared" si="100"/>
        <v/>
      </c>
      <c r="O148" s="4" t="str">
        <f t="shared" si="100"/>
        <v/>
      </c>
      <c r="P148" s="4" t="str">
        <f t="shared" si="100"/>
        <v/>
      </c>
      <c r="Q148" s="4" t="str">
        <f t="shared" si="100"/>
        <v/>
      </c>
      <c r="R148" s="4" t="str">
        <f t="shared" si="100"/>
        <v/>
      </c>
      <c r="S148" s="4" t="str">
        <f t="shared" si="100"/>
        <v/>
      </c>
      <c r="T148" s="4" t="str">
        <f t="shared" si="100"/>
        <v/>
      </c>
      <c r="U148" s="4" t="str">
        <f t="shared" si="100"/>
        <v/>
      </c>
      <c r="V148" s="4" t="str">
        <f t="shared" si="100"/>
        <v/>
      </c>
      <c r="W148" s="4" t="str">
        <f t="shared" si="100"/>
        <v/>
      </c>
      <c r="X148" s="4" t="str">
        <f t="shared" si="100"/>
        <v/>
      </c>
      <c r="Y148" s="4" t="str">
        <f t="shared" si="100"/>
        <v/>
      </c>
      <c r="Z148" s="4" t="str">
        <f t="shared" si="100"/>
        <v/>
      </c>
    </row>
    <row r="149" spans="1:26" outlineLevel="1" x14ac:dyDescent="0.4">
      <c r="A149" s="1"/>
      <c r="B149" t="s">
        <v>66</v>
      </c>
      <c r="D149" s="4">
        <f t="shared" si="98"/>
        <v>0</v>
      </c>
      <c r="E149" s="4">
        <f t="shared" ref="E149:K149" si="101">IFERROR(E204/E$34*100,"")</f>
        <v>0</v>
      </c>
      <c r="F149" s="4">
        <f t="shared" si="101"/>
        <v>0</v>
      </c>
      <c r="G149" s="4">
        <f t="shared" si="101"/>
        <v>0</v>
      </c>
      <c r="H149" s="4" t="str">
        <f t="shared" si="101"/>
        <v/>
      </c>
      <c r="I149" s="4" t="str">
        <f t="shared" si="101"/>
        <v/>
      </c>
      <c r="J149" s="4" t="str">
        <f t="shared" si="101"/>
        <v/>
      </c>
      <c r="K149" s="4" t="str">
        <f t="shared" si="101"/>
        <v/>
      </c>
      <c r="L149" s="4" t="str">
        <f t="shared" ref="L149:Z149" si="102">IFERROR(L204/L$34*100,"")</f>
        <v/>
      </c>
      <c r="M149" s="4" t="str">
        <f t="shared" si="102"/>
        <v/>
      </c>
      <c r="N149" s="4" t="str">
        <f t="shared" si="102"/>
        <v/>
      </c>
      <c r="O149" s="4" t="str">
        <f t="shared" si="102"/>
        <v/>
      </c>
      <c r="P149" s="4" t="str">
        <f t="shared" si="102"/>
        <v/>
      </c>
      <c r="Q149" s="4" t="str">
        <f t="shared" si="102"/>
        <v/>
      </c>
      <c r="R149" s="4" t="str">
        <f t="shared" si="102"/>
        <v/>
      </c>
      <c r="S149" s="4" t="str">
        <f t="shared" si="102"/>
        <v/>
      </c>
      <c r="T149" s="4" t="str">
        <f t="shared" si="102"/>
        <v/>
      </c>
      <c r="U149" s="4" t="str">
        <f t="shared" si="102"/>
        <v/>
      </c>
      <c r="V149" s="4" t="str">
        <f t="shared" si="102"/>
        <v/>
      </c>
      <c r="W149" s="4" t="str">
        <f t="shared" si="102"/>
        <v/>
      </c>
      <c r="X149" s="4" t="str">
        <f t="shared" si="102"/>
        <v/>
      </c>
      <c r="Y149" s="4" t="str">
        <f t="shared" si="102"/>
        <v/>
      </c>
      <c r="Z149" s="4" t="str">
        <f t="shared" si="102"/>
        <v/>
      </c>
    </row>
    <row r="150" spans="1:26" outlineLevel="1" x14ac:dyDescent="0.4">
      <c r="A150" s="1"/>
      <c r="B150" t="s">
        <v>67</v>
      </c>
      <c r="D150" s="4">
        <f t="shared" si="98"/>
        <v>2.4936150026544777</v>
      </c>
      <c r="E150" s="4">
        <f t="shared" ref="E150:K150" si="103">IFERROR(E205/E$34*100,"")</f>
        <v>3.3878360130706735</v>
      </c>
      <c r="F150" s="4">
        <f t="shared" si="103"/>
        <v>3.4743342795350096</v>
      </c>
      <c r="G150" s="4">
        <f t="shared" si="103"/>
        <v>3.1571907324110735</v>
      </c>
      <c r="H150" s="4" t="str">
        <f t="shared" si="103"/>
        <v/>
      </c>
      <c r="I150" s="4" t="str">
        <f t="shared" si="103"/>
        <v/>
      </c>
      <c r="J150" s="4" t="str">
        <f t="shared" si="103"/>
        <v/>
      </c>
      <c r="K150" s="4" t="str">
        <f t="shared" si="103"/>
        <v/>
      </c>
      <c r="L150" s="4" t="str">
        <f t="shared" ref="L150:Z150" si="104">IFERROR(L205/L$34*100,"")</f>
        <v/>
      </c>
      <c r="M150" s="4" t="str">
        <f t="shared" si="104"/>
        <v/>
      </c>
      <c r="N150" s="4" t="str">
        <f t="shared" si="104"/>
        <v/>
      </c>
      <c r="O150" s="4" t="str">
        <f t="shared" si="104"/>
        <v/>
      </c>
      <c r="P150" s="4" t="str">
        <f t="shared" si="104"/>
        <v/>
      </c>
      <c r="Q150" s="4" t="str">
        <f t="shared" si="104"/>
        <v/>
      </c>
      <c r="R150" s="4" t="str">
        <f t="shared" si="104"/>
        <v/>
      </c>
      <c r="S150" s="4" t="str">
        <f t="shared" si="104"/>
        <v/>
      </c>
      <c r="T150" s="4" t="str">
        <f t="shared" si="104"/>
        <v/>
      </c>
      <c r="U150" s="4" t="str">
        <f t="shared" si="104"/>
        <v/>
      </c>
      <c r="V150" s="4" t="str">
        <f t="shared" si="104"/>
        <v/>
      </c>
      <c r="W150" s="4" t="str">
        <f t="shared" si="104"/>
        <v/>
      </c>
      <c r="X150" s="4" t="str">
        <f t="shared" si="104"/>
        <v/>
      </c>
      <c r="Y150" s="4" t="str">
        <f t="shared" si="104"/>
        <v/>
      </c>
      <c r="Z150" s="4" t="str">
        <f t="shared" si="104"/>
        <v/>
      </c>
    </row>
    <row r="151" spans="1:26" outlineLevel="1" x14ac:dyDescent="0.4">
      <c r="A151" s="1"/>
      <c r="B151" t="s">
        <v>68</v>
      </c>
      <c r="D151" s="4">
        <f t="shared" si="98"/>
        <v>0</v>
      </c>
      <c r="E151" s="4">
        <f t="shared" ref="E151:K151" si="105">IFERROR(E206/E$34*100,"")</f>
        <v>0</v>
      </c>
      <c r="F151" s="4">
        <f t="shared" si="105"/>
        <v>0</v>
      </c>
      <c r="G151" s="4">
        <f t="shared" si="105"/>
        <v>0</v>
      </c>
      <c r="H151" s="4" t="str">
        <f t="shared" si="105"/>
        <v/>
      </c>
      <c r="I151" s="4" t="str">
        <f t="shared" si="105"/>
        <v/>
      </c>
      <c r="J151" s="4" t="str">
        <f t="shared" si="105"/>
        <v/>
      </c>
      <c r="K151" s="4" t="str">
        <f t="shared" si="105"/>
        <v/>
      </c>
      <c r="L151" s="4" t="str">
        <f t="shared" ref="L151:Z151" si="106">IFERROR(L206/L$34*100,"")</f>
        <v/>
      </c>
      <c r="M151" s="4" t="str">
        <f t="shared" si="106"/>
        <v/>
      </c>
      <c r="N151" s="4" t="str">
        <f t="shared" si="106"/>
        <v/>
      </c>
      <c r="O151" s="4" t="str">
        <f t="shared" si="106"/>
        <v/>
      </c>
      <c r="P151" s="4" t="str">
        <f t="shared" si="106"/>
        <v/>
      </c>
      <c r="Q151" s="4" t="str">
        <f t="shared" si="106"/>
        <v/>
      </c>
      <c r="R151" s="4" t="str">
        <f t="shared" si="106"/>
        <v/>
      </c>
      <c r="S151" s="4" t="str">
        <f t="shared" si="106"/>
        <v/>
      </c>
      <c r="T151" s="4" t="str">
        <f t="shared" si="106"/>
        <v/>
      </c>
      <c r="U151" s="4" t="str">
        <f t="shared" si="106"/>
        <v/>
      </c>
      <c r="V151" s="4" t="str">
        <f t="shared" si="106"/>
        <v/>
      </c>
      <c r="W151" s="4" t="str">
        <f t="shared" si="106"/>
        <v/>
      </c>
      <c r="X151" s="4" t="str">
        <f t="shared" si="106"/>
        <v/>
      </c>
      <c r="Y151" s="4" t="str">
        <f t="shared" si="106"/>
        <v/>
      </c>
      <c r="Z151" s="4" t="str">
        <f t="shared" si="106"/>
        <v/>
      </c>
    </row>
    <row r="152" spans="1:26" outlineLevel="1" x14ac:dyDescent="0.4">
      <c r="A152" s="1"/>
      <c r="B152" t="s">
        <v>69</v>
      </c>
      <c r="D152" s="4">
        <f t="shared" si="98"/>
        <v>0</v>
      </c>
      <c r="E152" s="4">
        <f t="shared" ref="E152:K152" si="107">IFERROR(E207/E$34*100,"")</f>
        <v>0</v>
      </c>
      <c r="F152" s="4">
        <f t="shared" si="107"/>
        <v>0</v>
      </c>
      <c r="G152" s="4">
        <f t="shared" si="107"/>
        <v>0</v>
      </c>
      <c r="H152" s="4" t="str">
        <f t="shared" si="107"/>
        <v/>
      </c>
      <c r="I152" s="4" t="str">
        <f t="shared" si="107"/>
        <v/>
      </c>
      <c r="J152" s="4" t="str">
        <f t="shared" si="107"/>
        <v/>
      </c>
      <c r="K152" s="4" t="str">
        <f t="shared" si="107"/>
        <v/>
      </c>
      <c r="L152" s="4" t="str">
        <f t="shared" ref="L152:Z152" si="108">IFERROR(L207/L$34*100,"")</f>
        <v/>
      </c>
      <c r="M152" s="4" t="str">
        <f t="shared" si="108"/>
        <v/>
      </c>
      <c r="N152" s="4" t="str">
        <f t="shared" si="108"/>
        <v/>
      </c>
      <c r="O152" s="4" t="str">
        <f t="shared" si="108"/>
        <v/>
      </c>
      <c r="P152" s="4" t="str">
        <f t="shared" si="108"/>
        <v/>
      </c>
      <c r="Q152" s="4" t="str">
        <f t="shared" si="108"/>
        <v/>
      </c>
      <c r="R152" s="4" t="str">
        <f t="shared" si="108"/>
        <v/>
      </c>
      <c r="S152" s="4" t="str">
        <f t="shared" si="108"/>
        <v/>
      </c>
      <c r="T152" s="4" t="str">
        <f t="shared" si="108"/>
        <v/>
      </c>
      <c r="U152" s="4" t="str">
        <f t="shared" si="108"/>
        <v/>
      </c>
      <c r="V152" s="4" t="str">
        <f t="shared" si="108"/>
        <v/>
      </c>
      <c r="W152" s="4" t="str">
        <f t="shared" si="108"/>
        <v/>
      </c>
      <c r="X152" s="4" t="str">
        <f t="shared" si="108"/>
        <v/>
      </c>
      <c r="Y152" s="4" t="str">
        <f t="shared" si="108"/>
        <v/>
      </c>
      <c r="Z152" s="4" t="str">
        <f t="shared" si="108"/>
        <v/>
      </c>
    </row>
    <row r="153" spans="1:26" outlineLevel="1" x14ac:dyDescent="0.4">
      <c r="A153" s="1"/>
      <c r="B153" t="s">
        <v>70</v>
      </c>
      <c r="D153" s="4">
        <f t="shared" si="98"/>
        <v>-5.0654875857874568</v>
      </c>
      <c r="E153" s="4">
        <f t="shared" ref="E153:K153" si="109">IFERROR(E208/E$34*100,"")</f>
        <v>-4.326033374546367</v>
      </c>
      <c r="F153" s="4">
        <f t="shared" si="109"/>
        <v>-3.8785820492024872</v>
      </c>
      <c r="G153" s="4">
        <f t="shared" si="109"/>
        <v>-2.2508221137836881</v>
      </c>
      <c r="H153" s="4" t="str">
        <f t="shared" si="109"/>
        <v/>
      </c>
      <c r="I153" s="4" t="str">
        <f t="shared" si="109"/>
        <v/>
      </c>
      <c r="J153" s="4" t="str">
        <f t="shared" si="109"/>
        <v/>
      </c>
      <c r="K153" s="4" t="str">
        <f t="shared" si="109"/>
        <v/>
      </c>
      <c r="L153" s="4" t="str">
        <f t="shared" ref="L153:Z153" si="110">IFERROR(L208/L$34*100,"")</f>
        <v/>
      </c>
      <c r="M153" s="4" t="str">
        <f t="shared" si="110"/>
        <v/>
      </c>
      <c r="N153" s="4" t="str">
        <f t="shared" si="110"/>
        <v/>
      </c>
      <c r="O153" s="4" t="str">
        <f t="shared" si="110"/>
        <v/>
      </c>
      <c r="P153" s="4" t="str">
        <f t="shared" si="110"/>
        <v/>
      </c>
      <c r="Q153" s="4" t="str">
        <f t="shared" si="110"/>
        <v/>
      </c>
      <c r="R153" s="4" t="str">
        <f t="shared" si="110"/>
        <v/>
      </c>
      <c r="S153" s="4" t="str">
        <f t="shared" si="110"/>
        <v/>
      </c>
      <c r="T153" s="4" t="str">
        <f t="shared" si="110"/>
        <v/>
      </c>
      <c r="U153" s="4" t="str">
        <f t="shared" si="110"/>
        <v/>
      </c>
      <c r="V153" s="4" t="str">
        <f t="shared" si="110"/>
        <v/>
      </c>
      <c r="W153" s="4" t="str">
        <f t="shared" si="110"/>
        <v/>
      </c>
      <c r="X153" s="4" t="str">
        <f t="shared" si="110"/>
        <v/>
      </c>
      <c r="Y153" s="4" t="str">
        <f t="shared" si="110"/>
        <v/>
      </c>
      <c r="Z153" s="4" t="str">
        <f t="shared" si="110"/>
        <v/>
      </c>
    </row>
    <row r="154" spans="1:26" outlineLevel="1" x14ac:dyDescent="0.4">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outlineLevel="1" x14ac:dyDescent="0.4">
      <c r="A155" s="1"/>
      <c r="B155" s="7" t="s">
        <v>71</v>
      </c>
      <c r="C155" s="7"/>
      <c r="D155" s="7"/>
      <c r="E155" s="7"/>
      <c r="F155" s="7"/>
      <c r="G155" s="7"/>
      <c r="H155" s="7"/>
      <c r="I155" s="7"/>
      <c r="J155" s="7"/>
      <c r="K155" s="7"/>
      <c r="L155" s="7"/>
      <c r="M155" s="7"/>
      <c r="N155" s="7"/>
      <c r="O155" s="7"/>
      <c r="P155" s="7"/>
      <c r="Q155" s="7"/>
      <c r="R155" s="7"/>
      <c r="S155" s="7"/>
      <c r="T155" s="7"/>
      <c r="U155" s="7"/>
      <c r="V155" s="7"/>
      <c r="W155" s="7"/>
      <c r="X155" s="7"/>
      <c r="Y155" s="7"/>
      <c r="Z155" s="7"/>
    </row>
    <row r="156" spans="1:26" ht="14.65" customHeight="1" outlineLevel="1" x14ac:dyDescent="0.7">
      <c r="A156" s="14"/>
      <c r="B156" s="58"/>
    </row>
    <row r="157" spans="1:26" outlineLevel="1" x14ac:dyDescent="0.4">
      <c r="A157" s="1" t="s">
        <v>630</v>
      </c>
      <c r="B157" s="1"/>
      <c r="C157" s="1" t="s">
        <v>31</v>
      </c>
      <c r="D157" s="64" cm="1">
        <f t="array" ref="D157:G157">_xlfn.SEQUENCE(1, OutturnThrough-MTP_BaseYear+2, MTP_BaseYear-1)</f>
        <v>2022</v>
      </c>
      <c r="E157" s="64">
        <v>2023</v>
      </c>
      <c r="F157" s="64">
        <v>2024</v>
      </c>
      <c r="G157" s="64">
        <v>2025</v>
      </c>
      <c r="H157" s="64"/>
      <c r="I157" s="64"/>
      <c r="J157" s="64"/>
      <c r="K157" s="64"/>
      <c r="L157" s="64"/>
      <c r="M157" s="64"/>
      <c r="N157" s="64"/>
      <c r="O157" s="64"/>
      <c r="P157" s="64"/>
      <c r="Q157" s="64"/>
      <c r="R157" s="64"/>
      <c r="S157" s="64"/>
      <c r="T157" s="64"/>
      <c r="U157" s="64"/>
      <c r="V157" s="64"/>
      <c r="W157" s="64"/>
      <c r="X157" s="64"/>
      <c r="Y157" s="64"/>
      <c r="Z157" s="64"/>
    </row>
    <row r="158" spans="1:26" outlineLevel="1" x14ac:dyDescent="0.4">
      <c r="A158" s="1"/>
      <c r="B158" s="1" t="s">
        <v>255</v>
      </c>
      <c r="C158" s="1"/>
      <c r="D158" s="64" t="str" cm="1">
        <f t="array" ref="D158:G158">IF(_xlfn.ANCHORARRAY(D103) = MTP_YearT, "T", "T" &amp; IF(_xlfn.ANCHORARRAY(D103) &gt; MTP_YearT, "+", "") &amp; (_xlfn.ANCHORARRAY(D103) - MTP_YearT))</f>
        <v>T-2</v>
      </c>
      <c r="E158" s="64" t="str">
        <v>T-1</v>
      </c>
      <c r="F158" s="64" t="str">
        <v>T</v>
      </c>
      <c r="G158" s="64" t="str">
        <v>T+1</v>
      </c>
      <c r="H158" s="64"/>
      <c r="I158" s="64"/>
      <c r="J158" s="64"/>
      <c r="K158" s="64"/>
      <c r="L158" s="64"/>
      <c r="M158" s="64"/>
      <c r="N158" s="64"/>
      <c r="O158" s="64"/>
      <c r="P158" s="64"/>
      <c r="Q158" s="64"/>
      <c r="R158" s="64"/>
      <c r="S158" s="64"/>
      <c r="T158" s="64"/>
      <c r="U158" s="64"/>
      <c r="V158" s="64"/>
      <c r="W158" s="64"/>
      <c r="X158" s="64"/>
      <c r="Y158" s="64"/>
      <c r="Z158" s="64"/>
    </row>
    <row r="159" spans="1:26" outlineLevel="1" x14ac:dyDescent="0.4">
      <c r="A159" s="1"/>
      <c r="B159" s="1" t="s">
        <v>30</v>
      </c>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outlineLevel="1" x14ac:dyDescent="0.4">
      <c r="A160" s="1">
        <v>1</v>
      </c>
      <c r="B160" t="s">
        <v>32</v>
      </c>
      <c r="C160" t="s">
        <v>72</v>
      </c>
      <c r="D160" s="9">
        <f t="shared" ref="D160:E160" si="111">D50</f>
        <v>39510</v>
      </c>
      <c r="E160" s="9">
        <f t="shared" si="111"/>
        <v>38430</v>
      </c>
      <c r="F160" s="9">
        <f t="shared" ref="F160:K160" si="112">F50</f>
        <v>40195</v>
      </c>
      <c r="G160" s="9">
        <f t="shared" si="112"/>
        <v>42621</v>
      </c>
      <c r="H160" s="9">
        <f t="shared" si="112"/>
        <v>0</v>
      </c>
      <c r="I160" s="9">
        <f t="shared" si="112"/>
        <v>0</v>
      </c>
      <c r="J160" s="9">
        <f t="shared" si="112"/>
        <v>0</v>
      </c>
      <c r="K160" s="9">
        <f t="shared" si="112"/>
        <v>0</v>
      </c>
      <c r="L160" s="9">
        <f t="shared" ref="L160:Z160" si="113">L50</f>
        <v>0</v>
      </c>
      <c r="M160" s="9">
        <f t="shared" si="113"/>
        <v>0</v>
      </c>
      <c r="N160" s="9">
        <f t="shared" si="113"/>
        <v>0</v>
      </c>
      <c r="O160" s="9">
        <f t="shared" si="113"/>
        <v>0</v>
      </c>
      <c r="P160" s="9">
        <f t="shared" si="113"/>
        <v>0</v>
      </c>
      <c r="Q160" s="9">
        <f t="shared" si="113"/>
        <v>0</v>
      </c>
      <c r="R160" s="9">
        <f t="shared" si="113"/>
        <v>0</v>
      </c>
      <c r="S160" s="9">
        <f t="shared" si="113"/>
        <v>0</v>
      </c>
      <c r="T160" s="9">
        <f t="shared" si="113"/>
        <v>0</v>
      </c>
      <c r="U160" s="9">
        <f t="shared" si="113"/>
        <v>0</v>
      </c>
      <c r="V160" s="9">
        <f t="shared" si="113"/>
        <v>0</v>
      </c>
      <c r="W160" s="9">
        <f t="shared" si="113"/>
        <v>0</v>
      </c>
      <c r="X160" s="9">
        <f t="shared" si="113"/>
        <v>0</v>
      </c>
      <c r="Y160" s="9">
        <f t="shared" si="113"/>
        <v>0</v>
      </c>
      <c r="Z160" s="9">
        <f t="shared" si="113"/>
        <v>0</v>
      </c>
    </row>
    <row r="161" spans="1:26" outlineLevel="1" x14ac:dyDescent="0.4">
      <c r="A161" s="1">
        <v>2</v>
      </c>
      <c r="B161" t="s">
        <v>33</v>
      </c>
      <c r="C161" t="s">
        <v>73</v>
      </c>
      <c r="D161" s="9">
        <f t="shared" ref="D161:E161" si="114">D55</f>
        <v>19151</v>
      </c>
      <c r="E161" s="9">
        <f t="shared" si="114"/>
        <v>22802</v>
      </c>
      <c r="F161" s="9">
        <f t="shared" ref="F161:K161" si="115">F55</f>
        <v>26397</v>
      </c>
      <c r="G161" s="9">
        <f t="shared" si="115"/>
        <v>27474</v>
      </c>
      <c r="H161" s="9">
        <f t="shared" si="115"/>
        <v>0</v>
      </c>
      <c r="I161" s="9">
        <f t="shared" si="115"/>
        <v>0</v>
      </c>
      <c r="J161" s="9">
        <f t="shared" si="115"/>
        <v>0</v>
      </c>
      <c r="K161" s="9">
        <f t="shared" si="115"/>
        <v>0</v>
      </c>
      <c r="L161" s="9">
        <f t="shared" ref="L161:Z161" si="116">L55</f>
        <v>0</v>
      </c>
      <c r="M161" s="9">
        <f t="shared" si="116"/>
        <v>0</v>
      </c>
      <c r="N161" s="9">
        <f t="shared" si="116"/>
        <v>0</v>
      </c>
      <c r="O161" s="9">
        <f t="shared" si="116"/>
        <v>0</v>
      </c>
      <c r="P161" s="9">
        <f t="shared" si="116"/>
        <v>0</v>
      </c>
      <c r="Q161" s="9">
        <f t="shared" si="116"/>
        <v>0</v>
      </c>
      <c r="R161" s="9">
        <f t="shared" si="116"/>
        <v>0</v>
      </c>
      <c r="S161" s="9">
        <f t="shared" si="116"/>
        <v>0</v>
      </c>
      <c r="T161" s="9">
        <f t="shared" si="116"/>
        <v>0</v>
      </c>
      <c r="U161" s="9">
        <f t="shared" si="116"/>
        <v>0</v>
      </c>
      <c r="V161" s="9">
        <f t="shared" si="116"/>
        <v>0</v>
      </c>
      <c r="W161" s="9">
        <f t="shared" si="116"/>
        <v>0</v>
      </c>
      <c r="X161" s="9">
        <f t="shared" si="116"/>
        <v>0</v>
      </c>
      <c r="Y161" s="9">
        <f t="shared" si="116"/>
        <v>0</v>
      </c>
      <c r="Z161" s="9">
        <f t="shared" si="116"/>
        <v>0</v>
      </c>
    </row>
    <row r="162" spans="1:26" outlineLevel="1" x14ac:dyDescent="0.4">
      <c r="A162" s="1">
        <v>3</v>
      </c>
      <c r="B162" t="s">
        <v>34</v>
      </c>
      <c r="C162" t="s">
        <v>74</v>
      </c>
      <c r="D162" s="9">
        <f t="shared" ref="D162:E162" si="117">D70</f>
        <v>29041</v>
      </c>
      <c r="E162" s="9">
        <f t="shared" si="117"/>
        <v>29219</v>
      </c>
      <c r="F162" s="9">
        <f t="shared" ref="F162:K162" si="118">F70</f>
        <v>31519</v>
      </c>
      <c r="G162" s="9">
        <f t="shared" si="118"/>
        <v>32504</v>
      </c>
      <c r="H162" s="9">
        <f t="shared" si="118"/>
        <v>0</v>
      </c>
      <c r="I162" s="9">
        <f t="shared" si="118"/>
        <v>0</v>
      </c>
      <c r="J162" s="9">
        <f t="shared" si="118"/>
        <v>0</v>
      </c>
      <c r="K162" s="9">
        <f t="shared" si="118"/>
        <v>0</v>
      </c>
      <c r="L162" s="9">
        <f t="shared" ref="L162:Z162" si="119">L70</f>
        <v>0</v>
      </c>
      <c r="M162" s="9">
        <f t="shared" si="119"/>
        <v>0</v>
      </c>
      <c r="N162" s="9">
        <f t="shared" si="119"/>
        <v>0</v>
      </c>
      <c r="O162" s="9">
        <f t="shared" si="119"/>
        <v>0</v>
      </c>
      <c r="P162" s="9">
        <f t="shared" si="119"/>
        <v>0</v>
      </c>
      <c r="Q162" s="9">
        <f t="shared" si="119"/>
        <v>0</v>
      </c>
      <c r="R162" s="9">
        <f t="shared" si="119"/>
        <v>0</v>
      </c>
      <c r="S162" s="9">
        <f t="shared" si="119"/>
        <v>0</v>
      </c>
      <c r="T162" s="9">
        <f t="shared" si="119"/>
        <v>0</v>
      </c>
      <c r="U162" s="9">
        <f t="shared" si="119"/>
        <v>0</v>
      </c>
      <c r="V162" s="9">
        <f t="shared" si="119"/>
        <v>0</v>
      </c>
      <c r="W162" s="9">
        <f t="shared" si="119"/>
        <v>0</v>
      </c>
      <c r="X162" s="9">
        <f t="shared" si="119"/>
        <v>0</v>
      </c>
      <c r="Y162" s="9">
        <f t="shared" si="119"/>
        <v>0</v>
      </c>
      <c r="Z162" s="9">
        <f t="shared" si="119"/>
        <v>0</v>
      </c>
    </row>
    <row r="163" spans="1:26" outlineLevel="1" x14ac:dyDescent="0.4">
      <c r="A163" s="1">
        <v>4</v>
      </c>
      <c r="B163" t="s">
        <v>36</v>
      </c>
      <c r="C163" t="s">
        <v>75</v>
      </c>
      <c r="D163" s="9">
        <f t="shared" ref="D163:E163" si="120">(D85+D86+D87)+D67+D53+D57</f>
        <v>11471</v>
      </c>
      <c r="E163" s="9">
        <f t="shared" si="120"/>
        <v>11938</v>
      </c>
      <c r="F163" s="9">
        <f t="shared" ref="F163:K163" si="121">(F85+F86+F87)+F67+F53+F57</f>
        <v>12937</v>
      </c>
      <c r="G163" s="9">
        <f t="shared" si="121"/>
        <v>13109</v>
      </c>
      <c r="H163" s="9">
        <f t="shared" si="121"/>
        <v>0</v>
      </c>
      <c r="I163" s="9">
        <f t="shared" si="121"/>
        <v>0</v>
      </c>
      <c r="J163" s="9">
        <f t="shared" si="121"/>
        <v>0</v>
      </c>
      <c r="K163" s="9">
        <f t="shared" si="121"/>
        <v>0</v>
      </c>
      <c r="L163" s="9">
        <f t="shared" ref="L163:Z163" si="122">(L85+L86+L87)+L67+L53+L57</f>
        <v>0</v>
      </c>
      <c r="M163" s="9">
        <f t="shared" si="122"/>
        <v>0</v>
      </c>
      <c r="N163" s="9">
        <f t="shared" si="122"/>
        <v>0</v>
      </c>
      <c r="O163" s="9">
        <f t="shared" si="122"/>
        <v>0</v>
      </c>
      <c r="P163" s="9">
        <f t="shared" si="122"/>
        <v>0</v>
      </c>
      <c r="Q163" s="9">
        <f t="shared" si="122"/>
        <v>0</v>
      </c>
      <c r="R163" s="9">
        <f t="shared" si="122"/>
        <v>0</v>
      </c>
      <c r="S163" s="9">
        <f t="shared" si="122"/>
        <v>0</v>
      </c>
      <c r="T163" s="9">
        <f t="shared" si="122"/>
        <v>0</v>
      </c>
      <c r="U163" s="9">
        <f t="shared" si="122"/>
        <v>0</v>
      </c>
      <c r="V163" s="9">
        <f t="shared" si="122"/>
        <v>0</v>
      </c>
      <c r="W163" s="9">
        <f t="shared" si="122"/>
        <v>0</v>
      </c>
      <c r="X163" s="9">
        <f t="shared" si="122"/>
        <v>0</v>
      </c>
      <c r="Y163" s="9">
        <f t="shared" si="122"/>
        <v>0</v>
      </c>
      <c r="Z163" s="9">
        <f t="shared" si="122"/>
        <v>0</v>
      </c>
    </row>
    <row r="164" spans="1:26" outlineLevel="1" x14ac:dyDescent="0.4">
      <c r="A164" s="1">
        <v>5</v>
      </c>
      <c r="B164" t="s">
        <v>37</v>
      </c>
      <c r="C164" t="s">
        <v>76</v>
      </c>
      <c r="D164" s="9">
        <f t="shared" ref="D164:E164" si="123">D73</f>
        <v>262</v>
      </c>
      <c r="E164" s="9">
        <f t="shared" si="123"/>
        <v>259</v>
      </c>
      <c r="F164" s="9">
        <f t="shared" ref="F164:K164" si="124">F73</f>
        <v>268</v>
      </c>
      <c r="G164" s="9">
        <f t="shared" si="124"/>
        <v>294</v>
      </c>
      <c r="H164" s="9">
        <f t="shared" si="124"/>
        <v>0</v>
      </c>
      <c r="I164" s="9">
        <f t="shared" si="124"/>
        <v>0</v>
      </c>
      <c r="J164" s="9">
        <f t="shared" si="124"/>
        <v>0</v>
      </c>
      <c r="K164" s="9">
        <f t="shared" si="124"/>
        <v>0</v>
      </c>
      <c r="L164" s="9">
        <f t="shared" ref="L164:Z164" si="125">L73</f>
        <v>0</v>
      </c>
      <c r="M164" s="9">
        <f t="shared" si="125"/>
        <v>0</v>
      </c>
      <c r="N164" s="9">
        <f t="shared" si="125"/>
        <v>0</v>
      </c>
      <c r="O164" s="9">
        <f t="shared" si="125"/>
        <v>0</v>
      </c>
      <c r="P164" s="9">
        <f t="shared" si="125"/>
        <v>0</v>
      </c>
      <c r="Q164" s="9">
        <f t="shared" si="125"/>
        <v>0</v>
      </c>
      <c r="R164" s="9">
        <f t="shared" si="125"/>
        <v>0</v>
      </c>
      <c r="S164" s="9">
        <f t="shared" si="125"/>
        <v>0</v>
      </c>
      <c r="T164" s="9">
        <f t="shared" si="125"/>
        <v>0</v>
      </c>
      <c r="U164" s="9">
        <f t="shared" si="125"/>
        <v>0</v>
      </c>
      <c r="V164" s="9">
        <f t="shared" si="125"/>
        <v>0</v>
      </c>
      <c r="W164" s="9">
        <f t="shared" si="125"/>
        <v>0</v>
      </c>
      <c r="X164" s="9">
        <f t="shared" si="125"/>
        <v>0</v>
      </c>
      <c r="Y164" s="9">
        <f t="shared" si="125"/>
        <v>0</v>
      </c>
      <c r="Z164" s="9">
        <f t="shared" si="125"/>
        <v>0</v>
      </c>
    </row>
    <row r="165" spans="1:26" outlineLevel="1" x14ac:dyDescent="0.4">
      <c r="A165" s="1">
        <v>6</v>
      </c>
      <c r="B165" t="s">
        <v>38</v>
      </c>
      <c r="C165" t="s">
        <v>77</v>
      </c>
      <c r="D165" s="9">
        <f t="shared" ref="D165:E165" si="126">D74+D77</f>
        <v>5136</v>
      </c>
      <c r="E165" s="9">
        <f t="shared" si="126"/>
        <v>5394</v>
      </c>
      <c r="F165" s="9">
        <f t="shared" ref="F165:K165" si="127">F74+F77</f>
        <v>5743</v>
      </c>
      <c r="G165" s="9">
        <f t="shared" si="127"/>
        <v>8163</v>
      </c>
      <c r="H165" s="9">
        <f t="shared" si="127"/>
        <v>0</v>
      </c>
      <c r="I165" s="9">
        <f t="shared" si="127"/>
        <v>0</v>
      </c>
      <c r="J165" s="9">
        <f t="shared" si="127"/>
        <v>0</v>
      </c>
      <c r="K165" s="9">
        <f t="shared" si="127"/>
        <v>0</v>
      </c>
      <c r="L165" s="9">
        <f t="shared" ref="L165:Z165" si="128">L74+L77</f>
        <v>0</v>
      </c>
      <c r="M165" s="9">
        <f t="shared" si="128"/>
        <v>0</v>
      </c>
      <c r="N165" s="9">
        <f t="shared" si="128"/>
        <v>0</v>
      </c>
      <c r="O165" s="9">
        <f t="shared" si="128"/>
        <v>0</v>
      </c>
      <c r="P165" s="9">
        <f t="shared" si="128"/>
        <v>0</v>
      </c>
      <c r="Q165" s="9">
        <f t="shared" si="128"/>
        <v>0</v>
      </c>
      <c r="R165" s="9">
        <f t="shared" si="128"/>
        <v>0</v>
      </c>
      <c r="S165" s="9">
        <f t="shared" si="128"/>
        <v>0</v>
      </c>
      <c r="T165" s="9">
        <f t="shared" si="128"/>
        <v>0</v>
      </c>
      <c r="U165" s="9">
        <f t="shared" si="128"/>
        <v>0</v>
      </c>
      <c r="V165" s="9">
        <f t="shared" si="128"/>
        <v>0</v>
      </c>
      <c r="W165" s="9">
        <f t="shared" si="128"/>
        <v>0</v>
      </c>
      <c r="X165" s="9">
        <f t="shared" si="128"/>
        <v>0</v>
      </c>
      <c r="Y165" s="9">
        <f t="shared" si="128"/>
        <v>0</v>
      </c>
      <c r="Z165" s="9">
        <f t="shared" si="128"/>
        <v>0</v>
      </c>
    </row>
    <row r="166" spans="1:26" outlineLevel="1" x14ac:dyDescent="0.4">
      <c r="A166" s="1">
        <v>7</v>
      </c>
      <c r="B166" t="s">
        <v>39</v>
      </c>
      <c r="C166" t="s">
        <v>78</v>
      </c>
      <c r="D166" s="9">
        <f t="shared" ref="D166:E166" si="129">D160+D161+D162+D163+D164+D165</f>
        <v>104571</v>
      </c>
      <c r="E166" s="9">
        <f t="shared" si="129"/>
        <v>108042</v>
      </c>
      <c r="F166" s="9">
        <f t="shared" ref="F166:K166" si="130">F160+F161+F162+F163+F164+F165</f>
        <v>117059</v>
      </c>
      <c r="G166" s="9">
        <f t="shared" si="130"/>
        <v>124165</v>
      </c>
      <c r="H166" s="9">
        <f t="shared" si="130"/>
        <v>0</v>
      </c>
      <c r="I166" s="9">
        <f t="shared" si="130"/>
        <v>0</v>
      </c>
      <c r="J166" s="9">
        <f t="shared" si="130"/>
        <v>0</v>
      </c>
      <c r="K166" s="9">
        <f t="shared" si="130"/>
        <v>0</v>
      </c>
      <c r="L166" s="9">
        <f t="shared" ref="L166:Z166" si="131">L160+L161+L162+L163+L164+L165</f>
        <v>0</v>
      </c>
      <c r="M166" s="9">
        <f t="shared" si="131"/>
        <v>0</v>
      </c>
      <c r="N166" s="9">
        <f t="shared" si="131"/>
        <v>0</v>
      </c>
      <c r="O166" s="9">
        <f t="shared" si="131"/>
        <v>0</v>
      </c>
      <c r="P166" s="9">
        <f t="shared" si="131"/>
        <v>0</v>
      </c>
      <c r="Q166" s="9">
        <f t="shared" si="131"/>
        <v>0</v>
      </c>
      <c r="R166" s="9">
        <f t="shared" si="131"/>
        <v>0</v>
      </c>
      <c r="S166" s="9">
        <f t="shared" si="131"/>
        <v>0</v>
      </c>
      <c r="T166" s="9">
        <f t="shared" si="131"/>
        <v>0</v>
      </c>
      <c r="U166" s="9">
        <f t="shared" si="131"/>
        <v>0</v>
      </c>
      <c r="V166" s="9">
        <f t="shared" si="131"/>
        <v>0</v>
      </c>
      <c r="W166" s="9">
        <f t="shared" si="131"/>
        <v>0</v>
      </c>
      <c r="X166" s="9">
        <f t="shared" si="131"/>
        <v>0</v>
      </c>
      <c r="Y166" s="9">
        <f t="shared" si="131"/>
        <v>0</v>
      </c>
      <c r="Z166" s="9">
        <f t="shared" si="131"/>
        <v>0</v>
      </c>
    </row>
    <row r="167" spans="1:26" outlineLevel="1" x14ac:dyDescent="0.4">
      <c r="A167" s="1">
        <v>8</v>
      </c>
      <c r="B167" s="2" t="s">
        <v>40</v>
      </c>
      <c r="C167" t="s">
        <v>79</v>
      </c>
      <c r="D167" s="9">
        <f t="shared" ref="D167:E167" si="132">SUM(D58+D62)</f>
        <v>4786</v>
      </c>
      <c r="E167" s="9">
        <f t="shared" si="132"/>
        <v>5664</v>
      </c>
      <c r="F167" s="9">
        <f t="shared" ref="F167:K167" si="133">SUM(F58+F62)</f>
        <v>5873</v>
      </c>
      <c r="G167" s="9">
        <f t="shared" si="133"/>
        <v>8430</v>
      </c>
      <c r="H167" s="9">
        <f t="shared" si="133"/>
        <v>0</v>
      </c>
      <c r="I167" s="9">
        <f t="shared" si="133"/>
        <v>0</v>
      </c>
      <c r="J167" s="9">
        <f t="shared" si="133"/>
        <v>0</v>
      </c>
      <c r="K167" s="9">
        <f t="shared" si="133"/>
        <v>0</v>
      </c>
      <c r="L167" s="9">
        <f t="shared" ref="L167:Z167" si="134">SUM(L58+L62)</f>
        <v>0</v>
      </c>
      <c r="M167" s="9">
        <f t="shared" si="134"/>
        <v>0</v>
      </c>
      <c r="N167" s="9">
        <f t="shared" si="134"/>
        <v>0</v>
      </c>
      <c r="O167" s="9">
        <f t="shared" si="134"/>
        <v>0</v>
      </c>
      <c r="P167" s="9">
        <f t="shared" si="134"/>
        <v>0</v>
      </c>
      <c r="Q167" s="9">
        <f t="shared" si="134"/>
        <v>0</v>
      </c>
      <c r="R167" s="9">
        <f t="shared" si="134"/>
        <v>0</v>
      </c>
      <c r="S167" s="9">
        <f t="shared" si="134"/>
        <v>0</v>
      </c>
      <c r="T167" s="9">
        <f t="shared" si="134"/>
        <v>0</v>
      </c>
      <c r="U167" s="9">
        <f t="shared" si="134"/>
        <v>0</v>
      </c>
      <c r="V167" s="9">
        <f t="shared" si="134"/>
        <v>0</v>
      </c>
      <c r="W167" s="9">
        <f t="shared" si="134"/>
        <v>0</v>
      </c>
      <c r="X167" s="9">
        <f t="shared" si="134"/>
        <v>0</v>
      </c>
      <c r="Y167" s="9">
        <f t="shared" si="134"/>
        <v>0</v>
      </c>
      <c r="Z167" s="9">
        <f t="shared" si="134"/>
        <v>0</v>
      </c>
    </row>
    <row r="168" spans="1:26" outlineLevel="1" x14ac:dyDescent="0.4">
      <c r="A168" s="1">
        <v>9</v>
      </c>
      <c r="B168" t="s">
        <v>41</v>
      </c>
      <c r="D168" s="9">
        <f t="shared" ref="D168:E168" si="135">D166-D167</f>
        <v>99785</v>
      </c>
      <c r="E168" s="9">
        <f t="shared" si="135"/>
        <v>102378</v>
      </c>
      <c r="F168" s="9">
        <f t="shared" ref="F168:K168" si="136">F166-F167</f>
        <v>111186</v>
      </c>
      <c r="G168" s="9">
        <f t="shared" si="136"/>
        <v>115735</v>
      </c>
      <c r="H168" s="9">
        <f t="shared" si="136"/>
        <v>0</v>
      </c>
      <c r="I168" s="9">
        <f t="shared" si="136"/>
        <v>0</v>
      </c>
      <c r="J168" s="9">
        <f t="shared" si="136"/>
        <v>0</v>
      </c>
      <c r="K168" s="9">
        <f t="shared" si="136"/>
        <v>0</v>
      </c>
      <c r="L168" s="9">
        <f t="shared" ref="L168:Z168" si="137">L166-L167</f>
        <v>0</v>
      </c>
      <c r="M168" s="9">
        <f t="shared" si="137"/>
        <v>0</v>
      </c>
      <c r="N168" s="9">
        <f t="shared" si="137"/>
        <v>0</v>
      </c>
      <c r="O168" s="9">
        <f t="shared" si="137"/>
        <v>0</v>
      </c>
      <c r="P168" s="9">
        <f t="shared" si="137"/>
        <v>0</v>
      </c>
      <c r="Q168" s="9">
        <f t="shared" si="137"/>
        <v>0</v>
      </c>
      <c r="R168" s="9">
        <f t="shared" si="137"/>
        <v>0</v>
      </c>
      <c r="S168" s="9">
        <f t="shared" si="137"/>
        <v>0</v>
      </c>
      <c r="T168" s="9">
        <f t="shared" si="137"/>
        <v>0</v>
      </c>
      <c r="U168" s="9">
        <f t="shared" si="137"/>
        <v>0</v>
      </c>
      <c r="V168" s="9">
        <f t="shared" si="137"/>
        <v>0</v>
      </c>
      <c r="W168" s="9">
        <f t="shared" si="137"/>
        <v>0</v>
      </c>
      <c r="X168" s="9">
        <f t="shared" si="137"/>
        <v>0</v>
      </c>
      <c r="Y168" s="9">
        <f t="shared" si="137"/>
        <v>0</v>
      </c>
      <c r="Z168" s="9">
        <f t="shared" si="137"/>
        <v>0</v>
      </c>
    </row>
    <row r="169" spans="1:26" outlineLevel="1" x14ac:dyDescent="0.4">
      <c r="A169" s="1">
        <v>10</v>
      </c>
      <c r="B169" t="s">
        <v>42</v>
      </c>
      <c r="C169" t="s">
        <v>834</v>
      </c>
      <c r="D169" s="9">
        <f>D94</f>
        <v>0</v>
      </c>
      <c r="E169" s="9">
        <f t="shared" ref="E169:F169" si="138">E94</f>
        <v>0</v>
      </c>
      <c r="F169" s="9">
        <f t="shared" si="138"/>
        <v>1995</v>
      </c>
      <c r="G169" s="9"/>
      <c r="H169" s="9"/>
      <c r="I169" s="9"/>
      <c r="J169" s="9"/>
      <c r="K169" s="9"/>
      <c r="L169" s="9"/>
      <c r="M169" s="9"/>
      <c r="N169" s="9"/>
      <c r="O169" s="9"/>
      <c r="P169" s="9"/>
      <c r="Q169" s="9"/>
      <c r="R169" s="9"/>
      <c r="S169" s="9"/>
      <c r="T169" s="9"/>
      <c r="U169" s="9"/>
      <c r="V169" s="9"/>
      <c r="W169" s="9"/>
      <c r="X169" s="9"/>
      <c r="Y169" s="9"/>
      <c r="Z169" s="9"/>
    </row>
    <row r="170" spans="1:26" outlineLevel="1" x14ac:dyDescent="0.4">
      <c r="A170" s="1"/>
      <c r="B170" t="s">
        <v>316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273</v>
      </c>
      <c r="C171" t="s">
        <v>642</v>
      </c>
      <c r="D171" s="9">
        <v>0</v>
      </c>
      <c r="E171" s="9">
        <v>0</v>
      </c>
      <c r="F171" s="9">
        <v>1</v>
      </c>
      <c r="G171" s="9">
        <v>2</v>
      </c>
      <c r="H171" s="9">
        <v>3</v>
      </c>
      <c r="I171" s="9">
        <v>4</v>
      </c>
      <c r="J171" s="9">
        <v>5</v>
      </c>
      <c r="K171" s="9">
        <v>6</v>
      </c>
      <c r="L171" s="9">
        <v>7</v>
      </c>
      <c r="M171" s="9">
        <v>8</v>
      </c>
      <c r="N171" s="9">
        <v>9</v>
      </c>
      <c r="O171" s="9">
        <v>10</v>
      </c>
      <c r="P171" s="9">
        <v>11</v>
      </c>
      <c r="Q171" s="9">
        <v>12</v>
      </c>
      <c r="R171" s="9">
        <v>13</v>
      </c>
      <c r="S171" s="9">
        <v>14</v>
      </c>
      <c r="T171" s="9">
        <v>15</v>
      </c>
      <c r="U171" s="9">
        <v>16</v>
      </c>
      <c r="V171" s="9">
        <v>17</v>
      </c>
      <c r="W171" s="9">
        <v>18</v>
      </c>
      <c r="X171" s="9">
        <v>19</v>
      </c>
      <c r="Y171" s="9">
        <v>20</v>
      </c>
      <c r="Z171" s="9">
        <v>21</v>
      </c>
    </row>
    <row r="172" spans="1:26" outlineLevel="1" x14ac:dyDescent="0.4">
      <c r="A172" s="1"/>
      <c r="B172" s="1" t="s">
        <v>29</v>
      </c>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outlineLevel="1" x14ac:dyDescent="0.4">
      <c r="A173" s="1">
        <v>12</v>
      </c>
      <c r="B173" t="s">
        <v>44</v>
      </c>
      <c r="C173" t="s">
        <v>5</v>
      </c>
      <c r="D173" s="9">
        <f t="shared" ref="D173:E173" si="139">D49</f>
        <v>22740</v>
      </c>
      <c r="E173" s="9">
        <f t="shared" si="139"/>
        <v>23487</v>
      </c>
      <c r="F173" s="9">
        <f t="shared" ref="F173:K173" si="140">F49</f>
        <v>24541</v>
      </c>
      <c r="G173" s="9">
        <f t="shared" si="140"/>
        <v>25237</v>
      </c>
      <c r="H173" s="9">
        <f t="shared" si="140"/>
        <v>0</v>
      </c>
      <c r="I173" s="9">
        <f t="shared" si="140"/>
        <v>0</v>
      </c>
      <c r="J173" s="9">
        <f t="shared" si="140"/>
        <v>0</v>
      </c>
      <c r="K173" s="9">
        <f t="shared" si="140"/>
        <v>0</v>
      </c>
      <c r="L173" s="9">
        <f t="shared" ref="L173:Z173" si="141">L49</f>
        <v>0</v>
      </c>
      <c r="M173" s="9">
        <f t="shared" si="141"/>
        <v>0</v>
      </c>
      <c r="N173" s="9">
        <f t="shared" si="141"/>
        <v>0</v>
      </c>
      <c r="O173" s="9">
        <f t="shared" si="141"/>
        <v>0</v>
      </c>
      <c r="P173" s="9">
        <f t="shared" si="141"/>
        <v>0</v>
      </c>
      <c r="Q173" s="9">
        <f t="shared" si="141"/>
        <v>0</v>
      </c>
      <c r="R173" s="9">
        <f t="shared" si="141"/>
        <v>0</v>
      </c>
      <c r="S173" s="9">
        <f t="shared" si="141"/>
        <v>0</v>
      </c>
      <c r="T173" s="9">
        <f t="shared" si="141"/>
        <v>0</v>
      </c>
      <c r="U173" s="9">
        <f t="shared" si="141"/>
        <v>0</v>
      </c>
      <c r="V173" s="9">
        <f t="shared" si="141"/>
        <v>0</v>
      </c>
      <c r="W173" s="9">
        <f t="shared" si="141"/>
        <v>0</v>
      </c>
      <c r="X173" s="9">
        <f t="shared" si="141"/>
        <v>0</v>
      </c>
      <c r="Y173" s="9">
        <f t="shared" si="141"/>
        <v>0</v>
      </c>
      <c r="Z173" s="9">
        <f t="shared" si="141"/>
        <v>0</v>
      </c>
    </row>
    <row r="174" spans="1:26" outlineLevel="1" x14ac:dyDescent="0.4">
      <c r="A174" s="1">
        <v>13</v>
      </c>
      <c r="B174" t="s">
        <v>45</v>
      </c>
      <c r="C174" t="s">
        <v>80</v>
      </c>
      <c r="D174" s="9">
        <f t="shared" ref="D174:E174" si="142">D79</f>
        <v>11319</v>
      </c>
      <c r="E174" s="9">
        <f t="shared" si="142"/>
        <v>12364</v>
      </c>
      <c r="F174" s="9">
        <f t="shared" ref="F174:K174" si="143">F79</f>
        <v>12222</v>
      </c>
      <c r="G174" s="9">
        <f t="shared" si="143"/>
        <v>14059</v>
      </c>
      <c r="H174" s="9">
        <f t="shared" si="143"/>
        <v>0</v>
      </c>
      <c r="I174" s="9">
        <f t="shared" si="143"/>
        <v>0</v>
      </c>
      <c r="J174" s="9">
        <f t="shared" si="143"/>
        <v>0</v>
      </c>
      <c r="K174" s="9">
        <f t="shared" si="143"/>
        <v>0</v>
      </c>
      <c r="L174" s="9">
        <f t="shared" ref="L174:Z174" si="144">L79</f>
        <v>0</v>
      </c>
      <c r="M174" s="9">
        <f t="shared" si="144"/>
        <v>0</v>
      </c>
      <c r="N174" s="9">
        <f t="shared" si="144"/>
        <v>0</v>
      </c>
      <c r="O174" s="9">
        <f t="shared" si="144"/>
        <v>0</v>
      </c>
      <c r="P174" s="9">
        <f t="shared" si="144"/>
        <v>0</v>
      </c>
      <c r="Q174" s="9">
        <f t="shared" si="144"/>
        <v>0</v>
      </c>
      <c r="R174" s="9">
        <f t="shared" si="144"/>
        <v>0</v>
      </c>
      <c r="S174" s="9">
        <f t="shared" si="144"/>
        <v>0</v>
      </c>
      <c r="T174" s="9">
        <f t="shared" si="144"/>
        <v>0</v>
      </c>
      <c r="U174" s="9">
        <f t="shared" si="144"/>
        <v>0</v>
      </c>
      <c r="V174" s="9">
        <f t="shared" si="144"/>
        <v>0</v>
      </c>
      <c r="W174" s="9">
        <f t="shared" si="144"/>
        <v>0</v>
      </c>
      <c r="X174" s="9">
        <f t="shared" si="144"/>
        <v>0</v>
      </c>
      <c r="Y174" s="9">
        <f t="shared" si="144"/>
        <v>0</v>
      </c>
      <c r="Z174" s="9">
        <f t="shared" si="144"/>
        <v>0</v>
      </c>
    </row>
    <row r="175" spans="1:26" outlineLevel="1" x14ac:dyDescent="0.4">
      <c r="A175" s="1">
        <v>14</v>
      </c>
      <c r="B175" t="s">
        <v>46</v>
      </c>
      <c r="C175" t="s">
        <v>28</v>
      </c>
      <c r="D175" s="9">
        <f t="shared" ref="D175:E175" si="145">D68</f>
        <v>5162</v>
      </c>
      <c r="E175" s="9">
        <f t="shared" si="145"/>
        <v>7612</v>
      </c>
      <c r="F175" s="9">
        <f t="shared" ref="F175:K175" si="146">F68</f>
        <v>8225</v>
      </c>
      <c r="G175" s="9">
        <f t="shared" si="146"/>
        <v>7841</v>
      </c>
      <c r="H175" s="9">
        <f t="shared" si="146"/>
        <v>0</v>
      </c>
      <c r="I175" s="9">
        <f t="shared" si="146"/>
        <v>0</v>
      </c>
      <c r="J175" s="9">
        <f t="shared" si="146"/>
        <v>0</v>
      </c>
      <c r="K175" s="9">
        <f t="shared" si="146"/>
        <v>0</v>
      </c>
      <c r="L175" s="9">
        <f t="shared" ref="L175:Z175" si="147">L68</f>
        <v>0</v>
      </c>
      <c r="M175" s="9">
        <f t="shared" si="147"/>
        <v>0</v>
      </c>
      <c r="N175" s="9">
        <f t="shared" si="147"/>
        <v>0</v>
      </c>
      <c r="O175" s="9">
        <f t="shared" si="147"/>
        <v>0</v>
      </c>
      <c r="P175" s="9">
        <f t="shared" si="147"/>
        <v>0</v>
      </c>
      <c r="Q175" s="9">
        <f t="shared" si="147"/>
        <v>0</v>
      </c>
      <c r="R175" s="9">
        <f t="shared" si="147"/>
        <v>0</v>
      </c>
      <c r="S175" s="9">
        <f t="shared" si="147"/>
        <v>0</v>
      </c>
      <c r="T175" s="9">
        <f t="shared" si="147"/>
        <v>0</v>
      </c>
      <c r="U175" s="9">
        <f t="shared" si="147"/>
        <v>0</v>
      </c>
      <c r="V175" s="9">
        <f t="shared" si="147"/>
        <v>0</v>
      </c>
      <c r="W175" s="9">
        <f t="shared" si="147"/>
        <v>0</v>
      </c>
      <c r="X175" s="9">
        <f t="shared" si="147"/>
        <v>0</v>
      </c>
      <c r="Y175" s="9">
        <f t="shared" si="147"/>
        <v>0</v>
      </c>
      <c r="Z175" s="9">
        <f t="shared" si="147"/>
        <v>0</v>
      </c>
    </row>
    <row r="176" spans="1:26" outlineLevel="1" x14ac:dyDescent="0.4">
      <c r="A176" s="1">
        <v>15</v>
      </c>
      <c r="B176" t="s">
        <v>47</v>
      </c>
      <c r="C176" t="s">
        <v>81</v>
      </c>
      <c r="D176" s="9">
        <f t="shared" ref="D176:E176" si="148">D71</f>
        <v>37164</v>
      </c>
      <c r="E176" s="9">
        <f t="shared" si="148"/>
        <v>38785</v>
      </c>
      <c r="F176" s="9">
        <f t="shared" ref="F176:K176" si="149">F71</f>
        <v>39639</v>
      </c>
      <c r="G176" s="9">
        <f t="shared" si="149"/>
        <v>40757</v>
      </c>
      <c r="H176" s="9">
        <f t="shared" si="149"/>
        <v>0</v>
      </c>
      <c r="I176" s="9">
        <f t="shared" si="149"/>
        <v>0</v>
      </c>
      <c r="J176" s="9">
        <f t="shared" si="149"/>
        <v>0</v>
      </c>
      <c r="K176" s="9">
        <f t="shared" si="149"/>
        <v>0</v>
      </c>
      <c r="L176" s="9">
        <f t="shared" ref="L176:Z176" si="150">L71</f>
        <v>0</v>
      </c>
      <c r="M176" s="9">
        <f t="shared" si="150"/>
        <v>0</v>
      </c>
      <c r="N176" s="9">
        <f t="shared" si="150"/>
        <v>0</v>
      </c>
      <c r="O176" s="9">
        <f t="shared" si="150"/>
        <v>0</v>
      </c>
      <c r="P176" s="9">
        <f t="shared" si="150"/>
        <v>0</v>
      </c>
      <c r="Q176" s="9">
        <f t="shared" si="150"/>
        <v>0</v>
      </c>
      <c r="R176" s="9">
        <f t="shared" si="150"/>
        <v>0</v>
      </c>
      <c r="S176" s="9">
        <f t="shared" si="150"/>
        <v>0</v>
      </c>
      <c r="T176" s="9">
        <f t="shared" si="150"/>
        <v>0</v>
      </c>
      <c r="U176" s="9">
        <f t="shared" si="150"/>
        <v>0</v>
      </c>
      <c r="V176" s="9">
        <f t="shared" si="150"/>
        <v>0</v>
      </c>
      <c r="W176" s="9">
        <f t="shared" si="150"/>
        <v>0</v>
      </c>
      <c r="X176" s="9">
        <f t="shared" si="150"/>
        <v>0</v>
      </c>
      <c r="Y176" s="9">
        <f t="shared" si="150"/>
        <v>0</v>
      </c>
      <c r="Z176" s="9">
        <f t="shared" si="150"/>
        <v>0</v>
      </c>
    </row>
    <row r="177" spans="1:26" outlineLevel="1" x14ac:dyDescent="0.4">
      <c r="A177" s="1">
        <v>16</v>
      </c>
      <c r="B177" t="s">
        <v>48</v>
      </c>
      <c r="C177" t="s">
        <v>82</v>
      </c>
      <c r="D177" s="9">
        <f t="shared" ref="D177:E177" si="151">D72</f>
        <v>6146</v>
      </c>
      <c r="E177" s="9">
        <f t="shared" si="151"/>
        <v>7148</v>
      </c>
      <c r="F177" s="9">
        <f t="shared" ref="F177:K177" si="152">F72</f>
        <v>6639</v>
      </c>
      <c r="G177" s="9">
        <f t="shared" si="152"/>
        <v>6901</v>
      </c>
      <c r="H177" s="9">
        <f t="shared" si="152"/>
        <v>0</v>
      </c>
      <c r="I177" s="9">
        <f t="shared" si="152"/>
        <v>0</v>
      </c>
      <c r="J177" s="9">
        <f t="shared" si="152"/>
        <v>0</v>
      </c>
      <c r="K177" s="9">
        <f t="shared" si="152"/>
        <v>0</v>
      </c>
      <c r="L177" s="9">
        <f t="shared" ref="L177:Z177" si="153">L72</f>
        <v>0</v>
      </c>
      <c r="M177" s="9">
        <f t="shared" si="153"/>
        <v>0</v>
      </c>
      <c r="N177" s="9">
        <f t="shared" si="153"/>
        <v>0</v>
      </c>
      <c r="O177" s="9">
        <f t="shared" si="153"/>
        <v>0</v>
      </c>
      <c r="P177" s="9">
        <f t="shared" si="153"/>
        <v>0</v>
      </c>
      <c r="Q177" s="9">
        <f t="shared" si="153"/>
        <v>0</v>
      </c>
      <c r="R177" s="9">
        <f t="shared" si="153"/>
        <v>0</v>
      </c>
      <c r="S177" s="9">
        <f t="shared" si="153"/>
        <v>0</v>
      </c>
      <c r="T177" s="9">
        <f t="shared" si="153"/>
        <v>0</v>
      </c>
      <c r="U177" s="9">
        <f t="shared" si="153"/>
        <v>0</v>
      </c>
      <c r="V177" s="9">
        <f t="shared" si="153"/>
        <v>0</v>
      </c>
      <c r="W177" s="9">
        <f t="shared" si="153"/>
        <v>0</v>
      </c>
      <c r="X177" s="9">
        <f t="shared" si="153"/>
        <v>0</v>
      </c>
      <c r="Y177" s="9">
        <f t="shared" si="153"/>
        <v>0</v>
      </c>
      <c r="Z177" s="9">
        <f t="shared" si="153"/>
        <v>0</v>
      </c>
    </row>
    <row r="178" spans="1:26" outlineLevel="1" x14ac:dyDescent="0.4">
      <c r="A178" s="1">
        <v>17</v>
      </c>
      <c r="B178" t="s">
        <v>49</v>
      </c>
      <c r="C178" t="s">
        <v>83</v>
      </c>
      <c r="D178" s="9">
        <f t="shared" ref="D178:E178" si="154">D51</f>
        <v>11796</v>
      </c>
      <c r="E178" s="9">
        <f t="shared" si="154"/>
        <v>4497</v>
      </c>
      <c r="F178" s="9">
        <f t="shared" ref="F178:K178" si="155">F51</f>
        <v>3382</v>
      </c>
      <c r="G178" s="9">
        <f t="shared" si="155"/>
        <v>3296</v>
      </c>
      <c r="H178" s="9">
        <f t="shared" si="155"/>
        <v>0</v>
      </c>
      <c r="I178" s="9">
        <f t="shared" si="155"/>
        <v>0</v>
      </c>
      <c r="J178" s="9">
        <f t="shared" si="155"/>
        <v>0</v>
      </c>
      <c r="K178" s="9">
        <f t="shared" si="155"/>
        <v>0</v>
      </c>
      <c r="L178" s="9">
        <f t="shared" ref="L178:Z178" si="156">L51</f>
        <v>0</v>
      </c>
      <c r="M178" s="9">
        <f t="shared" si="156"/>
        <v>0</v>
      </c>
      <c r="N178" s="9">
        <f t="shared" si="156"/>
        <v>0</v>
      </c>
      <c r="O178" s="9">
        <f t="shared" si="156"/>
        <v>0</v>
      </c>
      <c r="P178" s="9">
        <f t="shared" si="156"/>
        <v>0</v>
      </c>
      <c r="Q178" s="9">
        <f t="shared" si="156"/>
        <v>0</v>
      </c>
      <c r="R178" s="9">
        <f t="shared" si="156"/>
        <v>0</v>
      </c>
      <c r="S178" s="9">
        <f t="shared" si="156"/>
        <v>0</v>
      </c>
      <c r="T178" s="9">
        <f t="shared" si="156"/>
        <v>0</v>
      </c>
      <c r="U178" s="9">
        <f t="shared" si="156"/>
        <v>0</v>
      </c>
      <c r="V178" s="9">
        <f t="shared" si="156"/>
        <v>0</v>
      </c>
      <c r="W178" s="9">
        <f t="shared" si="156"/>
        <v>0</v>
      </c>
      <c r="X178" s="9">
        <f t="shared" si="156"/>
        <v>0</v>
      </c>
      <c r="Y178" s="9">
        <f t="shared" si="156"/>
        <v>0</v>
      </c>
      <c r="Z178" s="9">
        <f t="shared" si="156"/>
        <v>0</v>
      </c>
    </row>
    <row r="179" spans="1:26" outlineLevel="1" x14ac:dyDescent="0.4">
      <c r="A179" s="1">
        <v>18</v>
      </c>
      <c r="B179" t="s">
        <v>50</v>
      </c>
      <c r="C179" t="s">
        <v>84</v>
      </c>
      <c r="D179" s="9">
        <f t="shared" ref="D179:E179" si="157">D64+(D52-D68)+D54+D56+D59</f>
        <v>3068</v>
      </c>
      <c r="E179" s="9">
        <f t="shared" si="157"/>
        <v>3116</v>
      </c>
      <c r="F179" s="9">
        <f t="shared" ref="F179:K179" si="158">F64+(F52-F68)+F54+F56+F59</f>
        <v>3586</v>
      </c>
      <c r="G179" s="9">
        <f t="shared" si="158"/>
        <v>3685</v>
      </c>
      <c r="H179" s="9">
        <f t="shared" si="158"/>
        <v>0</v>
      </c>
      <c r="I179" s="9">
        <f t="shared" si="158"/>
        <v>0</v>
      </c>
      <c r="J179" s="9">
        <f t="shared" si="158"/>
        <v>0</v>
      </c>
      <c r="K179" s="9">
        <f t="shared" si="158"/>
        <v>0</v>
      </c>
      <c r="L179" s="9">
        <f t="shared" ref="L179:Z179" si="159">L64+(L52-L68)+L54+L56+L59</f>
        <v>0</v>
      </c>
      <c r="M179" s="9">
        <f t="shared" si="159"/>
        <v>0</v>
      </c>
      <c r="N179" s="9">
        <f t="shared" si="159"/>
        <v>0</v>
      </c>
      <c r="O179" s="9">
        <f t="shared" si="159"/>
        <v>0</v>
      </c>
      <c r="P179" s="9">
        <f t="shared" si="159"/>
        <v>0</v>
      </c>
      <c r="Q179" s="9">
        <f t="shared" si="159"/>
        <v>0</v>
      </c>
      <c r="R179" s="9">
        <f t="shared" si="159"/>
        <v>0</v>
      </c>
      <c r="S179" s="9">
        <f t="shared" si="159"/>
        <v>0</v>
      </c>
      <c r="T179" s="9">
        <f t="shared" si="159"/>
        <v>0</v>
      </c>
      <c r="U179" s="9">
        <f t="shared" si="159"/>
        <v>0</v>
      </c>
      <c r="V179" s="9">
        <f t="shared" si="159"/>
        <v>0</v>
      </c>
      <c r="W179" s="9">
        <f t="shared" si="159"/>
        <v>0</v>
      </c>
      <c r="X179" s="9">
        <f t="shared" si="159"/>
        <v>0</v>
      </c>
      <c r="Y179" s="9">
        <f t="shared" si="159"/>
        <v>0</v>
      </c>
      <c r="Z179" s="9">
        <f t="shared" si="159"/>
        <v>0</v>
      </c>
    </row>
    <row r="180" spans="1:26" outlineLevel="1" x14ac:dyDescent="0.4">
      <c r="A180" s="1">
        <v>19</v>
      </c>
      <c r="B180" t="s">
        <v>10</v>
      </c>
      <c r="C180" t="s">
        <v>4</v>
      </c>
      <c r="D180" s="9">
        <f t="shared" ref="D180:E180" si="160">D83</f>
        <v>8234</v>
      </c>
      <c r="E180" s="9">
        <f t="shared" si="160"/>
        <v>9056</v>
      </c>
      <c r="F180" s="9">
        <f t="shared" ref="F180:K180" si="161">F83</f>
        <v>10067</v>
      </c>
      <c r="G180" s="9">
        <f t="shared" si="161"/>
        <v>11854</v>
      </c>
      <c r="H180" s="9">
        <f t="shared" si="161"/>
        <v>0</v>
      </c>
      <c r="I180" s="9">
        <f t="shared" si="161"/>
        <v>0</v>
      </c>
      <c r="J180" s="9">
        <f t="shared" si="161"/>
        <v>0</v>
      </c>
      <c r="K180" s="9">
        <f t="shared" si="161"/>
        <v>0</v>
      </c>
      <c r="L180" s="9">
        <f t="shared" ref="L180:Z180" si="162">L83</f>
        <v>0</v>
      </c>
      <c r="M180" s="9">
        <f t="shared" si="162"/>
        <v>0</v>
      </c>
      <c r="N180" s="9">
        <f t="shared" si="162"/>
        <v>0</v>
      </c>
      <c r="O180" s="9">
        <f t="shared" si="162"/>
        <v>0</v>
      </c>
      <c r="P180" s="9">
        <f t="shared" si="162"/>
        <v>0</v>
      </c>
      <c r="Q180" s="9">
        <f t="shared" si="162"/>
        <v>0</v>
      </c>
      <c r="R180" s="9">
        <f t="shared" si="162"/>
        <v>0</v>
      </c>
      <c r="S180" s="9">
        <f t="shared" si="162"/>
        <v>0</v>
      </c>
      <c r="T180" s="9">
        <f t="shared" si="162"/>
        <v>0</v>
      </c>
      <c r="U180" s="9">
        <f t="shared" si="162"/>
        <v>0</v>
      </c>
      <c r="V180" s="9">
        <f t="shared" si="162"/>
        <v>0</v>
      </c>
      <c r="W180" s="9">
        <f t="shared" si="162"/>
        <v>0</v>
      </c>
      <c r="X180" s="9">
        <f t="shared" si="162"/>
        <v>0</v>
      </c>
      <c r="Y180" s="9">
        <f t="shared" si="162"/>
        <v>0</v>
      </c>
      <c r="Z180" s="9">
        <f t="shared" si="162"/>
        <v>0</v>
      </c>
    </row>
    <row r="181" spans="1:26" outlineLevel="1" x14ac:dyDescent="0.4">
      <c r="A181" s="1">
        <v>20</v>
      </c>
      <c r="B181" s="2" t="s">
        <v>51</v>
      </c>
    </row>
    <row r="182" spans="1:26" outlineLevel="1" x14ac:dyDescent="0.4">
      <c r="A182" s="1">
        <v>21</v>
      </c>
      <c r="B182" t="s">
        <v>52</v>
      </c>
      <c r="C182" t="s">
        <v>85</v>
      </c>
      <c r="D182" s="146">
        <f t="shared" ref="D182:E182" si="163">D60</f>
        <v>3772</v>
      </c>
      <c r="E182" s="146">
        <f t="shared" si="163"/>
        <v>5251</v>
      </c>
      <c r="F182" s="146">
        <f t="shared" ref="F182:K182" si="164">F60</f>
        <v>5469</v>
      </c>
      <c r="G182" s="146">
        <f t="shared" si="164"/>
        <v>6272</v>
      </c>
      <c r="H182" s="146">
        <f t="shared" si="164"/>
        <v>0</v>
      </c>
      <c r="I182" s="146">
        <f t="shared" si="164"/>
        <v>0</v>
      </c>
      <c r="J182" s="146">
        <f t="shared" si="164"/>
        <v>0</v>
      </c>
      <c r="K182" s="146">
        <f t="shared" si="164"/>
        <v>0</v>
      </c>
      <c r="L182" s="146">
        <f t="shared" ref="L182:Z182" si="165">L60</f>
        <v>0</v>
      </c>
      <c r="M182" s="146">
        <f t="shared" si="165"/>
        <v>0</v>
      </c>
      <c r="N182" s="146">
        <f t="shared" si="165"/>
        <v>0</v>
      </c>
      <c r="O182" s="146">
        <f t="shared" si="165"/>
        <v>0</v>
      </c>
      <c r="P182" s="146">
        <f t="shared" si="165"/>
        <v>0</v>
      </c>
      <c r="Q182" s="146">
        <f t="shared" si="165"/>
        <v>0</v>
      </c>
      <c r="R182" s="146">
        <f t="shared" si="165"/>
        <v>0</v>
      </c>
      <c r="S182" s="146">
        <f t="shared" si="165"/>
        <v>0</v>
      </c>
      <c r="T182" s="146">
        <f t="shared" si="165"/>
        <v>0</v>
      </c>
      <c r="U182" s="146">
        <f t="shared" si="165"/>
        <v>0</v>
      </c>
      <c r="V182" s="146">
        <f t="shared" si="165"/>
        <v>0</v>
      </c>
      <c r="W182" s="146">
        <f t="shared" si="165"/>
        <v>0</v>
      </c>
      <c r="X182" s="146">
        <f t="shared" si="165"/>
        <v>0</v>
      </c>
      <c r="Y182" s="146">
        <f t="shared" si="165"/>
        <v>0</v>
      </c>
      <c r="Z182" s="146">
        <f t="shared" si="165"/>
        <v>0</v>
      </c>
    </row>
    <row r="183" spans="1:26" outlineLevel="1" x14ac:dyDescent="0.4">
      <c r="A183" s="1">
        <v>22</v>
      </c>
      <c r="B183" t="s">
        <v>53</v>
      </c>
      <c r="C183" t="s">
        <v>86</v>
      </c>
      <c r="D183" s="146">
        <f t="shared" ref="D183:E183" si="166">D84+D78</f>
        <v>494</v>
      </c>
      <c r="E183" s="146">
        <f t="shared" si="166"/>
        <v>-61</v>
      </c>
      <c r="F183" s="146">
        <f t="shared" ref="F183:K183" si="167">F84+F78</f>
        <v>100</v>
      </c>
      <c r="G183" s="146">
        <f t="shared" si="167"/>
        <v>-27</v>
      </c>
      <c r="H183" s="146">
        <f t="shared" si="167"/>
        <v>0</v>
      </c>
      <c r="I183" s="146">
        <f t="shared" si="167"/>
        <v>0</v>
      </c>
      <c r="J183" s="146">
        <f t="shared" si="167"/>
        <v>0</v>
      </c>
      <c r="K183" s="146">
        <f t="shared" si="167"/>
        <v>0</v>
      </c>
      <c r="L183" s="146">
        <f t="shared" ref="L183:Z183" si="168">L84+L78</f>
        <v>0</v>
      </c>
      <c r="M183" s="146">
        <f t="shared" si="168"/>
        <v>0</v>
      </c>
      <c r="N183" s="146">
        <f t="shared" si="168"/>
        <v>0</v>
      </c>
      <c r="O183" s="146">
        <f t="shared" si="168"/>
        <v>0</v>
      </c>
      <c r="P183" s="146">
        <f t="shared" si="168"/>
        <v>0</v>
      </c>
      <c r="Q183" s="146">
        <f t="shared" si="168"/>
        <v>0</v>
      </c>
      <c r="R183" s="146">
        <f t="shared" si="168"/>
        <v>0</v>
      </c>
      <c r="S183" s="146">
        <f t="shared" si="168"/>
        <v>0</v>
      </c>
      <c r="T183" s="146">
        <f t="shared" si="168"/>
        <v>0</v>
      </c>
      <c r="U183" s="146">
        <f t="shared" si="168"/>
        <v>0</v>
      </c>
      <c r="V183" s="146">
        <f t="shared" si="168"/>
        <v>0</v>
      </c>
      <c r="W183" s="146">
        <f t="shared" si="168"/>
        <v>0</v>
      </c>
      <c r="X183" s="146">
        <f t="shared" si="168"/>
        <v>0</v>
      </c>
      <c r="Y183" s="146">
        <f t="shared" si="168"/>
        <v>0</v>
      </c>
      <c r="Z183" s="146">
        <f t="shared" si="168"/>
        <v>0</v>
      </c>
    </row>
    <row r="184" spans="1:26" outlineLevel="1" x14ac:dyDescent="0.4">
      <c r="A184" s="1">
        <v>23</v>
      </c>
      <c r="B184" t="s">
        <v>54</v>
      </c>
      <c r="C184" t="s">
        <v>87</v>
      </c>
      <c r="D184" s="9">
        <f t="shared" ref="D184" si="169">D173+D174+D175+D176+D177+D178+D179+D180+D182+D183</f>
        <v>109895</v>
      </c>
      <c r="E184" s="9">
        <f>E173+E174+E175+E176+E177+E178+E179+E180+E182+E183</f>
        <v>111255</v>
      </c>
      <c r="F184" s="9">
        <f t="shared" ref="F184:K184" si="170">F173+F174+F175+F176+F177+F178+F179+F180+F182+F183</f>
        <v>113870</v>
      </c>
      <c r="G184" s="9">
        <f t="shared" si="170"/>
        <v>119875</v>
      </c>
      <c r="H184" s="9">
        <f t="shared" si="170"/>
        <v>0</v>
      </c>
      <c r="I184" s="9">
        <f t="shared" si="170"/>
        <v>0</v>
      </c>
      <c r="J184" s="9">
        <f t="shared" si="170"/>
        <v>0</v>
      </c>
      <c r="K184" s="9">
        <f t="shared" si="170"/>
        <v>0</v>
      </c>
      <c r="L184" s="9">
        <f t="shared" ref="L184:Z184" si="171">L173+L174+L175+L176+L177+L178+L179+L180+L182+L183</f>
        <v>0</v>
      </c>
      <c r="M184" s="9">
        <f t="shared" si="171"/>
        <v>0</v>
      </c>
      <c r="N184" s="9">
        <f t="shared" si="171"/>
        <v>0</v>
      </c>
      <c r="O184" s="9">
        <f t="shared" si="171"/>
        <v>0</v>
      </c>
      <c r="P184" s="9">
        <f t="shared" si="171"/>
        <v>0</v>
      </c>
      <c r="Q184" s="9">
        <f t="shared" si="171"/>
        <v>0</v>
      </c>
      <c r="R184" s="9">
        <f t="shared" si="171"/>
        <v>0</v>
      </c>
      <c r="S184" s="9">
        <f t="shared" si="171"/>
        <v>0</v>
      </c>
      <c r="T184" s="9">
        <f t="shared" si="171"/>
        <v>0</v>
      </c>
      <c r="U184" s="9">
        <f t="shared" si="171"/>
        <v>0</v>
      </c>
      <c r="V184" s="9">
        <f t="shared" si="171"/>
        <v>0</v>
      </c>
      <c r="W184" s="9">
        <f t="shared" si="171"/>
        <v>0</v>
      </c>
      <c r="X184" s="9">
        <f t="shared" si="171"/>
        <v>0</v>
      </c>
      <c r="Y184" s="9">
        <f t="shared" si="171"/>
        <v>0</v>
      </c>
      <c r="Z184" s="9">
        <f t="shared" si="171"/>
        <v>0</v>
      </c>
    </row>
    <row r="185" spans="1:26" outlineLevel="1" x14ac:dyDescent="0.4">
      <c r="A185" s="1">
        <v>24</v>
      </c>
      <c r="B185" s="2" t="s">
        <v>55</v>
      </c>
      <c r="C185" t="s">
        <v>79</v>
      </c>
      <c r="D185" s="9">
        <f>D167</f>
        <v>4786</v>
      </c>
      <c r="E185">
        <f t="shared" ref="E185:J185" si="172">E167</f>
        <v>5664</v>
      </c>
      <c r="F185">
        <f t="shared" si="172"/>
        <v>5873</v>
      </c>
      <c r="G185">
        <f t="shared" si="172"/>
        <v>8430</v>
      </c>
      <c r="H185">
        <f t="shared" si="172"/>
        <v>0</v>
      </c>
      <c r="I185">
        <f t="shared" si="172"/>
        <v>0</v>
      </c>
      <c r="J185">
        <f t="shared" si="172"/>
        <v>0</v>
      </c>
    </row>
    <row r="186" spans="1:26" outlineLevel="1" x14ac:dyDescent="0.4">
      <c r="A186" s="1">
        <v>25</v>
      </c>
      <c r="B186" t="s">
        <v>56</v>
      </c>
      <c r="D186" s="9">
        <f t="shared" ref="D186:E186" si="173">D184-D185</f>
        <v>105109</v>
      </c>
      <c r="E186" s="9">
        <f t="shared" si="173"/>
        <v>105591</v>
      </c>
      <c r="F186" s="9">
        <f t="shared" ref="F186:K186" si="174">F184-F185</f>
        <v>107997</v>
      </c>
      <c r="G186" s="9">
        <f t="shared" si="174"/>
        <v>111445</v>
      </c>
      <c r="H186" s="9">
        <f t="shared" si="174"/>
        <v>0</v>
      </c>
      <c r="I186" s="9">
        <f t="shared" si="174"/>
        <v>0</v>
      </c>
      <c r="J186" s="9">
        <f t="shared" si="174"/>
        <v>0</v>
      </c>
      <c r="K186" s="9">
        <f t="shared" si="174"/>
        <v>0</v>
      </c>
      <c r="L186" s="9">
        <f t="shared" ref="L186:Z186" si="175">L184-L185</f>
        <v>0</v>
      </c>
      <c r="M186" s="9">
        <f t="shared" si="175"/>
        <v>0</v>
      </c>
      <c r="N186" s="9">
        <f t="shared" si="175"/>
        <v>0</v>
      </c>
      <c r="O186" s="9">
        <f t="shared" si="175"/>
        <v>0</v>
      </c>
      <c r="P186" s="9">
        <f t="shared" si="175"/>
        <v>0</v>
      </c>
      <c r="Q186" s="9">
        <f t="shared" si="175"/>
        <v>0</v>
      </c>
      <c r="R186" s="9">
        <f t="shared" si="175"/>
        <v>0</v>
      </c>
      <c r="S186" s="9">
        <f t="shared" si="175"/>
        <v>0</v>
      </c>
      <c r="T186" s="9">
        <f t="shared" si="175"/>
        <v>0</v>
      </c>
      <c r="U186" s="9">
        <f t="shared" si="175"/>
        <v>0</v>
      </c>
      <c r="V186" s="9">
        <f t="shared" si="175"/>
        <v>0</v>
      </c>
      <c r="W186" s="9">
        <f t="shared" si="175"/>
        <v>0</v>
      </c>
      <c r="X186" s="9">
        <f t="shared" si="175"/>
        <v>0</v>
      </c>
      <c r="Y186" s="9">
        <f t="shared" si="175"/>
        <v>0</v>
      </c>
      <c r="Z186" s="9">
        <f t="shared" si="175"/>
        <v>0</v>
      </c>
    </row>
    <row r="187" spans="1:26" outlineLevel="1" x14ac:dyDescent="0.4">
      <c r="A187" s="1">
        <v>26</v>
      </c>
      <c r="B187" t="s">
        <v>622</v>
      </c>
      <c r="C187" t="s">
        <v>832</v>
      </c>
      <c r="D187" s="9">
        <f>D93</f>
        <v>0</v>
      </c>
      <c r="E187">
        <f t="shared" ref="E187:J187" si="176">E93</f>
        <v>739</v>
      </c>
      <c r="F187">
        <f t="shared" si="176"/>
        <v>705</v>
      </c>
      <c r="G187">
        <f t="shared" si="176"/>
        <v>780</v>
      </c>
      <c r="H187">
        <f t="shared" si="176"/>
        <v>0</v>
      </c>
      <c r="I187">
        <f t="shared" si="176"/>
        <v>0</v>
      </c>
      <c r="J187">
        <f t="shared" si="176"/>
        <v>0</v>
      </c>
    </row>
    <row r="188" spans="1:26" outlineLevel="1" x14ac:dyDescent="0.4">
      <c r="A188" s="1">
        <v>27</v>
      </c>
      <c r="B188" t="s">
        <v>57</v>
      </c>
      <c r="C188" t="s">
        <v>831</v>
      </c>
      <c r="D188" s="9">
        <f>D96</f>
        <v>0</v>
      </c>
      <c r="E188" s="9">
        <f t="shared" ref="E188:J188" si="177">E96</f>
        <v>295.45999999999998</v>
      </c>
      <c r="F188" s="9">
        <f t="shared" si="177"/>
        <v>149.57999999999998</v>
      </c>
      <c r="G188" s="9">
        <f t="shared" si="177"/>
        <v>-21.49</v>
      </c>
      <c r="H188" s="9">
        <f t="shared" si="177"/>
        <v>0</v>
      </c>
      <c r="I188" s="9">
        <f t="shared" si="177"/>
        <v>0</v>
      </c>
      <c r="J188" s="9">
        <f t="shared" si="177"/>
        <v>0</v>
      </c>
      <c r="K188" s="9"/>
      <c r="L188" s="9"/>
      <c r="M188" s="9"/>
      <c r="N188" s="9"/>
      <c r="O188" s="9"/>
      <c r="P188" s="9"/>
      <c r="Q188" s="9"/>
      <c r="R188" s="9"/>
      <c r="S188" s="9"/>
      <c r="T188" s="9"/>
      <c r="U188" s="9"/>
      <c r="V188" s="9"/>
      <c r="W188" s="9"/>
      <c r="X188" s="9"/>
      <c r="Y188" s="9"/>
      <c r="Z188" s="9"/>
    </row>
    <row r="189" spans="1:26" outlineLevel="1" x14ac:dyDescent="0.4">
      <c r="A189" s="1">
        <v>28</v>
      </c>
      <c r="B189" t="s">
        <v>58</v>
      </c>
      <c r="C189" t="s">
        <v>833</v>
      </c>
      <c r="D189" s="259">
        <f>-D97</f>
        <v>151</v>
      </c>
      <c r="E189" s="259">
        <f t="shared" ref="E189:O189" si="178">-E97</f>
        <v>302</v>
      </c>
      <c r="F189" s="259">
        <f t="shared" si="178"/>
        <v>400</v>
      </c>
      <c r="G189" s="259">
        <f t="shared" si="178"/>
        <v>436</v>
      </c>
      <c r="H189" s="9">
        <f t="shared" si="178"/>
        <v>0</v>
      </c>
      <c r="I189" s="9">
        <f t="shared" si="178"/>
        <v>0</v>
      </c>
      <c r="J189" s="9">
        <f t="shared" si="178"/>
        <v>0</v>
      </c>
      <c r="K189" s="9">
        <f t="shared" si="178"/>
        <v>0</v>
      </c>
      <c r="L189" s="9">
        <f t="shared" si="178"/>
        <v>0</v>
      </c>
      <c r="M189" s="9">
        <f t="shared" si="178"/>
        <v>0</v>
      </c>
      <c r="N189" s="9">
        <f t="shared" si="178"/>
        <v>0</v>
      </c>
      <c r="O189" s="9">
        <f t="shared" si="178"/>
        <v>0</v>
      </c>
      <c r="P189" s="9">
        <f t="shared" ref="P189:Z189" si="179">P97</f>
        <v>0</v>
      </c>
      <c r="Q189" s="9">
        <f t="shared" si="179"/>
        <v>0</v>
      </c>
      <c r="R189" s="9">
        <f t="shared" si="179"/>
        <v>0</v>
      </c>
      <c r="S189" s="9">
        <f t="shared" si="179"/>
        <v>0</v>
      </c>
      <c r="T189" s="9">
        <f t="shared" si="179"/>
        <v>0</v>
      </c>
      <c r="U189" s="9">
        <f t="shared" si="179"/>
        <v>0</v>
      </c>
      <c r="V189" s="9">
        <f t="shared" si="179"/>
        <v>0</v>
      </c>
      <c r="W189" s="9">
        <f t="shared" si="179"/>
        <v>0</v>
      </c>
      <c r="X189" s="9">
        <f t="shared" si="179"/>
        <v>0</v>
      </c>
      <c r="Y189" s="9">
        <f t="shared" si="179"/>
        <v>0</v>
      </c>
      <c r="Z189" s="9">
        <f t="shared" si="179"/>
        <v>0</v>
      </c>
    </row>
    <row r="190" spans="1:26" outlineLevel="1" x14ac:dyDescent="0.4">
      <c r="A190" s="1">
        <v>29</v>
      </c>
      <c r="B190" t="s">
        <v>59</v>
      </c>
      <c r="D190" s="9">
        <f t="shared" ref="D190:E190" si="180">D186-D187-D188-D189-D175</f>
        <v>99796</v>
      </c>
      <c r="E190" s="9">
        <f t="shared" si="180"/>
        <v>96642.54</v>
      </c>
      <c r="F190" s="9">
        <f t="shared" ref="F190:K190" si="181">F186-F187-F188-F189-F175</f>
        <v>98517.42</v>
      </c>
      <c r="G190" s="9">
        <f t="shared" si="181"/>
        <v>102409.49</v>
      </c>
      <c r="H190" s="9">
        <f t="shared" si="181"/>
        <v>0</v>
      </c>
      <c r="I190" s="9">
        <f t="shared" si="181"/>
        <v>0</v>
      </c>
      <c r="J190" s="9">
        <f t="shared" si="181"/>
        <v>0</v>
      </c>
      <c r="K190" s="9">
        <f t="shared" si="181"/>
        <v>0</v>
      </c>
      <c r="L190" s="9">
        <f t="shared" ref="L190:Z190" si="182">L186-L187-L188-L189-L175</f>
        <v>0</v>
      </c>
      <c r="M190" s="9">
        <f t="shared" si="182"/>
        <v>0</v>
      </c>
      <c r="N190" s="9">
        <f t="shared" si="182"/>
        <v>0</v>
      </c>
      <c r="O190" s="9">
        <f t="shared" si="182"/>
        <v>0</v>
      </c>
      <c r="P190" s="9">
        <f t="shared" si="182"/>
        <v>0</v>
      </c>
      <c r="Q190" s="9">
        <f t="shared" si="182"/>
        <v>0</v>
      </c>
      <c r="R190" s="9">
        <f t="shared" si="182"/>
        <v>0</v>
      </c>
      <c r="S190" s="9">
        <f t="shared" si="182"/>
        <v>0</v>
      </c>
      <c r="T190" s="9">
        <f t="shared" si="182"/>
        <v>0</v>
      </c>
      <c r="U190" s="9">
        <f t="shared" si="182"/>
        <v>0</v>
      </c>
      <c r="V190" s="9">
        <f t="shared" si="182"/>
        <v>0</v>
      </c>
      <c r="W190" s="9">
        <f t="shared" si="182"/>
        <v>0</v>
      </c>
      <c r="X190" s="9">
        <f t="shared" si="182"/>
        <v>0</v>
      </c>
      <c r="Y190" s="9">
        <f t="shared" si="182"/>
        <v>0</v>
      </c>
      <c r="Z190" s="9">
        <f t="shared" si="182"/>
        <v>0</v>
      </c>
    </row>
    <row r="191" spans="1:26" outlineLevel="1" x14ac:dyDescent="0.4">
      <c r="A191" s="1"/>
      <c r="B191" s="1" t="s">
        <v>35</v>
      </c>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outlineLevel="1" x14ac:dyDescent="0.4">
      <c r="A192" s="1">
        <v>30</v>
      </c>
      <c r="B192" t="s">
        <v>611</v>
      </c>
      <c r="D192" s="9"/>
      <c r="E192" s="9"/>
      <c r="F192" s="9"/>
      <c r="G192" s="9"/>
      <c r="H192" s="9"/>
      <c r="I192" s="9"/>
      <c r="J192" s="9"/>
      <c r="K192" s="9"/>
      <c r="L192" s="9"/>
      <c r="M192" s="9"/>
      <c r="N192" s="9"/>
      <c r="O192" s="9"/>
      <c r="P192" s="9"/>
      <c r="Q192" s="9"/>
      <c r="R192" s="9"/>
      <c r="S192" s="9"/>
      <c r="T192" s="9"/>
      <c r="U192" s="9"/>
      <c r="V192" s="9"/>
      <c r="W192" s="9"/>
      <c r="X192" s="9"/>
      <c r="Y192" s="9"/>
      <c r="Z192" s="9"/>
    </row>
    <row r="193" spans="1:26" outlineLevel="1" x14ac:dyDescent="0.4">
      <c r="A193" s="1"/>
      <c r="B193" s="1" t="s">
        <v>60</v>
      </c>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outlineLevel="1" x14ac:dyDescent="0.4">
      <c r="A194" s="1">
        <v>31</v>
      </c>
      <c r="B194" t="s">
        <v>61</v>
      </c>
      <c r="C194" t="s">
        <v>27</v>
      </c>
      <c r="D194" s="6">
        <f t="shared" ref="D194:E194" si="183">D166-D184</f>
        <v>-5324</v>
      </c>
      <c r="E194" s="6">
        <f t="shared" si="183"/>
        <v>-3213</v>
      </c>
      <c r="F194" s="6">
        <f t="shared" ref="F194:K194" si="184">F166-F184</f>
        <v>3189</v>
      </c>
      <c r="G194" s="6">
        <f t="shared" si="184"/>
        <v>4290</v>
      </c>
      <c r="H194" s="6">
        <f t="shared" si="184"/>
        <v>0</v>
      </c>
      <c r="I194" s="6">
        <f t="shared" si="184"/>
        <v>0</v>
      </c>
      <c r="J194" s="6">
        <f t="shared" si="184"/>
        <v>0</v>
      </c>
      <c r="K194" s="6">
        <f t="shared" si="184"/>
        <v>0</v>
      </c>
      <c r="L194" s="6">
        <f t="shared" ref="L194:Z194" si="185">L166-L184</f>
        <v>0</v>
      </c>
      <c r="M194" s="6">
        <f t="shared" si="185"/>
        <v>0</v>
      </c>
      <c r="N194" s="6">
        <f t="shared" si="185"/>
        <v>0</v>
      </c>
      <c r="O194" s="6">
        <f t="shared" si="185"/>
        <v>0</v>
      </c>
      <c r="P194" s="6">
        <f t="shared" si="185"/>
        <v>0</v>
      </c>
      <c r="Q194" s="6">
        <f t="shared" si="185"/>
        <v>0</v>
      </c>
      <c r="R194" s="6">
        <f t="shared" si="185"/>
        <v>0</v>
      </c>
      <c r="S194" s="6">
        <f t="shared" si="185"/>
        <v>0</v>
      </c>
      <c r="T194" s="6">
        <f t="shared" si="185"/>
        <v>0</v>
      </c>
      <c r="U194" s="6">
        <f t="shared" si="185"/>
        <v>0</v>
      </c>
      <c r="V194" s="6">
        <f t="shared" si="185"/>
        <v>0</v>
      </c>
      <c r="W194" s="6">
        <f t="shared" si="185"/>
        <v>0</v>
      </c>
      <c r="X194" s="6">
        <f t="shared" si="185"/>
        <v>0</v>
      </c>
      <c r="Y194" s="6">
        <f t="shared" si="185"/>
        <v>0</v>
      </c>
      <c r="Z194" s="6">
        <f t="shared" si="185"/>
        <v>0</v>
      </c>
    </row>
    <row r="195" spans="1:26" outlineLevel="1" x14ac:dyDescent="0.4">
      <c r="A195" s="1">
        <v>32</v>
      </c>
      <c r="B195" t="s">
        <v>62</v>
      </c>
      <c r="C195" t="s">
        <v>88</v>
      </c>
      <c r="D195" s="6">
        <f t="shared" ref="D195:E195" si="186">D194-D175</f>
        <v>-10486</v>
      </c>
      <c r="E195" s="6">
        <f t="shared" si="186"/>
        <v>-10825</v>
      </c>
      <c r="F195" s="6">
        <f t="shared" ref="F195:K195" si="187">F194-F175</f>
        <v>-5036</v>
      </c>
      <c r="G195" s="6">
        <f t="shared" si="187"/>
        <v>-3551</v>
      </c>
      <c r="H195" s="6">
        <f t="shared" si="187"/>
        <v>0</v>
      </c>
      <c r="I195" s="6">
        <f t="shared" si="187"/>
        <v>0</v>
      </c>
      <c r="J195" s="6">
        <f t="shared" si="187"/>
        <v>0</v>
      </c>
      <c r="K195" s="6">
        <f t="shared" si="187"/>
        <v>0</v>
      </c>
      <c r="L195" s="6">
        <f t="shared" ref="L195:Z195" si="188">L194-L175</f>
        <v>0</v>
      </c>
      <c r="M195" s="6">
        <f t="shared" si="188"/>
        <v>0</v>
      </c>
      <c r="N195" s="6">
        <f t="shared" si="188"/>
        <v>0</v>
      </c>
      <c r="O195" s="6">
        <f t="shared" si="188"/>
        <v>0</v>
      </c>
      <c r="P195" s="6">
        <f t="shared" si="188"/>
        <v>0</v>
      </c>
      <c r="Q195" s="6">
        <f t="shared" si="188"/>
        <v>0</v>
      </c>
      <c r="R195" s="6">
        <f t="shared" si="188"/>
        <v>0</v>
      </c>
      <c r="S195" s="6">
        <f t="shared" si="188"/>
        <v>0</v>
      </c>
      <c r="T195" s="6">
        <f t="shared" si="188"/>
        <v>0</v>
      </c>
      <c r="U195" s="6">
        <f t="shared" si="188"/>
        <v>0</v>
      </c>
      <c r="V195" s="6">
        <f t="shared" si="188"/>
        <v>0</v>
      </c>
      <c r="W195" s="6">
        <f t="shared" si="188"/>
        <v>0</v>
      </c>
      <c r="X195" s="6">
        <f t="shared" si="188"/>
        <v>0</v>
      </c>
      <c r="Y195" s="6">
        <f t="shared" si="188"/>
        <v>0</v>
      </c>
      <c r="Z195" s="6">
        <f t="shared" si="188"/>
        <v>0</v>
      </c>
    </row>
    <row r="196" spans="1:26" outlineLevel="1" x14ac:dyDescent="0.4">
      <c r="A196" s="1"/>
      <c r="B196" s="1" t="s">
        <v>63</v>
      </c>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outlineLevel="1" x14ac:dyDescent="0.4">
      <c r="A197" s="1">
        <v>33</v>
      </c>
      <c r="B197" t="s">
        <v>0</v>
      </c>
      <c r="C197" t="s">
        <v>624</v>
      </c>
    </row>
    <row r="198" spans="1:26" outlineLevel="1" x14ac:dyDescent="0.4">
      <c r="A198" s="1">
        <v>34</v>
      </c>
      <c r="B198" t="s">
        <v>3</v>
      </c>
      <c r="C198" t="s">
        <v>625</v>
      </c>
    </row>
    <row r="199" spans="1:26" outlineLevel="1" x14ac:dyDescent="0.4">
      <c r="A199" s="1"/>
      <c r="B199" s="1" t="s">
        <v>20</v>
      </c>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outlineLevel="1" x14ac:dyDescent="0.4">
      <c r="A200" s="1">
        <v>35</v>
      </c>
      <c r="B200" t="s">
        <v>1</v>
      </c>
      <c r="D200" s="9">
        <f t="shared" ref="D200:E200" si="189">D88</f>
        <v>368005</v>
      </c>
      <c r="E200" s="9">
        <f t="shared" si="189"/>
        <v>369110</v>
      </c>
      <c r="F200" s="9">
        <f t="shared" ref="F200:K200" si="190">F88</f>
        <v>364964</v>
      </c>
      <c r="G200" s="9">
        <f t="shared" si="190"/>
        <v>362925</v>
      </c>
      <c r="H200" s="9">
        <f t="shared" si="190"/>
        <v>0</v>
      </c>
      <c r="I200" s="9">
        <f t="shared" si="190"/>
        <v>0</v>
      </c>
      <c r="J200" s="9">
        <f t="shared" si="190"/>
        <v>0</v>
      </c>
      <c r="K200" s="9">
        <f t="shared" si="190"/>
        <v>0</v>
      </c>
      <c r="L200" s="9">
        <f t="shared" ref="L200:Z200" si="191">L88</f>
        <v>0</v>
      </c>
      <c r="M200" s="9">
        <f t="shared" si="191"/>
        <v>0</v>
      </c>
      <c r="N200" s="9">
        <f t="shared" si="191"/>
        <v>0</v>
      </c>
      <c r="O200" s="9">
        <f t="shared" si="191"/>
        <v>0</v>
      </c>
      <c r="P200" s="9">
        <f t="shared" si="191"/>
        <v>0</v>
      </c>
      <c r="Q200" s="9">
        <f t="shared" si="191"/>
        <v>0</v>
      </c>
      <c r="R200" s="9">
        <f t="shared" si="191"/>
        <v>0</v>
      </c>
      <c r="S200" s="9">
        <f t="shared" si="191"/>
        <v>0</v>
      </c>
      <c r="T200" s="9">
        <f t="shared" si="191"/>
        <v>0</v>
      </c>
      <c r="U200" s="9">
        <f t="shared" si="191"/>
        <v>0</v>
      </c>
      <c r="V200" s="9">
        <f t="shared" si="191"/>
        <v>0</v>
      </c>
      <c r="W200" s="9">
        <f t="shared" si="191"/>
        <v>0</v>
      </c>
      <c r="X200" s="9">
        <f t="shared" si="191"/>
        <v>0</v>
      </c>
      <c r="Y200" s="9">
        <f t="shared" si="191"/>
        <v>0</v>
      </c>
      <c r="Z200" s="9">
        <f t="shared" si="191"/>
        <v>0</v>
      </c>
    </row>
    <row r="201" spans="1:26" outlineLevel="1" x14ac:dyDescent="0.4">
      <c r="A201" s="1">
        <v>36</v>
      </c>
      <c r="B201" t="s">
        <v>2</v>
      </c>
      <c r="D201" s="9"/>
      <c r="E201" s="9">
        <f>E200-D200</f>
        <v>1105</v>
      </c>
      <c r="F201" s="9">
        <f t="shared" ref="F201" si="192">F200-E200</f>
        <v>-4146</v>
      </c>
      <c r="G201" s="9">
        <f t="shared" ref="G201" si="193">G200-F200</f>
        <v>-2039</v>
      </c>
      <c r="H201" s="9">
        <f t="shared" ref="H201" si="194">H200-G200</f>
        <v>-362925</v>
      </c>
      <c r="I201" s="9">
        <f t="shared" ref="I201" si="195">I200-H200</f>
        <v>0</v>
      </c>
      <c r="J201" s="9">
        <f t="shared" ref="J201" si="196">J200-I200</f>
        <v>0</v>
      </c>
      <c r="K201" s="9">
        <f t="shared" ref="K201" si="197">K200-J200</f>
        <v>0</v>
      </c>
      <c r="L201" s="9">
        <f t="shared" ref="L201" si="198">L200-K200</f>
        <v>0</v>
      </c>
      <c r="M201" s="9">
        <f t="shared" ref="M201" si="199">M200-L200</f>
        <v>0</v>
      </c>
      <c r="N201" s="9">
        <f t="shared" ref="N201" si="200">N200-M200</f>
        <v>0</v>
      </c>
      <c r="O201" s="9">
        <f t="shared" ref="O201" si="201">O200-N200</f>
        <v>0</v>
      </c>
      <c r="P201" s="9">
        <f t="shared" ref="P201" si="202">P200-O200</f>
        <v>0</v>
      </c>
      <c r="Q201" s="9">
        <f t="shared" ref="Q201" si="203">Q200-P200</f>
        <v>0</v>
      </c>
      <c r="R201" s="9">
        <f t="shared" ref="R201" si="204">R200-Q200</f>
        <v>0</v>
      </c>
      <c r="S201" s="9">
        <f t="shared" ref="S201" si="205">S200-R200</f>
        <v>0</v>
      </c>
      <c r="T201" s="9">
        <f t="shared" ref="T201" si="206">T200-S200</f>
        <v>0</v>
      </c>
      <c r="U201" s="9">
        <f t="shared" ref="U201" si="207">U200-T200</f>
        <v>0</v>
      </c>
      <c r="V201" s="9">
        <f t="shared" ref="V201" si="208">V200-U200</f>
        <v>0</v>
      </c>
      <c r="W201" s="9">
        <f t="shared" ref="W201" si="209">W200-V200</f>
        <v>0</v>
      </c>
      <c r="X201" s="9">
        <f t="shared" ref="X201" si="210">X200-W200</f>
        <v>0</v>
      </c>
      <c r="Y201" s="9">
        <f t="shared" ref="Y201" si="211">Y200-X200</f>
        <v>0</v>
      </c>
      <c r="Z201" s="9">
        <f t="shared" ref="Z201" si="212">Z200-Y200</f>
        <v>0</v>
      </c>
    </row>
    <row r="202" spans="1:26" outlineLevel="1" x14ac:dyDescent="0.4">
      <c r="A202" s="1">
        <v>37</v>
      </c>
      <c r="B202" t="s">
        <v>64</v>
      </c>
    </row>
    <row r="203" spans="1:26" outlineLevel="1" x14ac:dyDescent="0.4">
      <c r="A203" s="1">
        <v>38</v>
      </c>
      <c r="B203" t="s">
        <v>65</v>
      </c>
      <c r="D203" s="9">
        <f t="shared" ref="D203:E203" si="213">-D195</f>
        <v>10486</v>
      </c>
      <c r="E203" s="9">
        <f t="shared" si="213"/>
        <v>10825</v>
      </c>
      <c r="F203" s="9">
        <f t="shared" ref="F203:K203" si="214">-F195</f>
        <v>5036</v>
      </c>
      <c r="G203" s="9">
        <f t="shared" si="214"/>
        <v>3551</v>
      </c>
      <c r="H203" s="9">
        <f t="shared" si="214"/>
        <v>0</v>
      </c>
      <c r="I203" s="9">
        <f t="shared" si="214"/>
        <v>0</v>
      </c>
      <c r="J203" s="9">
        <f t="shared" si="214"/>
        <v>0</v>
      </c>
      <c r="K203" s="9">
        <f t="shared" si="214"/>
        <v>0</v>
      </c>
      <c r="L203" s="9">
        <f t="shared" ref="L203:Z203" si="215">-L195</f>
        <v>0</v>
      </c>
      <c r="M203" s="9">
        <f t="shared" si="215"/>
        <v>0</v>
      </c>
      <c r="N203" s="9">
        <f t="shared" si="215"/>
        <v>0</v>
      </c>
      <c r="O203" s="9">
        <f t="shared" si="215"/>
        <v>0</v>
      </c>
      <c r="P203" s="9">
        <f t="shared" si="215"/>
        <v>0</v>
      </c>
      <c r="Q203" s="9">
        <f t="shared" si="215"/>
        <v>0</v>
      </c>
      <c r="R203" s="9">
        <f t="shared" si="215"/>
        <v>0</v>
      </c>
      <c r="S203" s="9">
        <f t="shared" si="215"/>
        <v>0</v>
      </c>
      <c r="T203" s="9">
        <f t="shared" si="215"/>
        <v>0</v>
      </c>
      <c r="U203" s="9">
        <f t="shared" si="215"/>
        <v>0</v>
      </c>
      <c r="V203" s="9">
        <f t="shared" si="215"/>
        <v>0</v>
      </c>
      <c r="W203" s="9">
        <f t="shared" si="215"/>
        <v>0</v>
      </c>
      <c r="X203" s="9">
        <f t="shared" si="215"/>
        <v>0</v>
      </c>
      <c r="Y203" s="9">
        <f t="shared" si="215"/>
        <v>0</v>
      </c>
      <c r="Z203" s="9">
        <f t="shared" si="215"/>
        <v>0</v>
      </c>
    </row>
    <row r="204" spans="1:26" outlineLevel="1" x14ac:dyDescent="0.4">
      <c r="A204" s="1">
        <v>39</v>
      </c>
      <c r="B204" t="s">
        <v>66</v>
      </c>
    </row>
    <row r="205" spans="1:26" outlineLevel="1" x14ac:dyDescent="0.4">
      <c r="A205" s="1">
        <v>40</v>
      </c>
      <c r="B205" t="s">
        <v>67</v>
      </c>
      <c r="D205" s="9">
        <f t="shared" ref="D205:E205" si="216">D175</f>
        <v>5162</v>
      </c>
      <c r="E205" s="9">
        <f t="shared" si="216"/>
        <v>7612</v>
      </c>
      <c r="F205" s="9">
        <f t="shared" ref="F205:K205" si="217">F175</f>
        <v>8225</v>
      </c>
      <c r="G205" s="9">
        <f t="shared" si="217"/>
        <v>7841</v>
      </c>
      <c r="H205" s="9">
        <f t="shared" si="217"/>
        <v>0</v>
      </c>
      <c r="I205" s="9">
        <f t="shared" si="217"/>
        <v>0</v>
      </c>
      <c r="J205" s="9">
        <f t="shared" si="217"/>
        <v>0</v>
      </c>
      <c r="K205" s="9">
        <f t="shared" si="217"/>
        <v>0</v>
      </c>
      <c r="L205" s="9">
        <f t="shared" ref="L205:Z205" si="218">L175</f>
        <v>0</v>
      </c>
      <c r="M205" s="9">
        <f t="shared" si="218"/>
        <v>0</v>
      </c>
      <c r="N205" s="9">
        <f t="shared" si="218"/>
        <v>0</v>
      </c>
      <c r="O205" s="9">
        <f t="shared" si="218"/>
        <v>0</v>
      </c>
      <c r="P205" s="9">
        <f t="shared" si="218"/>
        <v>0</v>
      </c>
      <c r="Q205" s="9">
        <f t="shared" si="218"/>
        <v>0</v>
      </c>
      <c r="R205" s="9">
        <f t="shared" si="218"/>
        <v>0</v>
      </c>
      <c r="S205" s="9">
        <f t="shared" si="218"/>
        <v>0</v>
      </c>
      <c r="T205" s="9">
        <f t="shared" si="218"/>
        <v>0</v>
      </c>
      <c r="U205" s="9">
        <f t="shared" si="218"/>
        <v>0</v>
      </c>
      <c r="V205" s="9">
        <f t="shared" si="218"/>
        <v>0</v>
      </c>
      <c r="W205" s="9">
        <f t="shared" si="218"/>
        <v>0</v>
      </c>
      <c r="X205" s="9">
        <f t="shared" si="218"/>
        <v>0</v>
      </c>
      <c r="Y205" s="9">
        <f t="shared" si="218"/>
        <v>0</v>
      </c>
      <c r="Z205" s="9">
        <f t="shared" si="218"/>
        <v>0</v>
      </c>
    </row>
    <row r="206" spans="1:26" outlineLevel="1" x14ac:dyDescent="0.4">
      <c r="A206" s="1">
        <v>41</v>
      </c>
      <c r="B206" t="s">
        <v>68</v>
      </c>
    </row>
    <row r="207" spans="1:26" outlineLevel="1" x14ac:dyDescent="0.4">
      <c r="A207" s="1">
        <v>42</v>
      </c>
      <c r="B207" t="s">
        <v>69</v>
      </c>
    </row>
    <row r="208" spans="1:26" outlineLevel="1" x14ac:dyDescent="0.4">
      <c r="A208" s="1">
        <v>43</v>
      </c>
      <c r="B208" t="s">
        <v>70</v>
      </c>
      <c r="D208" s="9">
        <f t="shared" ref="D208:E208" si="219">D201-D203-D204</f>
        <v>-10486</v>
      </c>
      <c r="E208" s="9">
        <f t="shared" si="219"/>
        <v>-9720</v>
      </c>
      <c r="F208" s="9">
        <f t="shared" ref="F208:K208" si="220">F201-F203-F204</f>
        <v>-9182</v>
      </c>
      <c r="G208" s="9">
        <f t="shared" si="220"/>
        <v>-5590</v>
      </c>
      <c r="H208" s="9">
        <f t="shared" si="220"/>
        <v>-362925</v>
      </c>
      <c r="I208" s="9">
        <f t="shared" si="220"/>
        <v>0</v>
      </c>
      <c r="J208" s="9">
        <f t="shared" si="220"/>
        <v>0</v>
      </c>
      <c r="K208" s="9">
        <f t="shared" si="220"/>
        <v>0</v>
      </c>
      <c r="L208" s="9">
        <f t="shared" ref="L208:Z208" si="221">L201-L203-L204</f>
        <v>0</v>
      </c>
      <c r="M208" s="9">
        <f t="shared" si="221"/>
        <v>0</v>
      </c>
      <c r="N208" s="9">
        <f t="shared" si="221"/>
        <v>0</v>
      </c>
      <c r="O208" s="9">
        <f t="shared" si="221"/>
        <v>0</v>
      </c>
      <c r="P208" s="9">
        <f t="shared" si="221"/>
        <v>0</v>
      </c>
      <c r="Q208" s="9">
        <f t="shared" si="221"/>
        <v>0</v>
      </c>
      <c r="R208" s="9">
        <f t="shared" si="221"/>
        <v>0</v>
      </c>
      <c r="S208" s="9">
        <f t="shared" si="221"/>
        <v>0</v>
      </c>
      <c r="T208" s="9">
        <f t="shared" si="221"/>
        <v>0</v>
      </c>
      <c r="U208" s="9">
        <f t="shared" si="221"/>
        <v>0</v>
      </c>
      <c r="V208" s="9">
        <f t="shared" si="221"/>
        <v>0</v>
      </c>
      <c r="W208" s="9">
        <f t="shared" si="221"/>
        <v>0</v>
      </c>
      <c r="X208" s="9">
        <f t="shared" si="221"/>
        <v>0</v>
      </c>
      <c r="Y208" s="9">
        <f t="shared" si="221"/>
        <v>0</v>
      </c>
      <c r="Z208" s="9">
        <f t="shared" si="221"/>
        <v>0</v>
      </c>
    </row>
    <row r="209" spans="1:26" outlineLevel="1" x14ac:dyDescent="0.4">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outlineLevel="1" x14ac:dyDescent="0.4">
      <c r="A210" s="1">
        <v>44</v>
      </c>
      <c r="B210" s="7" t="s">
        <v>71</v>
      </c>
      <c r="C210" s="7"/>
      <c r="D210" s="7"/>
      <c r="E210" s="7"/>
      <c r="F210" s="7"/>
      <c r="G210" s="7"/>
      <c r="H210" s="7"/>
      <c r="I210" s="7"/>
      <c r="J210" s="7"/>
      <c r="K210" s="7"/>
      <c r="L210" s="7"/>
      <c r="M210" s="7"/>
      <c r="N210" s="7"/>
      <c r="O210" s="7"/>
      <c r="P210" s="7"/>
      <c r="Q210" s="7"/>
      <c r="R210" s="7"/>
      <c r="S210" s="7"/>
      <c r="T210" s="7"/>
      <c r="U210" s="7"/>
      <c r="V210" s="7"/>
      <c r="W210" s="7"/>
      <c r="X210" s="7"/>
      <c r="Y210" s="7"/>
      <c r="Z210" s="7"/>
    </row>
  </sheetData>
  <sheetProtection selectLockedCells="1"/>
  <phoneticPr fontId="44" type="noConversion"/>
  <conditionalFormatting sqref="D34:Z99">
    <cfRule type="expression" dxfId="105" priority="12">
      <formula>ISNUMBER(D$33)</formula>
    </cfRule>
  </conditionalFormatting>
  <conditionalFormatting sqref="E4:Q4 V4:Z4">
    <cfRule type="expression" dxfId="104" priority="11">
      <formula>ISNUMBER(E4)</formula>
    </cfRule>
  </conditionalFormatting>
  <conditionalFormatting sqref="F5:Q5 W5:Z5">
    <cfRule type="expression" dxfId="103" priority="10">
      <formula>F4&lt;&gt;""</formula>
    </cfRule>
  </conditionalFormatting>
  <conditionalFormatting sqref="E27:Z27">
    <cfRule type="expression" dxfId="102" priority="9">
      <formula>ISNUMBER(E4)</formula>
    </cfRule>
  </conditionalFormatting>
  <conditionalFormatting sqref="AT49:AU49 AT58:AU58 AT62:AU62 AT84:AU84 AT88:AU90 AT45:AU47">
    <cfRule type="expression" dxfId="101" priority="137">
      <formula>ISNUMBER(#REF!)</formula>
    </cfRule>
  </conditionalFormatting>
  <conditionalFormatting sqref="F103:Z105 F117:Z168 F170:Z210">
    <cfRule type="expression" dxfId="100" priority="3">
      <formula>NOT(ISNUMBER(F$103))</formula>
    </cfRule>
  </conditionalFormatting>
  <conditionalFormatting sqref="E5">
    <cfRule type="expression" dxfId="99" priority="2">
      <formula>ISNUMBER(E4)</formula>
    </cfRule>
  </conditionalFormatting>
  <conditionalFormatting sqref="V5">
    <cfRule type="expression" dxfId="98" priority="1">
      <formula>ISNUMBER(V4)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C56DA15-79EB-44EA-8A63-D8882A913343}">
          <x14:formula1>
            <xm:f>Validation!$A$4:$A$31</xm:f>
          </x14:formula1>
          <xm:sqref>E2</xm:sqref>
        </x14:dataValidation>
        <x14:dataValidation type="list" allowBlank="1" showInputMessage="1" showErrorMessage="1" xr:uid="{73C5CA17-81A5-41A3-968E-E5E889FE1B43}">
          <x14:formula1>
            <xm:f>Validation!$F$3:$F$4</xm:f>
          </x14:formula1>
          <xm:sqref>R6:R9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99" t="s">
        <v>873</v>
      </c>
    </row>
    <row r="2" spans="2:16" ht="13.5" customHeight="1" x14ac:dyDescent="0.4"/>
    <row r="3" spans="2:16" ht="13.5" customHeight="1" x14ac:dyDescent="0.4">
      <c r="B3" s="171"/>
      <c r="C3" s="158"/>
      <c r="F3" s="186" t="s">
        <v>837</v>
      </c>
      <c r="G3" s="170">
        <v>2026</v>
      </c>
    </row>
    <row r="4" spans="2:16" ht="13.5" customHeight="1" x14ac:dyDescent="0.4">
      <c r="B4" s="171"/>
      <c r="C4" s="158"/>
    </row>
    <row r="5" spans="2:16" ht="18" x14ac:dyDescent="0.55000000000000004">
      <c r="B5" s="51" t="str">
        <f>ScenarioName</f>
        <v>Annual Progress Report 2026</v>
      </c>
    </row>
    <row r="6" spans="2:16" ht="15.75" x14ac:dyDescent="0.5">
      <c r="B6" s="40" t="s">
        <v>251</v>
      </c>
      <c r="C6" s="95"/>
      <c r="D6" s="45" cm="1">
        <f t="array" ref="D6:G6">_xlfn.SEQUENCE(1, AssessmentEnd-MTP_BaseYear+1, MTP_BaseYear)</f>
        <v>2023</v>
      </c>
      <c r="E6" s="45">
        <v>2024</v>
      </c>
      <c r="F6" s="45">
        <v>2025</v>
      </c>
      <c r="G6" s="45">
        <v>2026</v>
      </c>
      <c r="H6" s="45"/>
      <c r="I6" s="45"/>
      <c r="J6" s="45"/>
      <c r="O6" s="80" t="s">
        <v>825</v>
      </c>
      <c r="P6" s="7"/>
    </row>
    <row r="7" spans="2:16" x14ac:dyDescent="0.4">
      <c r="B7" s="42" t="s">
        <v>274</v>
      </c>
      <c r="C7" s="20"/>
      <c r="D7" s="48" t="str" cm="1">
        <f t="array" ref="D7:G7">IF(
  AND(_xlfn.ANCHORARRAY(D6)&gt;=MTP_YearT-1,_xlfn.ANCHORARRAY( D6)&lt;=MTP_EndYear),
  CHOOSE(SIGN(_xlfn.ANCHORARRAY(D6)-MTP_YearT)+2, "T-1", "T", "T+"&amp;(_xlfn.ANCHORARRAY(D6)-MTP_YearT)),
  ""
)</f>
        <v>T-1</v>
      </c>
      <c r="E7" s="48" t="str">
        <v>T</v>
      </c>
      <c r="F7" s="48" t="str">
        <v>T+1</v>
      </c>
      <c r="G7" s="48" t="str">
        <v>T+2</v>
      </c>
      <c r="H7" s="48"/>
      <c r="I7" s="48"/>
      <c r="J7" s="48"/>
      <c r="O7" t="s">
        <v>822</v>
      </c>
      <c r="P7" s="181" t="s">
        <v>824</v>
      </c>
    </row>
    <row r="8" spans="2:16" x14ac:dyDescent="0.4">
      <c r="B8" s="60" t="s">
        <v>257</v>
      </c>
      <c r="C8" s="45" t="s">
        <v>6</v>
      </c>
      <c r="D8" s="168">
        <f>IF(ISNUMBER(D$6),IF(AND(D$6&gt;=MTP_BaseYear,D$6&lt;=OutturnThrough),'Step 2 - Update outturn data'!E6,INDEX($D$59:$J$59,MATCH(D$6,$D$34:$J$34,0))/100*D$29),"")</f>
        <v>111.255</v>
      </c>
      <c r="E8" s="168">
        <f>IF(ISNUMBER(E$6),IF(AND(E$6&gt;=MTP_BaseYear,E$6&lt;=OutturnThrough),'Step 2 - Update outturn data'!F6,INDEX($D$59:$J$59,MATCH(E$6,$D$34:$J$34,0))/100*E$29),"")</f>
        <v>113.87</v>
      </c>
      <c r="F8" s="168">
        <f>IF(ISNUMBER(F$6),IF(AND(F$6&gt;=MTP_BaseYear,F$6&lt;=OutturnThrough),'Step 2 - Update outturn data'!G6,INDEX($D$59:$J$59,MATCH(F$6,$D$34:$J$34,0))/100*F$29),"")</f>
        <v>119.875</v>
      </c>
      <c r="G8" s="168">
        <f>IF(ISNUMBER(G$6),IF(AND(G$6&gt;=MTP_BaseYear,G$6&lt;=OutturnThrough),'Step 2 - Update outturn data'!H6,INDEX($D$59:$J$59,MATCH(G$6,$D$34:$J$34,0))/100*G$29),"")</f>
        <v>131.1565823848</v>
      </c>
      <c r="H8" s="168" t="str">
        <f>IF(ISNUMBER(H$6),IF(AND(H$6&gt;=MTP_BaseYear,H$6&lt;=OutturnThrough),'Step 2 - Update outturn data'!I6,INDEX($D$59:$J$59,MATCH(H$6,$D$34:$J$34,0))/100*H$29),"")</f>
        <v/>
      </c>
      <c r="I8" s="168" t="str">
        <f>IF(ISNUMBER(I$6),IF(AND(I$6&gt;=MTP_BaseYear,I$6&lt;=OutturnThrough),'Step 2 - Update outturn data'!#REF!,INDEX($D$59:$J$59,MATCH(I$6,$D$34:$J$34,0))/100*I$29),"")</f>
        <v/>
      </c>
      <c r="J8" s="168" t="str">
        <f>IF(ISNUMBER(J$6),IF(AND(J$6&gt;=MTP_BaseYear,J$6&lt;=OutturnThrough),'Step 2 - Update outturn data'!J6,INDEX($D$59:$J$59,MATCH(J$6,$D$34:$J$34,0))/100*J$29),"")</f>
        <v/>
      </c>
      <c r="K8" s="38"/>
      <c r="L8" s="38"/>
      <c r="M8" s="38"/>
      <c r="N8" s="38"/>
      <c r="O8" t="s">
        <v>823</v>
      </c>
      <c r="P8" s="181" t="s">
        <v>824</v>
      </c>
    </row>
    <row r="9" spans="2:16" x14ac:dyDescent="0.4">
      <c r="B9" s="60" t="s">
        <v>25</v>
      </c>
      <c r="C9" s="45" t="s">
        <v>6</v>
      </c>
      <c r="D9" s="168">
        <f>IF(ISNUMBER(D$6),IF(AND(D$6&gt;=MTP_BaseYear,D$6&lt;=OutturnThrough),'Step 2 - Update outturn data'!E7,INDEX($D$50:$J$50,MATCH(D$6,$D$34:$J$34,0))/100*D$29),"")</f>
        <v>7.6120000000000001</v>
      </c>
      <c r="E9" s="168">
        <f>IF(ISNUMBER(E$6),IF(AND(E$6&gt;=MTP_BaseYear,E$6&lt;=OutturnThrough),'Step 2 - Update outturn data'!F7,INDEX($D$50:$J$50,MATCH(E$6,$D$34:$J$34,0))/100*E$29),"")</f>
        <v>8.2249999999999996</v>
      </c>
      <c r="F9" s="168">
        <f>IF(ISNUMBER(F$6),IF(AND(F$6&gt;=MTP_BaseYear,F$6&lt;=OutturnThrough),'Step 2 - Update outturn data'!G7,INDEX($D$50:$J$50,MATCH(F$6,$D$34:$J$34,0))/100*F$29),"")</f>
        <v>7.8410000000000002</v>
      </c>
      <c r="G9" s="168">
        <f>IF(ISNUMBER(G$6),IF(AND(G$6&gt;=MTP_BaseYear,G$6&lt;=OutturnThrough),'Step 2 - Update outturn data'!H7,INDEX($D$50:$J$50,MATCH(G$6,$D$34:$J$34,0))/100*G$29),"")</f>
        <v>7.8380427719999997</v>
      </c>
      <c r="H9" s="168" t="str">
        <f>IF(ISNUMBER(H$6),IF(AND(H$6&gt;=MTP_BaseYear,H$6&lt;=OutturnThrough),'Step 2 - Update outturn data'!I7,INDEX($D$50:$J$50,MATCH(H$6,$D$34:$J$34,0))/100*H$29),"")</f>
        <v/>
      </c>
      <c r="I9" s="168" t="str">
        <f>IF(ISNUMBER(I$6),IF(AND(I$6&gt;=MTP_BaseYear,I$6&lt;=OutturnThrough),'Step 2 - Update outturn data'!#REF!,INDEX($D$50:$J$50,MATCH(I$6,$D$34:$J$34,0))/100*I$29),"")</f>
        <v/>
      </c>
      <c r="J9" s="168" t="str">
        <f>IF(ISNUMBER(J$6),IF(AND(J$6&gt;=MTP_BaseYear,J$6&lt;=OutturnThrough),'Step 2 - Update outturn data'!J7,INDEX($D$50:$J$50,MATCH(J$6,$D$34:$J$34,0))/100*J$29),"")</f>
        <v/>
      </c>
      <c r="K9" s="38"/>
      <c r="L9" s="38"/>
      <c r="M9" s="38"/>
      <c r="N9" s="38"/>
      <c r="O9" t="s">
        <v>813</v>
      </c>
      <c r="P9" s="181">
        <v>2023</v>
      </c>
    </row>
    <row r="10" spans="2:16" x14ac:dyDescent="0.4">
      <c r="B10" s="60" t="s">
        <v>276</v>
      </c>
      <c r="C10" s="45" t="s">
        <v>6</v>
      </c>
      <c r="D10" s="168">
        <f>IF(ISNUMBER(D$6),IF(AND(D$6&gt;=MTP_BaseYear,D$6&lt;=OutturnThrough),'Step 2 - Update outturn data'!E8,INDEX($D$63:$J$63,MATCH(D$6,$D$34:$J$34,0))/100*D$29),"")</f>
        <v>0.3</v>
      </c>
      <c r="E10" s="168">
        <f>IF(ISNUMBER(E$6),IF(AND(E$6&gt;=MTP_BaseYear,E$6&lt;=OutturnThrough),'Step 2 - Update outturn data'!F8,INDEX($D$63:$J$63,MATCH(E$6,$D$34:$J$34,0))/100*E$29),"")</f>
        <v>0.1</v>
      </c>
      <c r="F10" s="168">
        <f>IF(ISNUMBER(F$6),IF(AND(F$6&gt;=MTP_BaseYear,F$6&lt;=OutturnThrough),'Step 2 - Update outturn data'!G8,INDEX($D$63:$J$63,MATCH(F$6,$D$34:$J$34,0))/100*F$29),"")</f>
        <v>-0.1</v>
      </c>
      <c r="G10" s="168">
        <f>IF(ISNUMBER(G$6),IF(AND(G$6&gt;=MTP_BaseYear,G$6&lt;=OutturnThrough),'Step 2 - Update outturn data'!H8,INDEX($D$63:$J$63,MATCH(G$6,$D$34:$J$34,0))/100*G$29),"")</f>
        <v>-0.26126809239999998</v>
      </c>
      <c r="H10" s="168" t="str">
        <f>IF(ISNUMBER(H$6),IF(AND(H$6&gt;=MTP_BaseYear,H$6&lt;=OutturnThrough),'Step 2 - Update outturn data'!I8,INDEX($D$63:$J$63,MATCH(H$6,$D$34:$J$34,0))/100*H$29),"")</f>
        <v/>
      </c>
      <c r="I10" s="168" t="str">
        <f>IF(ISNUMBER(I$6),IF(AND(I$6&gt;=MTP_BaseYear,I$6&lt;=OutturnThrough),'Step 2 - Update outturn data'!#REF!,INDEX($D$63:$J$63,MATCH(I$6,$D$34:$J$34,0))/100*I$29),"")</f>
        <v/>
      </c>
      <c r="J10" s="168" t="str">
        <f>IF(ISNUMBER(J$6),IF(AND(J$6&gt;=MTP_BaseYear,J$6&lt;=OutturnThrough),'Step 2 - Update outturn data'!J8,INDEX($D$63:$J$63,MATCH(J$6,$D$34:$J$34,0))/100*J$29),"")</f>
        <v/>
      </c>
      <c r="K10" s="38"/>
      <c r="L10" s="38"/>
      <c r="M10" s="38"/>
      <c r="N10" s="38"/>
      <c r="O10" t="s">
        <v>817</v>
      </c>
      <c r="P10" s="181" t="s">
        <v>818</v>
      </c>
    </row>
    <row r="11" spans="2:16" x14ac:dyDescent="0.4">
      <c r="B11" s="60" t="s">
        <v>277</v>
      </c>
      <c r="C11" s="45" t="s">
        <v>6</v>
      </c>
      <c r="D11" s="168">
        <f>IF(ISNUMBER(D$6),IF(AND(D$6&gt;=MTP_BaseYear,D$6&lt;=OutturnThrough),'Step 2 - Update outturn data'!E9,INDEX($D$60:$J$60,MATCH(D$6,$D$34:$J$34,0))/100*D$29),"")</f>
        <v>5.6639999999999997</v>
      </c>
      <c r="E11" s="168">
        <f>IF(ISNUMBER(E$6),IF(AND(E$6&gt;=MTP_BaseYear,E$6&lt;=OutturnThrough),'Step 2 - Update outturn data'!F9,INDEX($D$60:$J$60,MATCH(E$6,$D$34:$J$34,0))/100*E$29),"")</f>
        <v>5.8730000000000002</v>
      </c>
      <c r="F11" s="168">
        <f>IF(ISNUMBER(F$6),IF(AND(F$6&gt;=MTP_BaseYear,F$6&lt;=OutturnThrough),'Step 2 - Update outturn data'!G9,INDEX($D$60:$J$60,MATCH(F$6,$D$34:$J$34,0))/100*F$29),"")</f>
        <v>8.43</v>
      </c>
      <c r="G11" s="168">
        <f>IF(ISNUMBER(G$6),IF(AND(G$6&gt;=MTP_BaseYear,G$6&lt;=OutturnThrough),'Step 2 - Update outturn data'!H9,INDEX($D$60:$J$60,MATCH(G$6,$D$34:$J$34,0))/100*G$29),"")</f>
        <v>12.5408684352</v>
      </c>
      <c r="H11" s="168" t="str">
        <f>IF(ISNUMBER(H$6),IF(AND(H$6&gt;=MTP_BaseYear,H$6&lt;=OutturnThrough),'Step 2 - Update outturn data'!I9,INDEX($D$60:$J$60,MATCH(H$6,$D$34:$J$34,0))/100*H$29),"")</f>
        <v/>
      </c>
      <c r="I11" s="168" t="str">
        <f>IF(ISNUMBER(I$6),IF(AND(I$6&gt;=MTP_BaseYear,I$6&lt;=OutturnThrough),'Step 2 - Update outturn data'!#REF!,INDEX($D$60:$J$60,MATCH(I$6,$D$34:$J$34,0))/100*I$29),"")</f>
        <v/>
      </c>
      <c r="J11" s="168" t="str">
        <f>IF(ISNUMBER(J$6),IF(AND(J$6&gt;=MTP_BaseYear,J$6&lt;=OutturnThrough),'Step 2 - Update outturn data'!J9,INDEX($D$60:$J$60,MATCH(J$6,$D$34:$J$34,0))/100*J$29),"")</f>
        <v/>
      </c>
      <c r="K11" s="38"/>
      <c r="L11" s="38"/>
      <c r="M11" s="38"/>
      <c r="N11" s="38"/>
      <c r="O11" t="s">
        <v>816</v>
      </c>
      <c r="P11" s="181" t="s">
        <v>819</v>
      </c>
    </row>
    <row r="12" spans="2:16" x14ac:dyDescent="0.4">
      <c r="B12" s="60" t="s">
        <v>278</v>
      </c>
      <c r="C12" s="45" t="s">
        <v>6</v>
      </c>
      <c r="D12" s="168">
        <f>IF(ISNUMBER(D$6),IF(AND(D$6&gt;=MTP_BaseYear,D$6&lt;=OutturnThrough),'Step 2 - Update outturn data'!E10,INDEX($D$62:$J$62,MATCH(D$6,$D$34:$J$34,0))/100*D$29),"")</f>
        <v>0.73899999999999999</v>
      </c>
      <c r="E12" s="168">
        <f>IF(ISNUMBER(E$6),IF(AND(E$6&gt;=MTP_BaseYear,E$6&lt;=OutturnThrough),'Step 2 - Update outturn data'!F10,INDEX($D$62:$J$62,MATCH(E$6,$D$34:$J$34,0))/100*E$29),"")</f>
        <v>0.70499999999999996</v>
      </c>
      <c r="F12" s="168">
        <f>IF(ISNUMBER(F$6),IF(AND(F$6&gt;=MTP_BaseYear,F$6&lt;=OutturnThrough),'Step 2 - Update outturn data'!G10,INDEX($D$62:$J$62,MATCH(F$6,$D$34:$J$34,0))/100*F$29),"")</f>
        <v>0.78</v>
      </c>
      <c r="G12" s="168">
        <f>IF(ISNUMBER(G$6),IF(AND(G$6&gt;=MTP_BaseYear,G$6&lt;=OutturnThrough),'Step 2 - Update outturn data'!H10,INDEX($D$62:$J$62,MATCH(G$6,$D$34:$J$34,0))/100*G$29),"")</f>
        <v>1.3063404620000001</v>
      </c>
      <c r="H12" s="168" t="str">
        <f>IF(ISNUMBER(H$6),IF(AND(H$6&gt;=MTP_BaseYear,H$6&lt;=OutturnThrough),'Step 2 - Update outturn data'!I10,INDEX($D$62:$J$62,MATCH(H$6,$D$34:$J$34,0))/100*H$29),"")</f>
        <v/>
      </c>
      <c r="I12" s="168" t="str">
        <f>IF(ISNUMBER(I$6),IF(AND(I$6&gt;=MTP_BaseYear,I$6&lt;=OutturnThrough),'Step 2 - Update outturn data'!#REF!,INDEX($D$62:$J$62,MATCH(I$6,$D$34:$J$34,0))/100*I$29),"")</f>
        <v/>
      </c>
      <c r="J12" s="168" t="str">
        <f>IF(ISNUMBER(J$6),IF(AND(J$6&gt;=MTP_BaseYear,J$6&lt;=OutturnThrough),'Step 2 - Update outturn data'!J10,INDEX($D$62:$J$62,MATCH(J$6,$D$34:$J$34,0))/100*J$29),"")</f>
        <v/>
      </c>
      <c r="K12" s="38"/>
      <c r="L12" s="38"/>
      <c r="M12" s="38"/>
      <c r="N12" s="38"/>
      <c r="O12" t="s">
        <v>821</v>
      </c>
      <c r="P12" s="181">
        <v>2</v>
      </c>
    </row>
    <row r="13" spans="2:16" x14ac:dyDescent="0.4">
      <c r="B13" s="60" t="s">
        <v>386</v>
      </c>
      <c r="C13" s="45" t="s">
        <v>6</v>
      </c>
      <c r="D13" s="168">
        <f>IF(ISNUMBER(D$6),IF(AND(D$6&gt;=MTP_BaseYear,D$6&lt;=OutturnThrough),'Step 2 - Update outturn data'!E11,INDEX($D$64:$J$64,MATCH(D$6,$D$34:$J$34,0))/100*D$29),"")</f>
        <v>0.30199999999999999</v>
      </c>
      <c r="E13" s="168">
        <f>IF(ISNUMBER(E$6),IF(AND(E$6&gt;=MTP_BaseYear,E$6&lt;=OutturnThrough),'Step 2 - Update outturn data'!F11,INDEX($D$64:$J$64,MATCH(E$6,$D$34:$J$34,0))/100*E$29),"")</f>
        <v>0.4</v>
      </c>
      <c r="F13" s="168">
        <f>IF(ISNUMBER(F$6),IF(AND(F$6&gt;=MTP_BaseYear,F$6&lt;=OutturnThrough),'Step 2 - Update outturn data'!G11,INDEX($D$64:$J$64,MATCH(F$6,$D$34:$J$34,0))/100*F$29),"")</f>
        <v>0.436</v>
      </c>
      <c r="G13" s="168">
        <f>IF(ISNUMBER(G$6),IF(AND(G$6&gt;=MTP_BaseYear,G$6&lt;=OutturnThrough),'Step 2 - Update outturn data'!H11,INDEX($D$64:$J$64,MATCH(G$6,$D$34:$J$34,0))/100*G$29),"")</f>
        <v>0</v>
      </c>
      <c r="H13" s="168" t="str">
        <f>IF(ISNUMBER(H$6),IF(AND(H$6&gt;=MTP_BaseYear,H$6&lt;=OutturnThrough),'Step 2 - Update outturn data'!I11,INDEX($D$64:$J$64,MATCH(H$6,$D$34:$J$34,0))/100*H$29),"")</f>
        <v/>
      </c>
      <c r="I13" s="168" t="str">
        <f>IF(ISNUMBER(I$6),IF(AND(I$6&gt;=MTP_BaseYear,I$6&lt;=OutturnThrough),'Step 2 - Update outturn data'!#REF!,INDEX($D$64:$J$64,MATCH(I$6,$D$34:$J$34,0))/100*I$29),"")</f>
        <v/>
      </c>
      <c r="J13" s="168" t="str">
        <f>IF(ISNUMBER(J$6),IF(AND(J$6&gt;=MTP_BaseYear,J$6&lt;=OutturnThrough),'Step 2 - Update outturn data'!J11,INDEX($D$64:$J$64,MATCH(J$6,$D$34:$J$34,0))/100*J$29),"")</f>
        <v/>
      </c>
      <c r="K13" s="38"/>
      <c r="L13" s="38"/>
      <c r="M13" s="38"/>
      <c r="N13" s="38"/>
      <c r="O13" t="s">
        <v>820</v>
      </c>
      <c r="P13" s="181">
        <v>60</v>
      </c>
    </row>
    <row r="14" spans="2:16" x14ac:dyDescent="0.4">
      <c r="B14" s="60" t="s">
        <v>307</v>
      </c>
      <c r="C14" s="45" t="s">
        <v>6</v>
      </c>
      <c r="D14" s="168">
        <f>IF(ISNUMBER(D$6),IF(AND(D$6&gt;=MTP_BaseYear,D$6&lt;=OutturnThrough),'Step 2 - Update outturn data'!E12,INDEX($D$65:$J$65,MATCH(D$6,$D$34:$J$34,0))/100*D$29),"")</f>
        <v>96.642539999999997</v>
      </c>
      <c r="E14" s="168">
        <f>IF(ISNUMBER(E$6),IF(AND(E$6&gt;=MTP_BaseYear,E$6&lt;=OutturnThrough),'Step 2 - Update outturn data'!F12,INDEX($D$65:$J$65,MATCH(E$6,$D$34:$J$34,0))/100*E$29),"")</f>
        <v>98.517420000000001</v>
      </c>
      <c r="F14" s="168">
        <f>IF(ISNUMBER(F$6),IF(AND(F$6&gt;=MTP_BaseYear,F$6&lt;=OutturnThrough),'Step 2 - Update outturn data'!G12,INDEX($D$65:$J$65,MATCH(F$6,$D$34:$J$34,0))/100*F$29),"")</f>
        <v>102.40949000000001</v>
      </c>
      <c r="G14" s="168">
        <f>IF(ISNUMBER(G$6),IF(AND(G$6&gt;=MTP_BaseYear,G$6&lt;=OutturnThrough),'Step 2 - Update outturn data'!H12,INDEX($D$65:$J$65,MATCH(G$6,$D$34:$J$34,0))/100*G$29),"")</f>
        <v>109.73259880799999</v>
      </c>
      <c r="H14" s="168" t="str">
        <f>IF(ISNUMBER(H$6),IF(AND(H$6&gt;=MTP_BaseYear,H$6&lt;=OutturnThrough),'Step 2 - Update outturn data'!I12,INDEX($D$65:$J$65,MATCH(H$6,$D$34:$J$34,0))/100*H$29),"")</f>
        <v/>
      </c>
      <c r="I14" s="168" t="str">
        <f>IF(ISNUMBER(I$6),IF(AND(I$6&gt;=MTP_BaseYear,I$6&lt;=OutturnThrough),'Step 2 - Update outturn data'!#REF!,INDEX($D$65:$J$65,MATCH(I$6,$D$34:$J$34,0))/100*I$29),"")</f>
        <v/>
      </c>
      <c r="J14" s="168" t="str">
        <f>IF(ISNUMBER(J$6),IF(AND(J$6&gt;=MTP_BaseYear,J$6&lt;=OutturnThrough),'Step 2 - Update outturn data'!J12,INDEX($D$65:$J$65,MATCH(J$6,$D$34:$J$34,0))/100*J$29),"")</f>
        <v/>
      </c>
      <c r="K14" s="38"/>
      <c r="L14" s="38"/>
      <c r="M14" s="38"/>
      <c r="N14" s="38"/>
    </row>
    <row r="15" spans="2:16" x14ac:dyDescent="0.4">
      <c r="B15" s="60" t="s">
        <v>607</v>
      </c>
      <c r="C15" s="45" t="s">
        <v>6</v>
      </c>
      <c r="D15" s="168">
        <f>IF(ISNUMBER(D$6),IF(AND(D$6&gt;=MTP_BaseYear,D$6&lt;=OutturnThrough),'Step 2 - Update outturn data'!E13,(INDEX($D$45:$J$45,MATCH(D$6,$D$34:$J$34,0))-INDEX($D$46:$J$46,MATCH(D$6,$D$34:$J$34,0)))/100*D$29),"")</f>
        <v>0</v>
      </c>
      <c r="E15" s="168">
        <f>IF(ISNUMBER(E$6),IF(AND(E$6&gt;=MTP_BaseYear,E$6&lt;=OutturnThrough),'Step 2 - Update outturn data'!F13,(INDEX($D$45:$J$45,MATCH(E$6,$D$34:$J$34,0))-INDEX($D$46:$J$46,MATCH(E$6,$D$34:$J$34,0)))/100*E$29),"")</f>
        <v>2</v>
      </c>
      <c r="F15" s="168">
        <f>IF(ISNUMBER(F$6),IF(AND(F$6&gt;=MTP_BaseYear,F$6&lt;=OutturnThrough),'Step 2 - Update outturn data'!G13,(INDEX($D$45:$J$45,MATCH(F$6,$D$34:$J$34,0))-INDEX($D$46:$J$46,MATCH(F$6,$D$34:$J$34,0)))/100*F$29),"")</f>
        <v>1.1000000000000001</v>
      </c>
      <c r="G15" s="168">
        <f>IF(ISNUMBER(G$6),IF(AND(G$6&gt;=MTP_BaseYear,G$6&lt;=OutturnThrough),'Step 2 - Update outturn data'!H13,(INDEX($D$45:$J$45,MATCH(G$6,$D$34:$J$34,0))-INDEX($D$46:$J$46,MATCH(G$6,$D$34:$J$34,0)))/100*G$29),"")</f>
        <v>-0.52253618479999997</v>
      </c>
      <c r="H15" s="168" t="str">
        <f>IF(ISNUMBER(H$6),IF(AND(H$6&gt;=MTP_BaseYear,H$6&lt;=OutturnThrough),'Step 2 - Update outturn data'!I13,(INDEX($D$45:$J$45,MATCH(H$6,$D$34:$J$34,0))-INDEX($D$46:$J$46,MATCH(H$6,$D$34:$J$34,0)))/100*H$29),"")</f>
        <v/>
      </c>
      <c r="I15" s="168" t="str">
        <f>IF(ISNUMBER(I$6),IF(AND(I$6&gt;=MTP_BaseYear,I$6&lt;=OutturnThrough),'Step 2 - Update outturn data'!#REF!,(INDEX($D$45:$J$45,MATCH(I$6,$D$34:$J$34,0))-INDEX($D$46:$J$46,MATCH(I$6,$D$34:$J$34,0)))/100*I$29),"")</f>
        <v/>
      </c>
      <c r="J15" s="168" t="str">
        <f>IF(ISNUMBER(J$6),IF(AND(J$6&gt;=MTP_BaseYear,J$6&lt;=OutturnThrough),'Step 2 - Update outturn data'!J13,(INDEX($D$45:$J$45,MATCH(J$6,$D$34:$J$34,0))-INDEX($D$46:$J$46,MATCH(J$6,$D$34:$J$34,0)))/100*J$29),"")</f>
        <v/>
      </c>
      <c r="K15" s="38"/>
      <c r="L15" s="38"/>
      <c r="M15" s="38"/>
      <c r="N15" s="38"/>
      <c r="O15" t="s">
        <v>836</v>
      </c>
    </row>
    <row r="16" spans="2:16" x14ac:dyDescent="0.4">
      <c r="B16" s="60" t="s">
        <v>609</v>
      </c>
      <c r="C16" s="45" t="s">
        <v>6</v>
      </c>
      <c r="D16" s="168">
        <f>IF(ISNUMBER(D$6),IF(AND(D$6&gt;=MTP_BaseYear,D$6&lt;=OutturnThrough),'Step 2 - Update outturn data'!E14,INDEX($D$87:$J$87,MATCH(D$6,$D$34:$J$34,0))/100*D$29),"")</f>
        <v>5.2</v>
      </c>
      <c r="E16" s="168">
        <f>IF(ISNUMBER(E$6),IF(AND(E$6&gt;=MTP_BaseYear,E$6&lt;=OutturnThrough),'Step 2 - Update outturn data'!F14,INDEX($D$87:$J$87,MATCH(E$6,$D$34:$J$34,0))/100*E$29),"")</f>
        <v>5.2880000000000003</v>
      </c>
      <c r="F16" s="168">
        <f>IF(ISNUMBER(F$6),IF(AND(F$6&gt;=MTP_BaseYear,F$6&lt;=OutturnThrough),'Step 2 - Update outturn data'!G14,INDEX($D$87:$J$87,MATCH(F$6,$D$34:$J$34,0))/100*F$29),"")</f>
        <v>5.9859999999999998</v>
      </c>
      <c r="G16" s="168">
        <f>IF(ISNUMBER(G$6),IF(AND(G$6&gt;=MTP_BaseYear,G$6&lt;=OutturnThrough),'Step 2 - Update outturn data'!H14,INDEX($D$87:$J$87,MATCH(G$6,$D$34:$J$34,0))/100*G$29),"")</f>
        <v>6.7929704024000008</v>
      </c>
      <c r="H16" s="168" t="str">
        <f>IF(ISNUMBER(H$6),IF(AND(H$6&gt;=MTP_BaseYear,H$6&lt;=OutturnThrough),'Step 2 - Update outturn data'!I14,INDEX($D$87:$J$87,MATCH(H$6,$D$34:$J$34,0))/100*H$29),"")</f>
        <v/>
      </c>
      <c r="I16" s="168" t="str">
        <f>IF(ISNUMBER(I$6),IF(AND(I$6&gt;=MTP_BaseYear,I$6&lt;=OutturnThrough),'Step 2 - Update outturn data'!#REF!,INDEX($D$87:$J$87,MATCH(I$6,$D$34:$J$34,0))/100*I$29),"")</f>
        <v/>
      </c>
      <c r="J16" s="168" t="str">
        <f>IF(ISNUMBER(J$6),IF(AND(J$6&gt;=MTP_BaseYear,J$6&lt;=OutturnThrough),'Step 2 - Update outturn data'!J14,INDEX($D$87:$J$87,MATCH(J$6,$D$34:$J$34,0))/100*J$29),"")</f>
        <v/>
      </c>
      <c r="K16" s="38"/>
      <c r="L16" s="38"/>
      <c r="M16" s="38"/>
      <c r="N16" s="38"/>
    </row>
    <row r="17" spans="2:15" x14ac:dyDescent="0.4">
      <c r="B17" s="60" t="s">
        <v>309</v>
      </c>
      <c r="C17" s="45" t="s">
        <v>645</v>
      </c>
      <c r="D17" s="168" t="str">
        <f>IF(ISNUMBER(D$6),IF(AND(D$6&gt;=MTP_BaseYear,D$6&lt;=OutturnThrough),'Step 2 - Update outturn data'!E15,INDEX($D$67:$J$67,MATCH(D$6,$D$34:$J$34,0))),"")</f>
        <v/>
      </c>
      <c r="E17" s="168">
        <f>IF(ISNUMBER(E$6),IF(AND(E$6&gt;=MTP_BaseYear,E$6&lt;=OutturnThrough),'Step 2 - Update outturn data'!F15,INDEX($D$67:$J$67,MATCH(E$6,$D$34:$J$34,0))),"")</f>
        <v>-0.12946679588512477</v>
      </c>
      <c r="F17" s="168">
        <f>IF(ISNUMBER(F$6),IF(AND(F$6&gt;=MTP_BaseYear,F$6&lt;=OutturnThrough),'Step 2 - Update outturn data'!G15,INDEX($D$67:$J$67,MATCH(F$6,$D$34:$J$34,0))),"")</f>
        <v>2.8340876161799811</v>
      </c>
      <c r="G17" s="168">
        <f>IF(ISNUMBER(G$6),IF(AND(G$6&gt;=MTP_BaseYear,G$6&lt;=OutturnThrough),'Step 2 - Update outturn data'!H15,INDEX($D$67:$J$67,MATCH(G$6,$D$34:$J$34,0))),"")</f>
        <v>7.5</v>
      </c>
      <c r="H17" s="168" t="str">
        <f>IF(ISNUMBER(H$6),IF(AND(H$6&gt;=MTP_BaseYear,H$6&lt;=OutturnThrough),'Step 2 - Update outturn data'!I15,INDEX($D$67:$J$67,MATCH(H$6,$D$34:$J$34,0))),"")</f>
        <v/>
      </c>
      <c r="I17" s="168" t="str">
        <f>IF(ISNUMBER(I$6),IF(AND(I$6&gt;=MTP_BaseYear,I$6&lt;=OutturnThrough),'Step 2 - Update outturn data'!#REF!,INDEX($D$67:$J$67,MATCH(I$6,$D$34:$J$34,0))),"")</f>
        <v/>
      </c>
      <c r="J17" s="168" t="str">
        <f>IF(ISNUMBER(J$6),IF(AND(J$6&gt;=MTP_BaseYear,J$6&lt;=OutturnThrough),'Step 2 - Update outturn data'!J15,INDEX($D$67:$J$67,MATCH(J$6,$D$34:$J$34,0))),"")</f>
        <v/>
      </c>
      <c r="K17" s="38"/>
      <c r="L17" s="38"/>
      <c r="M17" s="38"/>
      <c r="N17" s="38"/>
    </row>
    <row r="18" spans="2:15" x14ac:dyDescent="0.4">
      <c r="B18" s="60" t="s">
        <v>308</v>
      </c>
      <c r="C18" s="45" t="s">
        <v>645</v>
      </c>
      <c r="D18" s="70" t="str">
        <f>IF(ISNUMBER(D$6),IF(D$6&lt;=MTP_BaseYear,"",IF(ISNUMBER(C18),((1+C18/100)*(1+D17/100)-1)*100,D17)),"")</f>
        <v/>
      </c>
      <c r="E18" s="70">
        <f>IF(ISNUMBER(E$6),IF(E$6&lt;=MTP_BaseYear,"",IF(ISNUMBER(D18),((1+D18/100)*(1+E17/100)-1)*100,E17)),"")</f>
        <v>-0.12946679588512477</v>
      </c>
      <c r="F18" s="70">
        <f>IF(ISNUMBER(F$6),IF(F$6&lt;=MTP_BaseYear,"",IF(ISNUMBER(E18),((1+E18/100)*(1+F17/100)-1)*100,F17)),"")</f>
        <v>2.7009516178656101</v>
      </c>
      <c r="G18" s="70">
        <f>IF(ISNUMBER(G$6),IF(G$6&lt;=MTP_BaseYear,"",IF(ISNUMBER(F18),((1+F18/100)*(1+G17/100)-1)*100,G17)),"")</f>
        <v>10.403522989205527</v>
      </c>
      <c r="H18" s="70" t="str">
        <f>IF(ISNUMBER(H$6),IF(H$6&lt;=MTP_BaseYear,"",IF(ISNUMBER(G18),((1+G18/100)*(1+H17/100)-1)*100,H17)),"")</f>
        <v/>
      </c>
      <c r="I18" s="70" t="str">
        <f>IF(ISNUMBER(I$6),IF(I$6&lt;=MTP_YearT,"",IF(ISNUMBER(H18),((1+H18/100)*(1+I17/100)-1)*100,I17)),"")</f>
        <v/>
      </c>
      <c r="J18" s="168"/>
      <c r="K18" s="38"/>
      <c r="L18" s="38"/>
      <c r="M18" s="38"/>
      <c r="N18" s="38"/>
    </row>
    <row r="19" spans="2:15" x14ac:dyDescent="0.4">
      <c r="B19" s="56" t="s">
        <v>206</v>
      </c>
      <c r="C19" s="45" t="s">
        <v>614</v>
      </c>
      <c r="D19" s="168">
        <f>IF(ISNUMBER(D$6),IF(AND(D$6&gt;=MTP_BaseYear,D$6&lt;=OutturnThrough),'Step 2 - Update outturn data'!E17,INDEX($D$69:$J$69,MATCH(D$6,$D$34:$J$34,0))),"")</f>
        <v>-1.4299943654750491</v>
      </c>
      <c r="E19" s="168">
        <f>IF(ISNUMBER(E$6),IF(AND(E$6&gt;=MTP_BaseYear,E$6&lt;=OutturnThrough),'Step 2 - Update outturn data'!F17,INDEX($D$69:$J$69,MATCH(E$6,$D$34:$J$34,0))),"")</f>
        <v>1.3470701540957015</v>
      </c>
      <c r="F19" s="168">
        <f>IF(ISNUMBER(F$6),IF(AND(F$6&gt;=MTP_BaseYear,F$6&lt;=OutturnThrough),'Step 2 - Update outturn data'!G17,INDEX($D$69:$J$69,MATCH(F$6,$D$34:$J$34,0))),"")</f>
        <v>1.7273751105781794</v>
      </c>
      <c r="G19" s="168">
        <f>IF(ISNUMBER(G$6),IF(AND(G$6&gt;=MTP_BaseYear,G$6&lt;=OutturnThrough),'Step 2 - Update outturn data'!H17,INDEX($D$69:$J$69,MATCH(G$6,$D$34:$J$34,0))),"")</f>
        <v>0.2</v>
      </c>
      <c r="H19" s="168" t="str">
        <f>IF(ISNUMBER(H$6),IF(AND(H$6&gt;=MTP_BaseYear,H$6&lt;=OutturnThrough),'Step 2 - Update outturn data'!I17,INDEX($D$69:$J$69,MATCH(H$6,$D$34:$J$34,0))),"")</f>
        <v/>
      </c>
      <c r="I19" s="168" t="str">
        <f>IF(ISNUMBER(I$6),IF(AND(I$6&gt;=MTP_BaseYear,I$6&lt;=OutturnThrough),'Step 2 - Update outturn data'!#REF!,INDEX($D$69:$J$69,MATCH(I$6,$D$34:$J$34,0))),"")</f>
        <v/>
      </c>
      <c r="J19" s="168" t="str">
        <f>IF(ISNUMBER(J$6),IF(AND(J$6&gt;=MTP_BaseYear,J$6&lt;=OutturnThrough),'Step 2 - Update outturn data'!J17,INDEX($D$69:$J$69,MATCH(J$6,$D$34:$J$34,0))),"")</f>
        <v/>
      </c>
      <c r="K19" s="38"/>
      <c r="L19" s="38"/>
      <c r="M19" s="38"/>
      <c r="N19" s="38"/>
    </row>
    <row r="20" spans="2:15" x14ac:dyDescent="0.4">
      <c r="B20" s="56" t="s">
        <v>0</v>
      </c>
      <c r="C20" s="45" t="s">
        <v>614</v>
      </c>
      <c r="D20" s="168">
        <f>IF(ISNUMBER(D$6),IF(AND(D$6&gt;=MTP_BaseYear,D$6&lt;=OutturnThrough),'Step 2 - Update outturn data'!E18,INDEX($D$72:$J$72,MATCH(D$6,$D$34:$J$34,0))),"")</f>
        <v>-1.84205</v>
      </c>
      <c r="E20" s="168">
        <f>IF(ISNUMBER(E$6),IF(AND(E$6&gt;=MTP_BaseYear,E$6&lt;=OutturnThrough),'Step 2 - Update outturn data'!F18,INDEX($D$72:$J$72,MATCH(E$6,$D$34:$J$34,0))),"")</f>
        <v>0.34606999999999999</v>
      </c>
      <c r="F20" s="168">
        <f>IF(ISNUMBER(F$6),IF(AND(F$6&gt;=MTP_BaseYear,F$6&lt;=OutturnThrough),'Step 2 - Update outturn data'!G18,INDEX($D$72:$J$72,MATCH(F$6,$D$34:$J$34,0))),"")</f>
        <v>0.48633999999999999</v>
      </c>
      <c r="G20" s="168">
        <f>IF(ISNUMBER(G$6),IF(AND(G$6&gt;=MTP_BaseYear,G$6&lt;=OutturnThrough),'Step 2 - Update outturn data'!H18,INDEX($D$72:$J$72,MATCH(G$6,$D$34:$J$34,0))),"")</f>
        <v>-1.2</v>
      </c>
      <c r="H20" s="168" t="str">
        <f>IF(ISNUMBER(H$6),IF(AND(H$6&gt;=MTP_BaseYear,H$6&lt;=OutturnThrough),'Step 2 - Update outturn data'!I18,INDEX($D$72:$J$72,MATCH(H$6,$D$34:$J$34,0))),"")</f>
        <v/>
      </c>
      <c r="I20" s="168" t="str">
        <f>IF(ISNUMBER(I$6),IF(AND(I$6&gt;=MTP_BaseYear,I$6&lt;=OutturnThrough),'Step 2 - Update outturn data'!#REF!,INDEX($D$72:$J$72,MATCH(I$6,$D$34:$J$34,0))),"")</f>
        <v/>
      </c>
      <c r="J20" s="168" t="str">
        <f>IF(ISNUMBER(J$6),IF(AND(J$6&gt;=MTP_BaseYear,J$6&lt;=OutturnThrough),'Step 2 - Update outturn data'!J18,INDEX($D$72:$J$72,MATCH(J$6,$D$34:$J$34,0))),"")</f>
        <v/>
      </c>
      <c r="K20" s="38"/>
      <c r="L20" s="38"/>
      <c r="M20" s="38"/>
      <c r="N20" s="38"/>
    </row>
    <row r="21" spans="2:15" x14ac:dyDescent="0.4">
      <c r="B21" s="56" t="s">
        <v>3</v>
      </c>
      <c r="C21" s="45" t="s">
        <v>614</v>
      </c>
      <c r="D21" s="168">
        <f>IF(ISNUMBER(D$6),IF(AND(D$6&gt;=MTP_BaseYear,D$6&lt;=OutturnThrough),'Step 2 - Update outturn data'!E19,INDEX($D$73:$J$73,MATCH(D$6,$D$34:$J$34,0))),"")</f>
        <v>1.54579</v>
      </c>
      <c r="E21" s="168">
        <f>IF(ISNUMBER(E$6),IF(AND(E$6&gt;=MTP_BaseYear,E$6&lt;=OutturnThrough),'Step 2 - Update outturn data'!F19,INDEX($D$73:$J$73,MATCH(E$6,$D$34:$J$34,0))),"")</f>
        <v>3.8204099999999999</v>
      </c>
      <c r="F21" s="168">
        <f>IF(ISNUMBER(F$6),IF(AND(F$6&gt;=MTP_BaseYear,F$6&lt;=OutturnThrough),'Step 2 - Update outturn data'!G19,INDEX($D$73:$J$73,MATCH(F$6,$D$34:$J$34,0))),"")</f>
        <v>3.6435300000000002</v>
      </c>
      <c r="G21" s="168">
        <f>IF(ISNUMBER(G$6),IF(AND(G$6&gt;=MTP_BaseYear,G$6&lt;=OutturnThrough),'Step 2 - Update outturn data'!H19,INDEX($D$73:$J$73,MATCH(G$6,$D$34:$J$34,0))),"")</f>
        <v>1.8</v>
      </c>
      <c r="H21" s="168" t="str">
        <f>IF(ISNUMBER(H$6),IF(AND(H$6&gt;=MTP_BaseYear,H$6&lt;=OutturnThrough),'Step 2 - Update outturn data'!I19,INDEX($D$73:$J$73,MATCH(H$6,$D$34:$J$34,0))),"")</f>
        <v/>
      </c>
      <c r="I21" s="168" t="str">
        <f>IF(ISNUMBER(I$6),IF(AND(I$6&gt;=MTP_BaseYear,I$6&lt;=OutturnThrough),'Step 2 - Update outturn data'!#REF!,INDEX($D$73:$J$73,MATCH(I$6,$D$34:$J$34,0))),"")</f>
        <v/>
      </c>
      <c r="J21" s="168" t="str">
        <f>IF(ISNUMBER(J$6),IF(AND(J$6&gt;=MTP_BaseYear,J$6&lt;=OutturnThrough),'Step 2 - Update outturn data'!J19,INDEX($D$73:$J$73,MATCH(J$6,$D$34:$J$34,0))),"")</f>
        <v/>
      </c>
      <c r="K21" s="38"/>
      <c r="L21" s="38"/>
      <c r="M21" s="38"/>
      <c r="N21" s="38"/>
    </row>
    <row r="22" spans="2:15" x14ac:dyDescent="0.4">
      <c r="B22" s="56" t="s">
        <v>1</v>
      </c>
      <c r="C22" s="45" t="s">
        <v>614</v>
      </c>
      <c r="D22" s="168">
        <f>IF(ISNUMBER(D$6),IF(AND(D$6&gt;=MTP_BaseYear,D$6&lt;=OutturnThrough),'Step 2 - Update outturn data'!E20,INDEX($D$75:$J$75,MATCH(D$6,$D$34:$J$34,0))),"")</f>
        <v>164.27800194226435</v>
      </c>
      <c r="E22" s="168">
        <f>IF(ISNUMBER(E$6),IF(AND(E$6&gt;=MTP_BaseYear,E$6&lt;=OutturnThrough),'Step 2 - Update outturn data'!F20,INDEX($D$75:$J$75,MATCH(E$6,$D$34:$J$34,0))),"")</f>
        <v>154.16497702081645</v>
      </c>
      <c r="F22" s="168">
        <f>IF(ISNUMBER(F$6),IF(AND(F$6&gt;=MTP_BaseYear,F$6&lt;=OutturnThrough),'Step 2 - Update outturn data'!G20,INDEX($D$75:$J$75,MATCH(F$6,$D$34:$J$34,0))),"")</f>
        <v>146.13231049104562</v>
      </c>
      <c r="G22" s="168">
        <f>IF(ISNUMBER(G$6),IF(AND(G$6&gt;=MTP_BaseYear,G$6&lt;=OutturnThrough),'Step 2 - Update outturn data'!H20,INDEX($D$75:$J$75,MATCH(G$6,$D$34:$J$34,0))),"")</f>
        <v>136.80000000000001</v>
      </c>
      <c r="H22" s="168" t="str">
        <f>IF(ISNUMBER(H$6),IF(AND(H$6&gt;=MTP_BaseYear,H$6&lt;=OutturnThrough),'Step 2 - Update outturn data'!I20,INDEX($D$75:$J$75,MATCH(H$6,$D$34:$J$34,0))),"")</f>
        <v/>
      </c>
      <c r="I22" s="168" t="str">
        <f>IF(ISNUMBER(I$6),IF(AND(I$6&gt;=MTP_BaseYear,I$6&lt;=OutturnThrough),'Step 2 - Update outturn data'!#REF!,INDEX($D$75:$J$75,MATCH(I$6,$D$34:$J$34,0))),"")</f>
        <v/>
      </c>
      <c r="J22" s="168" t="str">
        <f>IF(ISNUMBER(J$6),IF(AND(J$6&gt;=MTP_BaseYear,J$6&lt;=OutturnThrough),'Step 2 - Update outturn data'!J20,INDEX($D$75:$J$75,MATCH(J$6,$D$34:$J$34,0))),"")</f>
        <v/>
      </c>
      <c r="K22" s="38"/>
      <c r="L22" s="38"/>
      <c r="M22" s="38"/>
      <c r="N22" s="38"/>
    </row>
    <row r="23" spans="2:15" x14ac:dyDescent="0.4">
      <c r="B23" s="56" t="s">
        <v>2</v>
      </c>
      <c r="C23" s="45" t="s">
        <v>614</v>
      </c>
      <c r="D23" s="168">
        <f>IF(ISNUMBER(D$6),IF(AND(D$6&gt;=MTP_BaseYear,D$6&lt;=OutturnThrough),'Step 2 - Update outturn data'!E21,INDEX($D$76:$J$76,MATCH(D$6,$D$34:$J$34,0))),"")</f>
        <v>0.4917970039993555</v>
      </c>
      <c r="E23" s="168">
        <f>IF(ISNUMBER(E$6),IF(AND(E$6&gt;=MTP_BaseYear,E$6&lt;=OutturnThrough),'Step 2 - Update outturn data'!F21,INDEX($D$76:$J$76,MATCH(E$6,$D$34:$J$34,0))),"")</f>
        <v>-1.7513179237631793</v>
      </c>
      <c r="F23" s="168">
        <f>IF(ISNUMBER(F$6),IF(AND(F$6&gt;=MTP_BaseYear,F$6&lt;=OutturnThrough),'Step 2 - Update outturn data'!G21,INDEX($D$76:$J$76,MATCH(F$6,$D$34:$J$34,0))),"")</f>
        <v>-0.82100649195079434</v>
      </c>
      <c r="G23" s="168">
        <f>IF(ISNUMBER(G$6),IF(AND(G$6&gt;=MTP_BaseYear,G$6&lt;=OutturnThrough),'Step 2 - Update outturn data'!H21,INDEX($D$76:$J$76,MATCH(G$6,$D$34:$J$34,0))),"")</f>
        <v>-9.3000000000000007</v>
      </c>
      <c r="H23" s="168" t="str">
        <f>IF(ISNUMBER(H$6),IF(AND(H$6&gt;=MTP_BaseYear,H$6&lt;=OutturnThrough),'Step 2 - Update outturn data'!I21,INDEX($D$76:$J$76,MATCH(H$6,$D$34:$J$34,0))),"")</f>
        <v/>
      </c>
      <c r="I23" s="168" t="str">
        <f>IF(ISNUMBER(I$6),IF(AND(I$6&gt;=MTP_BaseYear,I$6&lt;=OutturnThrough),'Step 2 - Update outturn data'!#REF!,INDEX($D$76:$J$76,MATCH(I$6,$D$34:$J$34,0))),"")</f>
        <v/>
      </c>
      <c r="J23" s="168" t="str">
        <f>IF(ISNUMBER(J$6),IF(AND(J$6&gt;=MTP_BaseYear,J$6&lt;=OutturnThrough),'Step 2 - Update outturn data'!J21,INDEX($D$76:$J$76,MATCH(J$6,$D$34:$J$34,0))),"")</f>
        <v/>
      </c>
      <c r="K23" s="38"/>
      <c r="L23" s="38"/>
      <c r="M23" s="38"/>
      <c r="N23" s="38"/>
    </row>
    <row r="24" spans="2:15" x14ac:dyDescent="0.4">
      <c r="B24" s="56" t="s">
        <v>280</v>
      </c>
      <c r="C24" s="45" t="s">
        <v>644</v>
      </c>
      <c r="D24" s="168">
        <f>IF(ISNUMBER(D$6),IF(AND(D$6&gt;=MTP_BaseYear,D$6&lt;=OutturnThrough),'Step 2 - Update outturn data'!E22,INDEX($D$94:$J$94,MATCH(D$6,$D$92:$J$92,0))),"")</f>
        <v>2.1358911863197383</v>
      </c>
      <c r="E24" s="168">
        <f>IF(ISNUMBER(E$6),IF(AND(E$6&gt;=MTP_BaseYear,E$6&lt;=OutturnThrough),'Step 2 - Update outturn data'!F22,INDEX($D$94:$J$94,MATCH(E$6,$D$92:$J$92,0))),"")</f>
        <v>2.0865774054565467</v>
      </c>
      <c r="F24" s="168">
        <f>IF(ISNUMBER(F$6),IF(AND(F$6&gt;=MTP_BaseYear,F$6&lt;=OutturnThrough),'Step 2 - Update outturn data'!G22,INDEX($D$94:$J$94,MATCH(F$6,$D$92:$J$92,0))),"")</f>
        <v>2.0730652469252542</v>
      </c>
      <c r="G24" s="168">
        <f>IF(ISNUMBER(G$6),IF(AND(G$6&gt;=MTP_BaseYear,G$6&lt;=OutturnThrough),'Step 2 - Update outturn data'!H22,INDEX($D$94:$J$94,MATCH(G$6,$D$92:$J$92,0))),"")</f>
        <v>2</v>
      </c>
      <c r="H24" s="168" t="str">
        <f>IF(ISNUMBER(H$6),IF(AND(H$6&gt;=MTP_BaseYear,H$6&lt;=OutturnThrough),'Step 2 - Update outturn data'!I22,INDEX($D$94:$J$94,MATCH(H$6,$D$92:$J$92,0))),"")</f>
        <v/>
      </c>
      <c r="I24" s="168" t="str">
        <f>IF(ISNUMBER(I$6),IF(AND(I$6&gt;=MTP_BaseYear,I$6&lt;=OutturnThrough),'Step 2 - Update outturn data'!#REF!,INDEX($D$94:$J$94,MATCH(I$6,$D$92:$J$92,0))),"")</f>
        <v/>
      </c>
      <c r="J24" s="168" t="str">
        <f>IF(ISNUMBER(J$6),IF(AND(J$6&gt;=MTP_BaseYear,J$6&lt;=OutturnThrough),'Step 2 - Update outturn data'!J22,INDEX($D$94:$J$94,MATCH(J$6,$D$92:$J$92,0))),"")</f>
        <v/>
      </c>
      <c r="K24" s="38"/>
      <c r="L24" s="38"/>
      <c r="M24" s="38"/>
      <c r="N24" s="38"/>
    </row>
    <row r="25" spans="2:15" x14ac:dyDescent="0.4">
      <c r="B25" s="56" t="s">
        <v>281</v>
      </c>
      <c r="C25" s="45" t="s">
        <v>644</v>
      </c>
      <c r="D25" s="168">
        <f>IF(ISNUMBER(D$6),IF(AND(D$6&gt;=MTP_BaseYear,D$6&lt;=OutturnThrough),'Step 2 - Update outturn data'!E23,INDEX($D$95:$J$95,MATCH(D$6,$D$92:$J$92,0))),"")</f>
        <v>6.2696911980743009</v>
      </c>
      <c r="E25" s="168">
        <f>IF(ISNUMBER(E$6),IF(AND(E$6&gt;=MTP_BaseYear,E$6&lt;=OutturnThrough),'Step 2 - Update outturn data'!F23,INDEX($D$95:$J$95,MATCH(E$6,$D$92:$J$92,0))),"")</f>
        <v>3.2094021239268633</v>
      </c>
      <c r="F25" s="168">
        <f>IF(ISNUMBER(F$6),IF(AND(F$6&gt;=MTP_BaseYear,F$6&lt;=OutturnThrough),'Step 2 - Update outturn data'!G23,INDEX($D$95:$J$95,MATCH(F$6,$D$92:$J$92,0))),"")</f>
        <v>2.7768191292891542</v>
      </c>
      <c r="G25" s="168">
        <f>IF(ISNUMBER(G$6),IF(AND(G$6&gt;=MTP_BaseYear,G$6&lt;=OutturnThrough),'Step 2 - Update outturn data'!H23,INDEX($D$95:$J$95,MATCH(G$6,$D$92:$J$92,0))),"")</f>
        <v>3.2</v>
      </c>
      <c r="H25" s="168" t="str">
        <f>IF(ISNUMBER(H$6),IF(AND(H$6&gt;=MTP_BaseYear,H$6&lt;=OutturnThrough),'Step 2 - Update outturn data'!I23,INDEX($D$95:$J$95,MATCH(H$6,$D$92:$J$92,0))),"")</f>
        <v/>
      </c>
      <c r="I25" s="168" t="str">
        <f>IF(ISNUMBER(I$6),IF(AND(I$6&gt;=MTP_BaseYear,I$6&lt;=OutturnThrough),'Step 2 - Update outturn data'!#REF!,INDEX($D$95:$J$95,MATCH(I$6,$D$92:$J$92,0))),"")</f>
        <v/>
      </c>
      <c r="J25" s="168" t="str">
        <f>IF(ISNUMBER(J$6),IF(AND(J$6&gt;=MTP_BaseYear,J$6&lt;=OutturnThrough),'Step 2 - Update outturn data'!J23,INDEX($D$95:$J$95,MATCH(J$6,$D$92:$J$92,0))),"")</f>
        <v/>
      </c>
      <c r="K25" s="38"/>
      <c r="L25" s="38"/>
      <c r="M25" s="38"/>
      <c r="N25" s="38"/>
    </row>
    <row r="26" spans="2:15" x14ac:dyDescent="0.4">
      <c r="B26" s="56" t="s">
        <v>282</v>
      </c>
      <c r="C26" s="45" t="s">
        <v>644</v>
      </c>
      <c r="D26" s="168">
        <f>IF(ISNUMBER(D$6),IF(AND(D$6&gt;=MTP_BaseYear,D$6&lt;=OutturnThrough),'Step 2 - Update outturn data'!E24,INDEX($D$96:$J$96,MATCH(D$6,$D$92:$J$92,0))),"")</f>
        <v>8.5394961661031665</v>
      </c>
      <c r="E26" s="168">
        <f>IF(ISNUMBER(E$6),IF(AND(E$6&gt;=MTP_BaseYear,E$6&lt;=OutturnThrough),'Step 2 - Update outturn data'!F24,INDEX($D$96:$J$96,MATCH(E$6,$D$92:$J$92,0))),"")</f>
        <v>5.3629461889515229</v>
      </c>
      <c r="F26" s="168">
        <f>IF(ISNUMBER(F$6),IF(AND(F$6&gt;=MTP_BaseYear,F$6&lt;=OutturnThrough),'Step 2 - Update outturn data'!G24,INDEX($D$96:$J$96,MATCH(F$6,$D$92:$J$92,0))),"")</f>
        <v>4.9074496485536745</v>
      </c>
      <c r="G26" s="168">
        <f>IF(ISNUMBER(G$6),IF(AND(G$6&gt;=MTP_BaseYear,G$6&lt;=OutturnThrough),'Step 2 - Update outturn data'!H24,INDEX($D$96:$J$96,MATCH(G$6,$D$92:$J$92,0))),"")</f>
        <v>5.2</v>
      </c>
      <c r="H26" s="168" t="str">
        <f>IF(ISNUMBER(H$6),IF(AND(H$6&gt;=MTP_BaseYear,H$6&lt;=OutturnThrough),'Step 2 - Update outturn data'!I24,INDEX($D$96:$J$96,MATCH(H$6,$D$92:$J$92,0))),"")</f>
        <v/>
      </c>
      <c r="I26" s="168" t="str">
        <f>IF(ISNUMBER(I$6),IF(AND(I$6&gt;=MTP_BaseYear,I$6&lt;=OutturnThrough),'Step 2 - Update outturn data'!#REF!,INDEX($D$96:$J$96,MATCH(I$6,$D$92:$J$92,0))),"")</f>
        <v/>
      </c>
      <c r="J26" s="168" t="str">
        <f>IF(ISNUMBER(J$6),IF(AND(J$6&gt;=MTP_BaseYear,J$6&lt;=OutturnThrough),'Step 2 - Update outturn data'!J24,INDEX($D$96:$J$96,MATCH(J$6,$D$92:$J$92,0))),"")</f>
        <v/>
      </c>
      <c r="K26" s="38"/>
      <c r="L26" s="38"/>
      <c r="M26" s="38"/>
      <c r="N26" s="38"/>
    </row>
    <row r="27" spans="2:15" x14ac:dyDescent="0.4">
      <c r="B27" s="56" t="s">
        <v>283</v>
      </c>
      <c r="C27" s="45" t="s">
        <v>644</v>
      </c>
      <c r="D27" s="168">
        <f>IF(ISNUMBER(D$6),IF(AND(D$6&gt;=MTP_BaseYear,D$6&lt;=OutturnThrough),'Step 2 - Update outturn data'!E25,INDEX($D$125:$J$125,MATCH(D$6,$D$92:$J$92,0))),"")</f>
        <v>0.41214777352651666</v>
      </c>
      <c r="E27" s="168">
        <f>IF(ISNUMBER(E$6),IF(AND(E$6&gt;=MTP_BaseYear,E$6&lt;=OutturnThrough),'Step 2 - Update outturn data'!F25,INDEX($D$125:$J$125,MATCH(E$6,$D$92:$J$92,0))),"")</f>
        <v>0.89840122569280201</v>
      </c>
      <c r="F27" s="168">
        <f>IF(ISNUMBER(F$6),IF(AND(F$6&gt;=MTP_BaseYear,F$6&lt;=OutturnThrough),'Step 2 - Update outturn data'!G25,INDEX($D$125:$J$125,MATCH(F$6,$D$92:$J$92,0))),"")</f>
        <v>1.6052979221115482</v>
      </c>
      <c r="G27" s="168">
        <f>IF(ISNUMBER(G$6),IF(AND(G$6&gt;=MTP_BaseYear,G$6&lt;=OutturnThrough),'Step 2 - Update outturn data'!H25,INDEX($D$125:$J$125,MATCH(G$6,$D$92:$J$92,0))),"")</f>
        <v>1.9</v>
      </c>
      <c r="H27" s="168" t="str">
        <f>IF(ISNUMBER(H$6),IF(AND(H$6&gt;=MTP_BaseYear,H$6&lt;=OutturnThrough),'Step 2 - Update outturn data'!I25,INDEX($D$125:$J$125,MATCH(H$6,$D$92:$J$92,0))),"")</f>
        <v/>
      </c>
      <c r="I27" s="168" t="str">
        <f>IF(ISNUMBER(I$6),IF(AND(I$6&gt;=MTP_BaseYear,I$6&lt;=OutturnThrough),'Step 2 - Update outturn data'!#REF!,INDEX($D$125:$J$125,MATCH(I$6,$D$92:$J$92,0))),"")</f>
        <v/>
      </c>
      <c r="J27" s="168" t="str">
        <f>IF(ISNUMBER(J$6),IF(AND(J$6&gt;=MTP_BaseYear,J$6&lt;=OutturnThrough),'Step 2 - Update outturn data'!J25,INDEX($D$125:$J$125,MATCH(J$6,$D$92:$J$92,0))),"")</f>
        <v/>
      </c>
      <c r="K27" s="38"/>
      <c r="L27" s="38"/>
      <c r="M27" s="38"/>
      <c r="N27" s="38"/>
    </row>
    <row r="28" spans="2:15" x14ac:dyDescent="0.4">
      <c r="B28" s="56" t="s">
        <v>272</v>
      </c>
      <c r="C28" s="45" t="s">
        <v>610</v>
      </c>
      <c r="D28" s="168">
        <f>IF(ISNUMBER(D$6),IF(AND(D$6&gt;=MTP_BaseYear,D$6&lt;=OutturnThrough),'Step 2 - Update outturn data'!E26,INDEX($D$131:$J$131,MATCH(D$6,$D$92:$J$92,0))),"")</f>
        <v>1.0428730339908876</v>
      </c>
      <c r="E28" s="168">
        <f>IF(ISNUMBER(E$6),IF(AND(E$6&gt;=MTP_BaseYear,E$6&lt;=OutturnThrough),'Step 2 - Update outturn data'!F26,INDEX($D$131:$J$131,MATCH(E$6,$D$92:$J$92,0))),"")</f>
        <v>2.2327473732196124</v>
      </c>
      <c r="F28" s="168">
        <f>IF(ISNUMBER(F$6),IF(AND(F$6&gt;=MTP_BaseYear,F$6&lt;=OutturnThrough),'Step 2 - Update outturn data'!G26,INDEX($D$131:$J$131,MATCH(F$6,$D$92:$J$92,0))),"")</f>
        <v>2.7034073702548067</v>
      </c>
      <c r="G28" s="168">
        <f>IF(ISNUMBER(G$6),IF(AND(G$6&gt;=MTP_BaseYear,G$6&lt;=OutturnThrough),'Step 2 - Update outturn data'!H26,INDEX($D$131:$J$131,MATCH(G$6,$D$92:$J$92,0))),"")</f>
        <v>2.7</v>
      </c>
      <c r="H28" s="168" t="str">
        <f>IF(ISNUMBER(H$6),IF(AND(H$6&gt;=MTP_BaseYear,H$6&lt;=OutturnThrough),'Step 2 - Update outturn data'!I26,INDEX($D$131:$J$131,MATCH(H$6,$D$92:$J$92,0))),"")</f>
        <v/>
      </c>
      <c r="I28" s="168" t="str">
        <f>IF(ISNUMBER(I$6),IF(AND(I$6&gt;=MTP_BaseYear,I$6&lt;=OutturnThrough),'Step 2 - Update outturn data'!#REF!,INDEX($D$131:$J$131,MATCH(I$6,$D$92:$J$92,0))),"")</f>
        <v/>
      </c>
      <c r="J28" s="168" t="str">
        <f>IF(ISNUMBER(J$6),IF(AND(J$6&gt;=MTP_BaseYear,J$6&lt;=OutturnThrough),'Step 2 - Update outturn data'!J26,INDEX($D$131:$J$131,MATCH(J$6,$D$92:$J$92,0))),"")</f>
        <v/>
      </c>
      <c r="K28" s="38"/>
      <c r="L28" s="38"/>
      <c r="M28" s="38"/>
      <c r="N28" s="38"/>
      <c r="O28" s="38"/>
    </row>
    <row r="29" spans="2:15" x14ac:dyDescent="0.4">
      <c r="B29" s="62" t="s">
        <v>289</v>
      </c>
      <c r="C29" s="43" t="s">
        <v>646</v>
      </c>
      <c r="D29" s="169">
        <f>IF(ISNUMBER(D$6),IF(AND(D$6&gt;=MTP_BaseYear,D$6&lt;=OutturnThrough),'Step 2 - Update outturn data'!E27,C29*(1+INDEX($D$96:$J$96,MATCH(D$6,$D$92:$J$92,0))/100)),"")</f>
        <v>224.68620000000001</v>
      </c>
      <c r="E29" s="169">
        <f>IF(ISNUMBER(E$6),IF(AND(E$6&gt;=MTP_BaseYear,E$6&lt;=OutturnThrough),'Step 2 - Update outturn data'!F27,D29*(1+INDEX($D$96:$J$96,MATCH(E$6,$D$92:$J$92,0))/100)),"")</f>
        <v>236.73599999999999</v>
      </c>
      <c r="F29" s="169">
        <f>IF(ISNUMBER(F$6),IF(AND(F$6&gt;=MTP_BaseYear,F$6&lt;=OutturnThrough),'Step 2 - Update outturn data'!G27,E29*(1+INDEX($D$96:$J$96,MATCH(F$6,$D$92:$J$92,0))/100)),"")</f>
        <v>248.3537</v>
      </c>
      <c r="G29" s="169">
        <f>IF(ISNUMBER(G$6),IF(AND(G$6&gt;=MTP_BaseYear,G$6&lt;=OutturnThrough),'Step 2 - Update outturn data'!H27,F29*(1+INDEX($D$96:$J$96,MATCH(G$6,$D$92:$J$92,0))/100)),"")</f>
        <v>261.2680924</v>
      </c>
      <c r="H29" s="169" t="str">
        <f>IF(ISNUMBER(H$6),IF(AND(H$6&gt;=MTP_BaseYear,H$6&lt;=OutturnThrough),'Step 2 - Update outturn data'!I27,G29*(1+INDEX($D$96:$J$96,MATCH(H$6,$D$92:$J$92,0))/100)),"")</f>
        <v/>
      </c>
      <c r="I29" s="169" t="str">
        <f>IF(ISNUMBER(I$6),IF(AND(I$6&gt;=MTP_BaseYear,I$6&lt;=OutturnThrough),'Step 2 - Update outturn data'!#REF!,H29*(1+INDEX($D$96:$J$96,MATCH(I$6,$D$92:$J$92,0))/100)),"")</f>
        <v/>
      </c>
      <c r="J29" s="169"/>
      <c r="K29" s="38"/>
      <c r="L29" s="38"/>
      <c r="M29" s="38"/>
      <c r="N29" s="38"/>
    </row>
    <row r="33" spans="1:10" ht="23.25" x14ac:dyDescent="0.7">
      <c r="A33" s="14" t="s">
        <v>814</v>
      </c>
    </row>
    <row r="34" spans="1:10" x14ac:dyDescent="0.4">
      <c r="A34" s="237"/>
      <c r="B34" s="237"/>
      <c r="C34" s="237"/>
      <c r="D34" s="237">
        <f>P9</f>
        <v>2023</v>
      </c>
      <c r="E34" s="237" cm="1">
        <f t="array" ref="E34:J34">_xlfn.SEQUENCE(1, MTP_EndYear-P9+1, P9)</f>
        <v>2023</v>
      </c>
      <c r="F34" s="237">
        <v>2024</v>
      </c>
      <c r="G34" s="237">
        <v>2025</v>
      </c>
      <c r="H34" s="237">
        <v>2026</v>
      </c>
      <c r="I34" s="237">
        <v>2027</v>
      </c>
      <c r="J34" s="237">
        <v>2028</v>
      </c>
    </row>
    <row r="35" spans="1:10" x14ac:dyDescent="0.4">
      <c r="A35" s="215"/>
      <c r="B35" s="215" t="s">
        <v>30</v>
      </c>
      <c r="C35" s="215" t="s">
        <v>31</v>
      </c>
      <c r="D35" s="238" t="s">
        <v>6</v>
      </c>
      <c r="E35" s="238" t="str" cm="1">
        <f t="array" ref="E35:J35">IF(ISNUMBER(_xlfn.ANCHORARRAY(E$34)),"% of GDP","")</f>
        <v>% of GDP</v>
      </c>
      <c r="F35" s="238" t="str">
        <v>% of GDP</v>
      </c>
      <c r="G35" s="238" t="str">
        <v>% of GDP</v>
      </c>
      <c r="H35" s="238" t="str">
        <v>% of GDP</v>
      </c>
      <c r="I35" s="238" t="str">
        <v>% of GDP</v>
      </c>
      <c r="J35" s="238" t="str">
        <v>% of GDP</v>
      </c>
    </row>
    <row r="36" spans="1:10" x14ac:dyDescent="0.4">
      <c r="A36" s="215">
        <v>1</v>
      </c>
      <c r="B36" s="241" t="s">
        <v>32</v>
      </c>
      <c r="C36" s="241" t="s">
        <v>72</v>
      </c>
      <c r="D36" s="4">
        <v>38.4</v>
      </c>
      <c r="E36" s="4">
        <v>17.100000000000001</v>
      </c>
      <c r="F36" s="4">
        <v>17</v>
      </c>
      <c r="G36" s="4">
        <v>17.2</v>
      </c>
      <c r="H36" s="4">
        <v>17.2</v>
      </c>
      <c r="I36" s="4"/>
      <c r="J36" s="4"/>
    </row>
    <row r="37" spans="1:10" x14ac:dyDescent="0.4">
      <c r="A37" s="215">
        <v>2</v>
      </c>
      <c r="B37" s="241" t="s">
        <v>33</v>
      </c>
      <c r="C37" s="241" t="s">
        <v>73</v>
      </c>
      <c r="D37" s="4">
        <v>22.8</v>
      </c>
      <c r="E37" s="4">
        <v>10.1</v>
      </c>
      <c r="F37" s="4">
        <v>11.2</v>
      </c>
      <c r="G37" s="4">
        <v>11.1</v>
      </c>
      <c r="H37" s="4">
        <v>10.8</v>
      </c>
      <c r="I37" s="4"/>
      <c r="J37" s="4"/>
    </row>
    <row r="38" spans="1:10" x14ac:dyDescent="0.4">
      <c r="A38" s="215">
        <v>3</v>
      </c>
      <c r="B38" s="241" t="s">
        <v>34</v>
      </c>
      <c r="C38" s="241" t="s">
        <v>74</v>
      </c>
      <c r="D38" s="4">
        <v>29.2</v>
      </c>
      <c r="E38" s="4">
        <v>13</v>
      </c>
      <c r="F38" s="4">
        <v>13.3</v>
      </c>
      <c r="G38" s="4">
        <v>13.1</v>
      </c>
      <c r="H38" s="4">
        <v>12.8</v>
      </c>
      <c r="I38" s="4"/>
      <c r="J38" s="4"/>
    </row>
    <row r="39" spans="1:10" x14ac:dyDescent="0.4">
      <c r="A39" s="215">
        <v>4</v>
      </c>
      <c r="B39" s="241" t="s">
        <v>36</v>
      </c>
      <c r="C39" s="241" t="s">
        <v>75</v>
      </c>
      <c r="D39" s="4">
        <v>11.9</v>
      </c>
      <c r="E39" s="4">
        <v>5.3</v>
      </c>
      <c r="F39" s="4">
        <v>5.5</v>
      </c>
      <c r="G39" s="4">
        <v>5.3</v>
      </c>
      <c r="H39" s="4">
        <v>5.3</v>
      </c>
      <c r="I39" s="4"/>
      <c r="J39" s="4"/>
    </row>
    <row r="40" spans="1:10" x14ac:dyDescent="0.4">
      <c r="A40" s="215">
        <v>5</v>
      </c>
      <c r="B40" s="241" t="s">
        <v>37</v>
      </c>
      <c r="C40" s="241" t="s">
        <v>76</v>
      </c>
      <c r="D40" s="4">
        <v>0.3</v>
      </c>
      <c r="E40" s="4">
        <v>0.1</v>
      </c>
      <c r="F40" s="4">
        <v>0.1</v>
      </c>
      <c r="G40" s="4">
        <v>0.1</v>
      </c>
      <c r="H40" s="4">
        <v>0.1</v>
      </c>
      <c r="I40" s="4"/>
      <c r="J40" s="4"/>
    </row>
    <row r="41" spans="1:10" x14ac:dyDescent="0.4">
      <c r="A41" s="215">
        <v>6</v>
      </c>
      <c r="B41" s="241" t="s">
        <v>38</v>
      </c>
      <c r="C41" s="241" t="s">
        <v>77</v>
      </c>
      <c r="D41" s="4">
        <v>5.4</v>
      </c>
      <c r="E41" s="4">
        <v>2.4</v>
      </c>
      <c r="F41" s="4">
        <v>2.4</v>
      </c>
      <c r="G41" s="4">
        <v>3.3</v>
      </c>
      <c r="H41" s="4">
        <v>4.2</v>
      </c>
      <c r="I41" s="4"/>
      <c r="J41" s="4"/>
    </row>
    <row r="42" spans="1:10" x14ac:dyDescent="0.4">
      <c r="A42" s="215">
        <v>7</v>
      </c>
      <c r="B42" s="241" t="s">
        <v>39</v>
      </c>
      <c r="C42" s="241" t="s">
        <v>78</v>
      </c>
      <c r="D42" s="241">
        <v>108</v>
      </c>
      <c r="E42" s="241">
        <v>48.1</v>
      </c>
      <c r="F42" s="241">
        <v>49.4</v>
      </c>
      <c r="G42" s="241">
        <v>50</v>
      </c>
      <c r="H42" s="241">
        <v>50.4</v>
      </c>
      <c r="I42" s="241"/>
      <c r="J42" s="241"/>
    </row>
    <row r="43" spans="1:10" x14ac:dyDescent="0.4">
      <c r="A43" s="215">
        <v>8</v>
      </c>
      <c r="B43" s="241" t="s">
        <v>40</v>
      </c>
      <c r="C43" s="241" t="s">
        <v>79</v>
      </c>
      <c r="D43" s="4">
        <v>5.7</v>
      </c>
      <c r="E43" s="4">
        <v>2.5</v>
      </c>
      <c r="F43" s="4">
        <v>2.5</v>
      </c>
      <c r="G43" s="4">
        <v>3.4</v>
      </c>
      <c r="H43" s="4">
        <v>4.8</v>
      </c>
      <c r="I43" s="4"/>
      <c r="J43" s="4"/>
    </row>
    <row r="44" spans="1:10" x14ac:dyDescent="0.4">
      <c r="A44" s="215">
        <v>9</v>
      </c>
      <c r="B44" s="241" t="s">
        <v>41</v>
      </c>
      <c r="C44" s="241"/>
      <c r="D44" s="241">
        <v>102.4</v>
      </c>
      <c r="E44" s="241">
        <v>45.6</v>
      </c>
      <c r="F44" s="241">
        <v>47</v>
      </c>
      <c r="G44" s="241">
        <v>46.6</v>
      </c>
      <c r="H44" s="241">
        <v>45.6</v>
      </c>
      <c r="I44" s="241"/>
      <c r="J44" s="241"/>
    </row>
    <row r="45" spans="1:10" x14ac:dyDescent="0.4">
      <c r="A45" s="215">
        <v>10</v>
      </c>
      <c r="B45" s="241" t="s">
        <v>42</v>
      </c>
      <c r="C45" s="241"/>
      <c r="D45" s="4">
        <v>-4</v>
      </c>
      <c r="E45" s="4">
        <v>-1.8</v>
      </c>
      <c r="F45" s="4">
        <v>0.8</v>
      </c>
      <c r="G45" s="4">
        <v>0.4</v>
      </c>
      <c r="H45" s="4">
        <v>-0.2</v>
      </c>
      <c r="I45" s="4"/>
      <c r="J45" s="4"/>
    </row>
    <row r="46" spans="1:10" x14ac:dyDescent="0.4">
      <c r="A46" s="215">
        <v>11</v>
      </c>
      <c r="B46" s="241" t="s">
        <v>43</v>
      </c>
      <c r="C46" s="241"/>
      <c r="D46" s="4">
        <v>0</v>
      </c>
      <c r="E46" s="4">
        <v>0</v>
      </c>
      <c r="F46" s="4">
        <v>0</v>
      </c>
      <c r="G46" s="4">
        <v>0</v>
      </c>
      <c r="H46" s="4">
        <v>0</v>
      </c>
      <c r="I46" s="4"/>
      <c r="J46" s="4"/>
    </row>
    <row r="47" spans="1:10" x14ac:dyDescent="0.4">
      <c r="A47" s="215"/>
      <c r="B47" s="215" t="s">
        <v>29</v>
      </c>
      <c r="C47" s="215" t="s">
        <v>31</v>
      </c>
      <c r="D47" s="239" t="s">
        <v>6</v>
      </c>
      <c r="E47" s="239" t="str" cm="1">
        <f t="array" ref="E47:J47">IF(ISNUMBER(_xlfn.ANCHORARRAY(E$34)),"% of GDP","")</f>
        <v>% of GDP</v>
      </c>
      <c r="F47" s="239" t="str">
        <v>% of GDP</v>
      </c>
      <c r="G47" s="239" t="str">
        <v>% of GDP</v>
      </c>
      <c r="H47" s="239" t="str">
        <v>% of GDP</v>
      </c>
      <c r="I47" s="239" t="str">
        <v>% of GDP</v>
      </c>
      <c r="J47" s="239" t="str">
        <v>% of GDP</v>
      </c>
    </row>
    <row r="48" spans="1:10" x14ac:dyDescent="0.4">
      <c r="A48" s="215">
        <v>12</v>
      </c>
      <c r="B48" s="228" t="s">
        <v>44</v>
      </c>
      <c r="C48" s="228" t="s">
        <v>5</v>
      </c>
      <c r="D48" s="4">
        <v>23.5</v>
      </c>
      <c r="E48" s="4">
        <v>10.5</v>
      </c>
      <c r="F48" s="4">
        <v>10.4</v>
      </c>
      <c r="G48" s="4">
        <v>10.199999999999999</v>
      </c>
      <c r="H48" s="4">
        <v>10.1</v>
      </c>
      <c r="I48" s="4"/>
      <c r="J48" s="4"/>
    </row>
    <row r="49" spans="1:10" x14ac:dyDescent="0.4">
      <c r="A49" s="215">
        <v>13</v>
      </c>
      <c r="B49" s="228" t="s">
        <v>45</v>
      </c>
      <c r="C49" s="228" t="s">
        <v>80</v>
      </c>
      <c r="D49" s="4">
        <v>12.4</v>
      </c>
      <c r="E49" s="4">
        <v>5.5</v>
      </c>
      <c r="F49" s="4">
        <v>5.2</v>
      </c>
      <c r="G49" s="4">
        <v>5.7</v>
      </c>
      <c r="H49" s="4">
        <v>5.9</v>
      </c>
      <c r="I49" s="4"/>
      <c r="J49" s="4"/>
    </row>
    <row r="50" spans="1:10" x14ac:dyDescent="0.4">
      <c r="A50" s="215">
        <v>14</v>
      </c>
      <c r="B50" s="228" t="s">
        <v>46</v>
      </c>
      <c r="C50" s="228" t="s">
        <v>28</v>
      </c>
      <c r="D50" s="4">
        <v>7.6</v>
      </c>
      <c r="E50" s="4">
        <v>3.4</v>
      </c>
      <c r="F50" s="4">
        <v>3.5</v>
      </c>
      <c r="G50" s="4">
        <v>3.2</v>
      </c>
      <c r="H50" s="4">
        <v>3</v>
      </c>
      <c r="I50" s="4"/>
      <c r="J50" s="4"/>
    </row>
    <row r="51" spans="1:10" x14ac:dyDescent="0.4">
      <c r="A51" s="215">
        <v>15</v>
      </c>
      <c r="B51" s="228" t="s">
        <v>47</v>
      </c>
      <c r="C51" s="228" t="s">
        <v>81</v>
      </c>
      <c r="D51" s="4">
        <v>38.799999999999997</v>
      </c>
      <c r="E51" s="4">
        <v>17.3</v>
      </c>
      <c r="F51" s="4">
        <v>16.7</v>
      </c>
      <c r="G51" s="4">
        <v>16.399999999999999</v>
      </c>
      <c r="H51" s="4">
        <v>16.8</v>
      </c>
      <c r="I51" s="4"/>
      <c r="J51" s="4"/>
    </row>
    <row r="52" spans="1:10" x14ac:dyDescent="0.4">
      <c r="A52" s="215">
        <v>16</v>
      </c>
      <c r="B52" s="228" t="s">
        <v>48</v>
      </c>
      <c r="C52" s="228" t="s">
        <v>82</v>
      </c>
      <c r="D52" s="4">
        <v>7.1</v>
      </c>
      <c r="E52" s="4">
        <v>3.2</v>
      </c>
      <c r="F52" s="4">
        <v>2.8</v>
      </c>
      <c r="G52" s="4">
        <v>2.8</v>
      </c>
      <c r="H52" s="4">
        <v>2.5</v>
      </c>
      <c r="I52" s="4"/>
      <c r="J52" s="4"/>
    </row>
    <row r="53" spans="1:10" x14ac:dyDescent="0.4">
      <c r="A53" s="215">
        <v>17</v>
      </c>
      <c r="B53" s="228" t="s">
        <v>49</v>
      </c>
      <c r="C53" s="228" t="s">
        <v>83</v>
      </c>
      <c r="D53" s="4">
        <v>4.5</v>
      </c>
      <c r="E53" s="4">
        <v>2</v>
      </c>
      <c r="F53" s="4">
        <v>1.4</v>
      </c>
      <c r="G53" s="4">
        <v>1.3</v>
      </c>
      <c r="H53" s="4">
        <v>1.2</v>
      </c>
      <c r="I53" s="4"/>
      <c r="J53" s="4"/>
    </row>
    <row r="54" spans="1:10" x14ac:dyDescent="0.4">
      <c r="A54" s="215">
        <v>18</v>
      </c>
      <c r="B54" s="228" t="s">
        <v>50</v>
      </c>
      <c r="C54" s="228" t="s">
        <v>84</v>
      </c>
      <c r="D54" s="4">
        <v>3.1</v>
      </c>
      <c r="E54" s="4">
        <v>1.4</v>
      </c>
      <c r="F54" s="4">
        <v>1.5</v>
      </c>
      <c r="G54" s="4">
        <v>1.5</v>
      </c>
      <c r="H54" s="4">
        <v>1.9</v>
      </c>
      <c r="I54" s="4"/>
      <c r="J54" s="4"/>
    </row>
    <row r="55" spans="1:10" x14ac:dyDescent="0.4">
      <c r="A55" s="215">
        <v>19</v>
      </c>
      <c r="B55" s="228" t="s">
        <v>10</v>
      </c>
      <c r="C55" s="228" t="s">
        <v>4</v>
      </c>
      <c r="D55" s="4">
        <v>9.1</v>
      </c>
      <c r="E55" s="4">
        <v>4</v>
      </c>
      <c r="F55" s="4">
        <v>4.3</v>
      </c>
      <c r="G55" s="4">
        <v>4.8</v>
      </c>
      <c r="H55" s="4">
        <v>6.6</v>
      </c>
      <c r="I55" s="4"/>
      <c r="J55" s="4"/>
    </row>
    <row r="56" spans="1:10" x14ac:dyDescent="0.4">
      <c r="A56" s="215">
        <v>20</v>
      </c>
      <c r="B56" s="228" t="s">
        <v>51</v>
      </c>
      <c r="C56" s="228"/>
      <c r="D56" s="4">
        <v>5.6</v>
      </c>
      <c r="E56" s="4">
        <v>2.5</v>
      </c>
      <c r="F56" s="4">
        <v>2.8</v>
      </c>
      <c r="G56" s="4">
        <v>2.9</v>
      </c>
      <c r="H56" s="4">
        <v>2.8</v>
      </c>
      <c r="I56" s="4"/>
      <c r="J56" s="4"/>
    </row>
    <row r="57" spans="1:10" x14ac:dyDescent="0.4">
      <c r="A57" s="215">
        <v>21</v>
      </c>
      <c r="B57" s="228" t="s">
        <v>52</v>
      </c>
      <c r="C57" s="228" t="s">
        <v>85</v>
      </c>
      <c r="D57" s="4">
        <v>5.3</v>
      </c>
      <c r="E57" s="4">
        <v>2.2999999999999998</v>
      </c>
      <c r="F57" s="4">
        <v>2.2999999999999998</v>
      </c>
      <c r="G57" s="4">
        <v>2.5</v>
      </c>
      <c r="H57" s="4">
        <v>2</v>
      </c>
      <c r="I57" s="4"/>
      <c r="J57" s="4"/>
    </row>
    <row r="58" spans="1:10" x14ac:dyDescent="0.4">
      <c r="A58" s="215">
        <v>22</v>
      </c>
      <c r="B58" s="228" t="s">
        <v>53</v>
      </c>
      <c r="C58" s="228" t="s">
        <v>86</v>
      </c>
      <c r="D58" s="4">
        <v>-0.1</v>
      </c>
      <c r="E58" s="4">
        <v>0</v>
      </c>
      <c r="F58" s="4">
        <v>0</v>
      </c>
      <c r="G58" s="4">
        <v>0</v>
      </c>
      <c r="H58" s="4">
        <v>0</v>
      </c>
      <c r="I58" s="4"/>
      <c r="J58" s="4"/>
    </row>
    <row r="59" spans="1:10" x14ac:dyDescent="0.4">
      <c r="A59" s="215">
        <v>23</v>
      </c>
      <c r="B59" s="228" t="s">
        <v>54</v>
      </c>
      <c r="C59" s="228" t="s">
        <v>87</v>
      </c>
      <c r="D59" s="241">
        <v>111.3</v>
      </c>
      <c r="E59" s="241">
        <v>49.5</v>
      </c>
      <c r="F59" s="241">
        <v>48.1</v>
      </c>
      <c r="G59" s="241">
        <v>48.3</v>
      </c>
      <c r="H59" s="241">
        <v>50.2</v>
      </c>
      <c r="I59" s="241"/>
      <c r="J59" s="241"/>
    </row>
    <row r="60" spans="1:10" x14ac:dyDescent="0.4">
      <c r="A60" s="215">
        <v>24</v>
      </c>
      <c r="B60" s="228" t="s">
        <v>55</v>
      </c>
      <c r="C60" s="228" t="s">
        <v>79</v>
      </c>
      <c r="D60" s="4">
        <v>5.7</v>
      </c>
      <c r="E60" s="4">
        <v>2.5</v>
      </c>
      <c r="F60" s="4">
        <v>2.5</v>
      </c>
      <c r="G60" s="4">
        <v>3.4</v>
      </c>
      <c r="H60" s="4">
        <v>4.8</v>
      </c>
      <c r="I60" s="4"/>
      <c r="J60" s="4"/>
    </row>
    <row r="61" spans="1:10" x14ac:dyDescent="0.4">
      <c r="A61" s="215">
        <v>25</v>
      </c>
      <c r="B61" s="228" t="s">
        <v>56</v>
      </c>
      <c r="C61" s="228"/>
      <c r="D61" s="241">
        <v>105.6</v>
      </c>
      <c r="E61" s="241">
        <v>47</v>
      </c>
      <c r="F61" s="241">
        <v>45.6</v>
      </c>
      <c r="G61" s="241">
        <v>44.9</v>
      </c>
      <c r="H61" s="241">
        <v>45.4</v>
      </c>
      <c r="I61" s="241"/>
      <c r="J61" s="241"/>
    </row>
    <row r="62" spans="1:10" x14ac:dyDescent="0.4">
      <c r="A62" s="215">
        <v>26</v>
      </c>
      <c r="B62" s="228" t="s">
        <v>763</v>
      </c>
      <c r="C62" s="228"/>
      <c r="D62" s="4">
        <v>0.7</v>
      </c>
      <c r="E62" s="4">
        <v>0.3</v>
      </c>
      <c r="F62" s="4">
        <v>0.3</v>
      </c>
      <c r="G62" s="4">
        <v>0.3</v>
      </c>
      <c r="H62" s="4">
        <v>0.5</v>
      </c>
      <c r="I62" s="4"/>
      <c r="J62" s="4"/>
    </row>
    <row r="63" spans="1:10" x14ac:dyDescent="0.4">
      <c r="A63" s="215">
        <v>27</v>
      </c>
      <c r="B63" s="228" t="s">
        <v>57</v>
      </c>
      <c r="C63" s="228"/>
      <c r="D63" s="4">
        <v>0.3</v>
      </c>
      <c r="E63" s="4">
        <v>0.1</v>
      </c>
      <c r="F63" s="4">
        <v>0.1</v>
      </c>
      <c r="G63" s="4">
        <v>0</v>
      </c>
      <c r="H63" s="4">
        <v>-0.1</v>
      </c>
      <c r="I63" s="4"/>
      <c r="J63" s="4"/>
    </row>
    <row r="64" spans="1:10" x14ac:dyDescent="0.4">
      <c r="A64" s="215">
        <v>28</v>
      </c>
      <c r="B64" s="228" t="s">
        <v>58</v>
      </c>
      <c r="C64" s="228"/>
      <c r="D64" s="4">
        <v>0.3</v>
      </c>
      <c r="E64" s="4">
        <v>0.1</v>
      </c>
      <c r="F64" s="4">
        <v>0.2</v>
      </c>
      <c r="G64" s="4">
        <v>0.2</v>
      </c>
      <c r="H64" s="4">
        <v>0</v>
      </c>
      <c r="I64" s="4"/>
      <c r="J64" s="4"/>
    </row>
    <row r="65" spans="1:10" x14ac:dyDescent="0.4">
      <c r="A65" s="215">
        <v>29</v>
      </c>
      <c r="B65" s="228" t="s">
        <v>59</v>
      </c>
      <c r="C65" s="228"/>
      <c r="D65" s="241">
        <v>96.7</v>
      </c>
      <c r="E65" s="241">
        <v>43</v>
      </c>
      <c r="F65" s="241">
        <v>41.6</v>
      </c>
      <c r="G65" s="241">
        <v>41.3</v>
      </c>
      <c r="H65" s="241">
        <v>42</v>
      </c>
      <c r="I65" s="241"/>
      <c r="J65" s="241"/>
    </row>
    <row r="66" spans="1:10" x14ac:dyDescent="0.4">
      <c r="A66" s="215"/>
      <c r="B66" s="215" t="s">
        <v>35</v>
      </c>
      <c r="C66" s="215"/>
      <c r="D66" s="240"/>
      <c r="E66" s="240" t="str" cm="1">
        <f t="array" ref="E66:J66">IF(ISNUMBER(_xlfn.ANCHORARRAY(E$34)),"growth rate","")</f>
        <v>growth rate</v>
      </c>
      <c r="F66" s="240" t="str">
        <v>growth rate</v>
      </c>
      <c r="G66" s="240" t="str">
        <v>growth rate</v>
      </c>
      <c r="H66" s="240" t="str">
        <v>growth rate</v>
      </c>
      <c r="I66" s="240" t="str">
        <v>growth rate</v>
      </c>
      <c r="J66" s="240" t="str">
        <v>growth rate</v>
      </c>
    </row>
    <row r="67" spans="1:10" ht="14.25" x14ac:dyDescent="0.45">
      <c r="A67" s="215">
        <v>30</v>
      </c>
      <c r="B67" s="228" t="s">
        <v>838</v>
      </c>
      <c r="C67" s="228" t="s">
        <v>764</v>
      </c>
      <c r="D67" s="247"/>
      <c r="E67" s="4"/>
      <c r="F67" s="4">
        <v>-0.1</v>
      </c>
      <c r="G67" s="4">
        <v>2.9</v>
      </c>
      <c r="H67" s="4">
        <v>7.5</v>
      </c>
      <c r="I67" s="4"/>
      <c r="J67" s="4"/>
    </row>
    <row r="68" spans="1:10" x14ac:dyDescent="0.4">
      <c r="A68" s="215"/>
      <c r="B68" s="215" t="s">
        <v>60</v>
      </c>
      <c r="C68" s="215"/>
      <c r="D68" s="240" t="s">
        <v>6</v>
      </c>
      <c r="E68" s="240" t="str" cm="1">
        <f t="array" ref="E68:J68">IF(ISNUMBER(_xlfn.ANCHORARRAY(E$34)),"% of GDP","")</f>
        <v>% of GDP</v>
      </c>
      <c r="F68" s="240" t="str">
        <v>% of GDP</v>
      </c>
      <c r="G68" s="240" t="str">
        <v>% of GDP</v>
      </c>
      <c r="H68" s="240" t="str">
        <v>% of GDP</v>
      </c>
      <c r="I68" s="240" t="str">
        <v>% of GDP</v>
      </c>
      <c r="J68" s="240" t="str">
        <v>% of GDP</v>
      </c>
    </row>
    <row r="69" spans="1:10" x14ac:dyDescent="0.4">
      <c r="A69" s="215">
        <v>31</v>
      </c>
      <c r="B69" s="228" t="s">
        <v>61</v>
      </c>
      <c r="C69" s="228" t="s">
        <v>27</v>
      </c>
      <c r="D69" s="4">
        <v>-3.2</v>
      </c>
      <c r="E69" s="4">
        <v>-1.4</v>
      </c>
      <c r="F69" s="4">
        <v>1.3</v>
      </c>
      <c r="G69" s="4">
        <v>1.7</v>
      </c>
      <c r="H69" s="4">
        <v>0.2</v>
      </c>
      <c r="I69" s="4"/>
      <c r="J69" s="4"/>
    </row>
    <row r="70" spans="1:10" x14ac:dyDescent="0.4">
      <c r="A70" s="215">
        <v>32</v>
      </c>
      <c r="B70" s="228" t="s">
        <v>62</v>
      </c>
      <c r="C70" s="228" t="s">
        <v>88</v>
      </c>
      <c r="D70" s="4">
        <v>4.4000000000000004</v>
      </c>
      <c r="E70" s="4">
        <v>2</v>
      </c>
      <c r="F70" s="4">
        <v>4.8</v>
      </c>
      <c r="G70" s="4">
        <v>4.9000000000000004</v>
      </c>
      <c r="H70" s="4">
        <v>3.2</v>
      </c>
      <c r="I70" s="4"/>
      <c r="J70" s="4"/>
    </row>
    <row r="71" spans="1:10" x14ac:dyDescent="0.4">
      <c r="A71" s="215"/>
      <c r="B71" s="215" t="s">
        <v>63</v>
      </c>
      <c r="C71" s="215"/>
      <c r="D71" s="240"/>
      <c r="E71" s="240" t="str" cm="1">
        <f t="array" ref="E71:J71">IF(ISNUMBER(_xlfn.ANCHORARRAY(E$34)),"% of GDP","")</f>
        <v>% of GDP</v>
      </c>
      <c r="F71" s="240" t="str">
        <v>% of GDP</v>
      </c>
      <c r="G71" s="240" t="str">
        <v>% of GDP</v>
      </c>
      <c r="H71" s="240" t="str">
        <v>% of GDP</v>
      </c>
      <c r="I71" s="240" t="str">
        <v>% of GDP</v>
      </c>
      <c r="J71" s="240" t="str">
        <v>% of GDP</v>
      </c>
    </row>
    <row r="72" spans="1:10" ht="14.25" x14ac:dyDescent="0.45">
      <c r="A72" s="215">
        <v>33</v>
      </c>
      <c r="B72" s="242" t="s">
        <v>0</v>
      </c>
      <c r="C72" s="242"/>
      <c r="D72" s="247"/>
      <c r="E72" s="4">
        <v>-1.8</v>
      </c>
      <c r="F72" s="4">
        <v>0.5</v>
      </c>
      <c r="G72" s="4">
        <v>0.5</v>
      </c>
      <c r="H72" s="4">
        <v>-1.2</v>
      </c>
      <c r="I72" s="4"/>
      <c r="J72" s="4"/>
    </row>
    <row r="73" spans="1:10" ht="14.25" x14ac:dyDescent="0.45">
      <c r="A73" s="215">
        <v>34</v>
      </c>
      <c r="B73" s="242" t="s">
        <v>3</v>
      </c>
      <c r="C73" s="242"/>
      <c r="D73" s="247"/>
      <c r="E73" s="4">
        <v>1.6</v>
      </c>
      <c r="F73" s="4">
        <v>3.9</v>
      </c>
      <c r="G73" s="4">
        <v>3.7</v>
      </c>
      <c r="H73" s="4">
        <v>1.8</v>
      </c>
      <c r="I73" s="4"/>
      <c r="J73" s="4"/>
    </row>
    <row r="74" spans="1:10" x14ac:dyDescent="0.4">
      <c r="A74" s="215"/>
      <c r="B74" s="215" t="s">
        <v>20</v>
      </c>
      <c r="C74" s="215"/>
      <c r="D74" s="240" t="s">
        <v>6</v>
      </c>
      <c r="E74" s="240" t="s">
        <v>614</v>
      </c>
      <c r="F74" s="240" t="s">
        <v>614</v>
      </c>
      <c r="G74" s="240" t="s">
        <v>614</v>
      </c>
      <c r="H74" s="240"/>
      <c r="I74" s="240"/>
      <c r="J74" s="240"/>
    </row>
    <row r="75" spans="1:10" x14ac:dyDescent="0.4">
      <c r="A75" s="215">
        <v>35</v>
      </c>
      <c r="B75" s="228" t="s">
        <v>1</v>
      </c>
      <c r="C75" s="228"/>
      <c r="D75" s="4">
        <v>369.1</v>
      </c>
      <c r="E75" s="4">
        <v>164.3</v>
      </c>
      <c r="F75" s="4">
        <v>154.19999999999999</v>
      </c>
      <c r="G75" s="4">
        <v>146.1</v>
      </c>
      <c r="H75" s="4">
        <v>136.80000000000001</v>
      </c>
      <c r="I75" s="4"/>
      <c r="J75" s="4"/>
    </row>
    <row r="76" spans="1:10" x14ac:dyDescent="0.4">
      <c r="A76" s="215">
        <v>36</v>
      </c>
      <c r="B76" s="228" t="s">
        <v>2</v>
      </c>
      <c r="C76" s="228"/>
      <c r="D76" s="4">
        <v>1.1000000000000001</v>
      </c>
      <c r="E76" s="4">
        <v>-13.5</v>
      </c>
      <c r="F76" s="4">
        <v>-10.1</v>
      </c>
      <c r="G76" s="4">
        <v>-8</v>
      </c>
      <c r="H76" s="4">
        <v>-9.3000000000000007</v>
      </c>
      <c r="I76" s="4"/>
      <c r="J76" s="4"/>
    </row>
    <row r="77" spans="1:10" x14ac:dyDescent="0.4">
      <c r="A77" s="215">
        <v>37</v>
      </c>
      <c r="B77" s="228" t="s">
        <v>64</v>
      </c>
      <c r="C77" s="228"/>
      <c r="D77" s="245"/>
      <c r="E77" s="245"/>
      <c r="F77" s="245"/>
      <c r="G77" s="245"/>
      <c r="H77" s="241"/>
      <c r="I77" s="241"/>
      <c r="J77" s="241"/>
    </row>
    <row r="78" spans="1:10" ht="14.25" x14ac:dyDescent="0.45">
      <c r="A78" s="215">
        <v>38</v>
      </c>
      <c r="B78" s="243" t="s">
        <v>765</v>
      </c>
      <c r="C78" s="228"/>
      <c r="D78" s="247"/>
      <c r="E78" s="4">
        <v>-2</v>
      </c>
      <c r="F78" s="4">
        <v>-4.8</v>
      </c>
      <c r="G78" s="4">
        <v>-4.9000000000000004</v>
      </c>
      <c r="H78" s="4">
        <v>-3.2</v>
      </c>
      <c r="I78" s="4"/>
      <c r="J78" s="4"/>
    </row>
    <row r="79" spans="1:10" ht="14.25" x14ac:dyDescent="0.45">
      <c r="A79" s="215">
        <v>39</v>
      </c>
      <c r="B79" s="243" t="s">
        <v>766</v>
      </c>
      <c r="C79" s="228"/>
      <c r="D79" s="247"/>
      <c r="E79" s="4">
        <v>-10.6</v>
      </c>
      <c r="F79" s="4">
        <v>-4.9000000000000004</v>
      </c>
      <c r="G79" s="4">
        <v>-4.0999999999999996</v>
      </c>
      <c r="H79" s="4">
        <v>-4.2</v>
      </c>
      <c r="I79" s="4"/>
      <c r="J79" s="4"/>
    </row>
    <row r="80" spans="1:10" ht="14.25" x14ac:dyDescent="0.45">
      <c r="A80" s="215">
        <v>40</v>
      </c>
      <c r="B80" s="244" t="s">
        <v>767</v>
      </c>
      <c r="C80" s="228"/>
      <c r="D80" s="247"/>
      <c r="E80" s="4">
        <v>3.4</v>
      </c>
      <c r="F80" s="4">
        <v>3.5</v>
      </c>
      <c r="G80" s="4">
        <v>3.2</v>
      </c>
      <c r="H80" s="4">
        <v>3</v>
      </c>
      <c r="I80" s="4"/>
      <c r="J80" s="4"/>
    </row>
    <row r="81" spans="1:10" ht="14.25" x14ac:dyDescent="0.45">
      <c r="A81" s="215">
        <v>41</v>
      </c>
      <c r="B81" s="244" t="s">
        <v>768</v>
      </c>
      <c r="C81" s="228"/>
      <c r="D81" s="247"/>
      <c r="E81" s="4">
        <v>-3.4</v>
      </c>
      <c r="F81" s="4">
        <v>-3.3</v>
      </c>
      <c r="G81" s="4">
        <v>-3.1</v>
      </c>
      <c r="H81" s="4">
        <v>-2.7</v>
      </c>
      <c r="I81" s="4"/>
      <c r="J81" s="4"/>
    </row>
    <row r="82" spans="1:10" ht="14.25" x14ac:dyDescent="0.45">
      <c r="A82" s="215">
        <v>42</v>
      </c>
      <c r="B82" s="244" t="s">
        <v>769</v>
      </c>
      <c r="C82" s="228"/>
      <c r="D82" s="247"/>
      <c r="E82" s="4">
        <v>-10.5</v>
      </c>
      <c r="F82" s="4">
        <v>-5.0999999999999996</v>
      </c>
      <c r="G82" s="4">
        <v>-4.2</v>
      </c>
      <c r="H82" s="4">
        <v>-4.5</v>
      </c>
      <c r="I82" s="4"/>
      <c r="J82" s="4"/>
    </row>
    <row r="83" spans="1:10" ht="14.25" x14ac:dyDescent="0.45">
      <c r="A83" s="215">
        <v>43</v>
      </c>
      <c r="B83" s="243" t="s">
        <v>770</v>
      </c>
      <c r="C83" s="228"/>
      <c r="D83" s="247"/>
      <c r="E83" s="4">
        <v>-1</v>
      </c>
      <c r="F83" s="4">
        <v>-0.4</v>
      </c>
      <c r="G83" s="4">
        <v>1</v>
      </c>
      <c r="H83" s="4">
        <v>-1.8</v>
      </c>
      <c r="I83" s="4"/>
      <c r="J83" s="4"/>
    </row>
    <row r="84" spans="1:10" x14ac:dyDescent="0.4">
      <c r="A84" s="215"/>
      <c r="B84" s="215"/>
      <c r="C84" s="215"/>
      <c r="D84" s="240"/>
      <c r="E84" s="239" t="str" cm="1">
        <f t="array" ref="E84:J84">IF(ISNUMBER(_xlfn.ANCHORARRAY(E$34)),"%","")</f>
        <v>%</v>
      </c>
      <c r="F84" s="239" t="str">
        <v>%</v>
      </c>
      <c r="G84" s="239" t="str">
        <v>%</v>
      </c>
      <c r="H84" s="239" t="str">
        <v>%</v>
      </c>
      <c r="I84" s="239" t="str">
        <v>%</v>
      </c>
      <c r="J84" s="239" t="str">
        <v>%</v>
      </c>
    </row>
    <row r="85" spans="1:10" ht="14.25" x14ac:dyDescent="0.45">
      <c r="A85" s="215">
        <v>44</v>
      </c>
      <c r="B85" s="230" t="s">
        <v>71</v>
      </c>
      <c r="C85" s="230"/>
      <c r="D85" s="248"/>
      <c r="E85" s="4">
        <v>2.1</v>
      </c>
      <c r="F85" s="4">
        <v>2.2000000000000002</v>
      </c>
      <c r="G85" s="4">
        <v>2.1</v>
      </c>
      <c r="H85" s="4">
        <v>2.2000000000000002</v>
      </c>
      <c r="I85" s="4"/>
      <c r="J85" s="4"/>
    </row>
    <row r="86" spans="1:10" x14ac:dyDescent="0.4">
      <c r="A86" s="215"/>
      <c r="B86" s="215"/>
      <c r="C86" s="215"/>
      <c r="D86" s="240"/>
      <c r="E86" s="240"/>
      <c r="F86" s="240"/>
      <c r="G86" s="240"/>
      <c r="H86" s="240"/>
      <c r="I86" s="240"/>
      <c r="J86" s="240"/>
    </row>
    <row r="87" spans="1:10" x14ac:dyDescent="0.4">
      <c r="A87" s="215">
        <v>45</v>
      </c>
      <c r="B87" s="242" t="s">
        <v>771</v>
      </c>
      <c r="C87" s="242" t="s">
        <v>772</v>
      </c>
      <c r="D87" s="4">
        <v>5.0999999999999996</v>
      </c>
      <c r="E87" s="4">
        <v>2.2999999999999998</v>
      </c>
      <c r="F87" s="4">
        <v>2.2000000000000002</v>
      </c>
      <c r="G87" s="4">
        <v>2.4</v>
      </c>
      <c r="H87" s="4">
        <v>2.6</v>
      </c>
      <c r="I87" s="4"/>
      <c r="J87" s="4"/>
    </row>
    <row r="88" spans="1:10" x14ac:dyDescent="0.4">
      <c r="A88" s="215">
        <v>46</v>
      </c>
      <c r="B88" s="242" t="s">
        <v>773</v>
      </c>
      <c r="C88" s="242" t="s">
        <v>774</v>
      </c>
      <c r="D88" s="4">
        <v>0.6</v>
      </c>
      <c r="E88" s="4">
        <v>0.3</v>
      </c>
      <c r="F88" s="4">
        <v>0.3</v>
      </c>
      <c r="G88" s="4">
        <v>0.6</v>
      </c>
      <c r="H88" s="4">
        <v>0.8</v>
      </c>
      <c r="I88" s="4"/>
      <c r="J88" s="4"/>
    </row>
    <row r="91" spans="1:10" ht="23.25" x14ac:dyDescent="0.7">
      <c r="A91" s="14" t="s">
        <v>815</v>
      </c>
    </row>
    <row r="92" spans="1:10" x14ac:dyDescent="0.4">
      <c r="A92" s="237"/>
      <c r="B92" s="237" t="s">
        <v>8</v>
      </c>
      <c r="C92" s="237" t="s">
        <v>31</v>
      </c>
      <c r="D92" s="237">
        <f>P9</f>
        <v>2023</v>
      </c>
      <c r="E92" s="237" cm="1">
        <f t="array" ref="E92:J92">_xlfn.SEQUENCE(1, MTP_EndYear-P9+1, P9)</f>
        <v>2023</v>
      </c>
      <c r="F92" s="237">
        <v>2024</v>
      </c>
      <c r="G92" s="237">
        <v>2025</v>
      </c>
      <c r="H92" s="237">
        <v>2026</v>
      </c>
      <c r="I92" s="237">
        <v>2027</v>
      </c>
      <c r="J92" s="237">
        <v>2028</v>
      </c>
    </row>
    <row r="93" spans="1:10" x14ac:dyDescent="0.4">
      <c r="A93" s="215"/>
      <c r="B93" s="215"/>
      <c r="C93" s="215"/>
      <c r="D93" s="238" t="s">
        <v>6</v>
      </c>
      <c r="E93" s="238" t="str" cm="1">
        <f t="array" ref="E93:J93">IF(ISNUMBER(_xlfn.ANCHORARRAY(E$34)),"growth rate","")</f>
        <v>growth rate</v>
      </c>
      <c r="F93" s="238" t="str">
        <v>growth rate</v>
      </c>
      <c r="G93" s="238" t="str">
        <v>growth rate</v>
      </c>
      <c r="H93" s="238" t="str">
        <v>growth rate</v>
      </c>
      <c r="I93" s="238" t="str">
        <v>growth rate</v>
      </c>
      <c r="J93" s="238" t="str">
        <v>growth rate</v>
      </c>
    </row>
    <row r="94" spans="1:10" ht="14.25" x14ac:dyDescent="0.45">
      <c r="A94" s="215">
        <v>1</v>
      </c>
      <c r="B94" s="228" t="s">
        <v>7</v>
      </c>
      <c r="C94" s="228" t="s">
        <v>775</v>
      </c>
      <c r="D94" s="249"/>
      <c r="E94">
        <v>2.1</v>
      </c>
      <c r="F94">
        <v>2.1</v>
      </c>
      <c r="G94">
        <v>2.1</v>
      </c>
      <c r="H94" s="4">
        <v>2</v>
      </c>
      <c r="I94" s="4"/>
      <c r="J94" s="4"/>
    </row>
    <row r="95" spans="1:10" ht="14.25" x14ac:dyDescent="0.45">
      <c r="A95" s="215">
        <v>2</v>
      </c>
      <c r="B95" s="228" t="s">
        <v>8</v>
      </c>
      <c r="C95" s="228"/>
      <c r="D95" s="249"/>
      <c r="E95">
        <v>6.3</v>
      </c>
      <c r="F95">
        <v>3.2</v>
      </c>
      <c r="G95">
        <v>2.8</v>
      </c>
      <c r="H95" s="4">
        <v>3.2</v>
      </c>
      <c r="I95" s="4"/>
      <c r="J95" s="4"/>
    </row>
    <row r="96" spans="1:10" x14ac:dyDescent="0.4">
      <c r="A96" s="215">
        <v>3</v>
      </c>
      <c r="B96" s="228" t="s">
        <v>9</v>
      </c>
      <c r="C96" s="228" t="s">
        <v>775</v>
      </c>
      <c r="D96" s="145">
        <v>224.7</v>
      </c>
      <c r="E96">
        <v>8.5</v>
      </c>
      <c r="F96">
        <v>5.4</v>
      </c>
      <c r="G96">
        <v>4.9000000000000004</v>
      </c>
      <c r="H96" s="4">
        <v>5.2</v>
      </c>
      <c r="I96" s="4"/>
      <c r="J96" s="4"/>
    </row>
    <row r="97" spans="1:10" x14ac:dyDescent="0.4">
      <c r="A97" s="215"/>
      <c r="B97" s="215" t="s">
        <v>776</v>
      </c>
      <c r="C97" s="215"/>
      <c r="D97" s="238" t="s">
        <v>6</v>
      </c>
      <c r="E97" s="238" t="str" cm="1">
        <f t="array" ref="E97:J97">IF(ISNUMBER(_xlfn.ANCHORARRAY(E$34)),"growth rate","")</f>
        <v>growth rate</v>
      </c>
      <c r="F97" s="238" t="str">
        <v>growth rate</v>
      </c>
      <c r="G97" s="238" t="str">
        <v>growth rate</v>
      </c>
      <c r="H97" s="239" t="str">
        <v>growth rate</v>
      </c>
      <c r="I97" s="239" t="str">
        <v>growth rate</v>
      </c>
      <c r="J97" s="239" t="str">
        <v>growth rate</v>
      </c>
    </row>
    <row r="98" spans="1:10" ht="14.25" x14ac:dyDescent="0.45">
      <c r="A98" s="215">
        <v>4</v>
      </c>
      <c r="B98" s="228" t="s">
        <v>777</v>
      </c>
      <c r="C98" s="228" t="s">
        <v>778</v>
      </c>
      <c r="D98" s="249"/>
      <c r="E98">
        <v>2.2999999999999998</v>
      </c>
      <c r="F98">
        <v>2.4</v>
      </c>
      <c r="G98">
        <v>2</v>
      </c>
      <c r="H98" s="4">
        <v>1.5</v>
      </c>
      <c r="I98" s="4"/>
      <c r="J98" s="4"/>
    </row>
    <row r="99" spans="1:10" ht="14.25" x14ac:dyDescent="0.45">
      <c r="A99" s="215">
        <v>5</v>
      </c>
      <c r="B99" s="228" t="s">
        <v>779</v>
      </c>
      <c r="C99" s="228" t="s">
        <v>778</v>
      </c>
      <c r="D99" s="249"/>
      <c r="E99">
        <v>2.8</v>
      </c>
      <c r="F99">
        <v>-2.6</v>
      </c>
      <c r="G99">
        <v>0.3</v>
      </c>
      <c r="H99" s="4">
        <v>1.1000000000000001</v>
      </c>
      <c r="I99" s="4"/>
      <c r="J99" s="4"/>
    </row>
    <row r="100" spans="1:10" ht="14.25" x14ac:dyDescent="0.45">
      <c r="A100" s="215">
        <v>6</v>
      </c>
      <c r="B100" s="228" t="s">
        <v>10</v>
      </c>
      <c r="C100" s="228" t="s">
        <v>4</v>
      </c>
      <c r="D100" s="249"/>
      <c r="E100">
        <v>6.5</v>
      </c>
      <c r="F100">
        <v>4.5</v>
      </c>
      <c r="G100">
        <v>8.9</v>
      </c>
      <c r="H100" s="4">
        <v>7.1</v>
      </c>
      <c r="I100" s="4"/>
      <c r="J100" s="4"/>
    </row>
    <row r="101" spans="1:10" ht="14.25" x14ac:dyDescent="0.45">
      <c r="A101" s="215">
        <v>7</v>
      </c>
      <c r="B101" s="228" t="s">
        <v>780</v>
      </c>
      <c r="C101" s="228" t="s">
        <v>781</v>
      </c>
      <c r="D101" s="249"/>
      <c r="E101" s="250">
        <v>-1.3</v>
      </c>
      <c r="F101" s="250">
        <v>0.6</v>
      </c>
      <c r="G101" s="250">
        <v>-1.5</v>
      </c>
      <c r="H101" s="251">
        <v>-1.2</v>
      </c>
      <c r="I101" s="251"/>
      <c r="J101" s="251"/>
    </row>
    <row r="102" spans="1:10" ht="14.25" x14ac:dyDescent="0.45">
      <c r="A102" s="215">
        <v>8</v>
      </c>
      <c r="B102" s="228" t="s">
        <v>782</v>
      </c>
      <c r="C102" s="228" t="s">
        <v>783</v>
      </c>
      <c r="D102" s="249"/>
      <c r="E102">
        <v>2.2000000000000002</v>
      </c>
      <c r="F102">
        <v>1</v>
      </c>
      <c r="G102">
        <v>1.7</v>
      </c>
      <c r="H102" s="4">
        <v>2.9</v>
      </c>
      <c r="I102" s="4"/>
      <c r="J102" s="4"/>
    </row>
    <row r="103" spans="1:10" ht="14.25" x14ac:dyDescent="0.45">
      <c r="A103" s="215">
        <v>9</v>
      </c>
      <c r="B103" s="228" t="s">
        <v>784</v>
      </c>
      <c r="C103" s="228" t="s">
        <v>785</v>
      </c>
      <c r="D103" s="249"/>
      <c r="E103">
        <v>0</v>
      </c>
      <c r="F103">
        <v>4.8</v>
      </c>
      <c r="G103">
        <v>-1.3</v>
      </c>
      <c r="H103" s="4">
        <v>4.4000000000000004</v>
      </c>
      <c r="I103" s="4"/>
      <c r="J103" s="4"/>
    </row>
    <row r="104" spans="1:10" x14ac:dyDescent="0.4">
      <c r="A104" s="215"/>
      <c r="B104" s="228" t="s">
        <v>786</v>
      </c>
      <c r="C104" s="228"/>
      <c r="D104" s="228"/>
      <c r="E104" s="228"/>
      <c r="F104" s="228"/>
      <c r="G104" s="228"/>
      <c r="H104" s="245"/>
      <c r="I104" s="245"/>
      <c r="J104" s="245"/>
    </row>
    <row r="105" spans="1:10" ht="14.25" x14ac:dyDescent="0.45">
      <c r="A105" s="215">
        <v>10</v>
      </c>
      <c r="B105" s="246" t="s">
        <v>787</v>
      </c>
      <c r="C105" s="228"/>
      <c r="D105" s="249"/>
      <c r="E105">
        <v>3.3</v>
      </c>
      <c r="F105">
        <v>1.9</v>
      </c>
      <c r="G105">
        <v>3</v>
      </c>
      <c r="H105" s="4">
        <v>2.6</v>
      </c>
      <c r="I105" s="4"/>
      <c r="J105" s="4"/>
    </row>
    <row r="106" spans="1:10" ht="14.25" x14ac:dyDescent="0.45">
      <c r="A106" s="215">
        <v>11</v>
      </c>
      <c r="B106" s="246" t="s">
        <v>788</v>
      </c>
      <c r="C106" s="228" t="s">
        <v>781</v>
      </c>
      <c r="D106" s="249"/>
      <c r="E106">
        <v>-1.9</v>
      </c>
      <c r="F106">
        <v>1.9</v>
      </c>
      <c r="G106">
        <v>-2.1</v>
      </c>
      <c r="H106" s="4">
        <v>0.3</v>
      </c>
      <c r="I106" s="4"/>
      <c r="J106" s="4"/>
    </row>
    <row r="107" spans="1:10" ht="14.25" x14ac:dyDescent="0.45">
      <c r="A107" s="215">
        <v>12</v>
      </c>
      <c r="B107" s="246" t="s">
        <v>789</v>
      </c>
      <c r="C107" s="228" t="s">
        <v>790</v>
      </c>
      <c r="D107" s="249"/>
      <c r="E107">
        <v>0.8</v>
      </c>
      <c r="F107">
        <v>-1.7</v>
      </c>
      <c r="G107">
        <v>1.2</v>
      </c>
      <c r="H107" s="4">
        <v>-0.9</v>
      </c>
      <c r="I107" s="4"/>
      <c r="J107" s="4"/>
    </row>
    <row r="108" spans="1:10" x14ac:dyDescent="0.4">
      <c r="A108" s="215"/>
      <c r="B108" s="215" t="s">
        <v>791</v>
      </c>
      <c r="C108" s="215"/>
      <c r="D108" s="238"/>
      <c r="E108" s="238" t="str" cm="1">
        <f t="array" ref="E108:J108">IF(ISNUMBER(_xlfn.ANCHORARRAY(E$34)),"growth rate","")</f>
        <v>growth rate</v>
      </c>
      <c r="F108" s="238" t="str">
        <v>growth rate</v>
      </c>
      <c r="G108" s="238" t="str">
        <v>growth rate</v>
      </c>
      <c r="H108" s="239" t="str">
        <v>growth rate</v>
      </c>
      <c r="I108" s="239" t="str">
        <v>growth rate</v>
      </c>
      <c r="J108" s="239" t="str">
        <v>growth rate</v>
      </c>
    </row>
    <row r="109" spans="1:10" ht="14.25" x14ac:dyDescent="0.45">
      <c r="A109" s="215">
        <v>13</v>
      </c>
      <c r="B109" s="228" t="s">
        <v>792</v>
      </c>
      <c r="C109" s="228"/>
      <c r="D109" s="249"/>
      <c r="E109">
        <v>3.5</v>
      </c>
      <c r="F109">
        <v>2.1</v>
      </c>
      <c r="G109">
        <v>3.4</v>
      </c>
      <c r="H109" s="4">
        <v>3.3</v>
      </c>
      <c r="I109" s="4"/>
      <c r="J109" s="4"/>
    </row>
    <row r="110" spans="1:10" ht="14.25" x14ac:dyDescent="0.45">
      <c r="A110" s="215">
        <v>14</v>
      </c>
      <c r="B110" s="243" t="s">
        <v>793</v>
      </c>
      <c r="C110" s="228"/>
      <c r="D110" s="249"/>
      <c r="E110">
        <v>4.2</v>
      </c>
      <c r="F110">
        <v>3</v>
      </c>
      <c r="G110">
        <v>2.9</v>
      </c>
      <c r="H110" s="4">
        <v>3.2</v>
      </c>
      <c r="I110" s="4"/>
      <c r="J110" s="4"/>
    </row>
    <row r="111" spans="1:10" ht="14.25" x14ac:dyDescent="0.45">
      <c r="A111" s="215">
        <v>15</v>
      </c>
      <c r="B111" s="228" t="s">
        <v>794</v>
      </c>
      <c r="C111" s="228"/>
      <c r="D111" s="249"/>
      <c r="E111">
        <v>3.2</v>
      </c>
      <c r="F111">
        <v>3.4</v>
      </c>
      <c r="G111">
        <v>2.6</v>
      </c>
      <c r="H111" s="4">
        <v>3</v>
      </c>
      <c r="I111" s="4"/>
      <c r="J111" s="4"/>
    </row>
    <row r="112" spans="1:10" ht="14.25" x14ac:dyDescent="0.45">
      <c r="A112" s="215">
        <v>16</v>
      </c>
      <c r="B112" s="228" t="s">
        <v>795</v>
      </c>
      <c r="C112" s="228"/>
      <c r="D112" s="249"/>
      <c r="E112">
        <v>2.9</v>
      </c>
      <c r="F112">
        <v>1.9</v>
      </c>
      <c r="G112">
        <v>1.4</v>
      </c>
      <c r="H112" s="4">
        <v>3.2</v>
      </c>
      <c r="I112" s="4"/>
      <c r="J112" s="4"/>
    </row>
    <row r="113" spans="1:10" ht="14.25" x14ac:dyDescent="0.45">
      <c r="A113" s="215">
        <v>17</v>
      </c>
      <c r="B113" s="228" t="s">
        <v>796</v>
      </c>
      <c r="C113" s="228"/>
      <c r="D113" s="249"/>
      <c r="E113">
        <v>-5.4</v>
      </c>
      <c r="F113">
        <v>0.2</v>
      </c>
      <c r="G113">
        <v>-3.3</v>
      </c>
      <c r="H113" s="4">
        <v>2.1</v>
      </c>
      <c r="I113" s="4"/>
      <c r="J113" s="4"/>
    </row>
    <row r="114" spans="1:10" ht="14.25" x14ac:dyDescent="0.45">
      <c r="A114" s="215">
        <v>18</v>
      </c>
      <c r="B114" s="228" t="s">
        <v>797</v>
      </c>
      <c r="C114" s="228"/>
      <c r="D114" s="249"/>
      <c r="E114">
        <v>-10.4</v>
      </c>
      <c r="F114">
        <v>-1.4</v>
      </c>
      <c r="G114">
        <v>-1.9</v>
      </c>
      <c r="H114" s="4">
        <v>2.5</v>
      </c>
      <c r="I114" s="4"/>
      <c r="J114" s="4"/>
    </row>
    <row r="115" spans="1:10" x14ac:dyDescent="0.4">
      <c r="A115" s="215"/>
      <c r="B115" s="215" t="s">
        <v>798</v>
      </c>
      <c r="C115" s="215" t="s">
        <v>26</v>
      </c>
      <c r="D115" s="238" t="s">
        <v>799</v>
      </c>
      <c r="E115" s="238" t="str" cm="1">
        <f t="array" ref="E115:J115">IF(ISNUMBER(_xlfn.ANCHORARRAY(E$34)),"growth rate","")</f>
        <v>growth rate</v>
      </c>
      <c r="F115" s="238" t="str">
        <v>growth rate</v>
      </c>
      <c r="G115" s="238" t="str">
        <v>growth rate</v>
      </c>
      <c r="H115" s="239" t="str">
        <v>growth rate</v>
      </c>
      <c r="I115" s="239" t="str">
        <v>growth rate</v>
      </c>
      <c r="J115" s="239" t="str">
        <v>growth rate</v>
      </c>
    </row>
    <row r="116" spans="1:10" x14ac:dyDescent="0.4">
      <c r="A116" s="215">
        <v>19</v>
      </c>
      <c r="B116" s="228" t="s">
        <v>800</v>
      </c>
      <c r="C116" s="228"/>
      <c r="D116" s="145">
        <v>3760</v>
      </c>
      <c r="E116" s="3">
        <v>2</v>
      </c>
      <c r="F116">
        <v>1.5</v>
      </c>
      <c r="G116" s="3">
        <v>3</v>
      </c>
      <c r="H116" s="65">
        <v>0.6</v>
      </c>
      <c r="I116" s="65"/>
      <c r="J116" s="65"/>
    </row>
    <row r="117" spans="1:10" x14ac:dyDescent="0.4">
      <c r="A117" s="215">
        <v>20</v>
      </c>
      <c r="B117" s="228" t="s">
        <v>801</v>
      </c>
      <c r="C117" s="228"/>
      <c r="D117" s="145">
        <v>1909</v>
      </c>
      <c r="E117">
        <v>1.2</v>
      </c>
      <c r="F117">
        <v>-0.5</v>
      </c>
      <c r="G117">
        <v>-0.8</v>
      </c>
      <c r="H117" s="4">
        <v>-0.2</v>
      </c>
      <c r="I117" s="4"/>
      <c r="J117" s="4"/>
    </row>
    <row r="118" spans="1:10" ht="14.25" x14ac:dyDescent="0.45">
      <c r="A118" s="215">
        <v>21</v>
      </c>
      <c r="B118" s="228" t="s">
        <v>802</v>
      </c>
      <c r="C118" s="228"/>
      <c r="D118" s="249"/>
      <c r="E118">
        <v>0.1</v>
      </c>
      <c r="F118">
        <v>0.6</v>
      </c>
      <c r="G118">
        <v>-0.9</v>
      </c>
      <c r="H118" s="4">
        <v>1.3</v>
      </c>
      <c r="I118" s="4"/>
      <c r="J118" s="4"/>
    </row>
    <row r="119" spans="1:10" ht="14.25" x14ac:dyDescent="0.45">
      <c r="A119" s="215">
        <v>22</v>
      </c>
      <c r="B119" s="228" t="s">
        <v>803</v>
      </c>
      <c r="C119" s="228"/>
      <c r="D119" s="249"/>
      <c r="E119">
        <v>-1.1000000000000001</v>
      </c>
      <c r="F119">
        <v>1.1000000000000001</v>
      </c>
      <c r="G119">
        <v>-0.1</v>
      </c>
      <c r="H119" s="4">
        <v>1.5</v>
      </c>
      <c r="I119" s="4"/>
      <c r="J119" s="4"/>
    </row>
    <row r="120" spans="1:10" x14ac:dyDescent="0.4">
      <c r="A120" s="215">
        <v>23</v>
      </c>
      <c r="B120" s="228" t="s">
        <v>804</v>
      </c>
      <c r="C120" s="228" t="s">
        <v>5</v>
      </c>
      <c r="D120" s="145">
        <v>78.599999999999994</v>
      </c>
      <c r="E120">
        <v>5.4</v>
      </c>
      <c r="F120">
        <v>7.3</v>
      </c>
      <c r="G120">
        <v>6.6</v>
      </c>
      <c r="H120" s="4">
        <v>4.4000000000000004</v>
      </c>
      <c r="I120" s="4"/>
      <c r="J120" s="4"/>
    </row>
    <row r="121" spans="1:10" x14ac:dyDescent="0.4">
      <c r="A121" s="215">
        <v>24</v>
      </c>
      <c r="B121" s="228" t="s">
        <v>805</v>
      </c>
      <c r="C121" s="228"/>
      <c r="D121">
        <v>20.9</v>
      </c>
      <c r="E121">
        <v>3.3</v>
      </c>
      <c r="F121">
        <v>5.8</v>
      </c>
      <c r="G121">
        <v>3.5</v>
      </c>
      <c r="H121" s="4">
        <v>3.7</v>
      </c>
      <c r="I121" s="4"/>
      <c r="J121" s="4"/>
    </row>
    <row r="122" spans="1:10" x14ac:dyDescent="0.4">
      <c r="A122" s="215"/>
      <c r="B122" s="215"/>
      <c r="C122" s="215"/>
      <c r="D122" s="238"/>
      <c r="E122" s="238" t="str" cm="1">
        <f t="array" ref="E122:J122">IF(ISNUMBER(_xlfn.ANCHORARRAY(E$34)),"%","")</f>
        <v>%</v>
      </c>
      <c r="F122" s="238" t="str">
        <v>%</v>
      </c>
      <c r="G122" s="238" t="str">
        <v>%</v>
      </c>
      <c r="H122" s="239" t="str">
        <v>%</v>
      </c>
      <c r="I122" s="239" t="str">
        <v>%</v>
      </c>
      <c r="J122" s="239" t="str">
        <v>%</v>
      </c>
    </row>
    <row r="123" spans="1:10" ht="14.25" x14ac:dyDescent="0.45">
      <c r="A123" s="215">
        <v>25</v>
      </c>
      <c r="B123" s="228" t="s">
        <v>806</v>
      </c>
      <c r="C123" s="228"/>
      <c r="D123" s="249"/>
      <c r="E123">
        <v>11.1</v>
      </c>
      <c r="F123">
        <v>10.1</v>
      </c>
      <c r="G123">
        <v>8.9</v>
      </c>
      <c r="H123" s="4">
        <v>8.4</v>
      </c>
      <c r="I123" s="4"/>
      <c r="J123" s="4"/>
    </row>
    <row r="124" spans="1:10" x14ac:dyDescent="0.4">
      <c r="A124" s="215"/>
      <c r="B124" s="215" t="s">
        <v>807</v>
      </c>
      <c r="C124" s="215"/>
      <c r="D124" s="238"/>
      <c r="E124" s="238" t="str" cm="1">
        <f t="array" ref="E124:J124">IF(ISNUMBER(_xlfn.ANCHORARRAY(E$34)),"growth rate","")</f>
        <v>growth rate</v>
      </c>
      <c r="F124" s="238" t="str">
        <v>growth rate</v>
      </c>
      <c r="G124" s="238" t="str">
        <v>growth rate</v>
      </c>
      <c r="H124" s="239" t="str">
        <v>growth rate</v>
      </c>
      <c r="I124" s="239" t="str">
        <v>growth rate</v>
      </c>
      <c r="J124" s="239" t="str">
        <v>growth rate</v>
      </c>
    </row>
    <row r="125" spans="1:10" ht="14.25" x14ac:dyDescent="0.45">
      <c r="A125" s="215">
        <v>26</v>
      </c>
      <c r="B125" s="228" t="s">
        <v>808</v>
      </c>
      <c r="C125" s="228"/>
      <c r="D125" s="249"/>
      <c r="E125">
        <v>0.5</v>
      </c>
      <c r="F125">
        <v>1</v>
      </c>
      <c r="G125">
        <v>1.5</v>
      </c>
      <c r="H125" s="4">
        <v>1.9</v>
      </c>
      <c r="I125" s="4"/>
      <c r="J125" s="4"/>
    </row>
    <row r="126" spans="1:10" x14ac:dyDescent="0.4">
      <c r="A126" s="215"/>
      <c r="B126" s="228" t="s">
        <v>809</v>
      </c>
      <c r="C126" s="228"/>
      <c r="D126" s="228"/>
      <c r="E126" s="228"/>
      <c r="F126" s="228"/>
      <c r="G126" s="228"/>
      <c r="H126" s="245"/>
      <c r="I126" s="245"/>
      <c r="J126" s="245"/>
    </row>
    <row r="127" spans="1:10" ht="14.25" x14ac:dyDescent="0.45">
      <c r="A127" s="215">
        <v>27</v>
      </c>
      <c r="B127" s="243" t="s">
        <v>810</v>
      </c>
      <c r="C127" s="228"/>
      <c r="D127" s="249"/>
      <c r="E127">
        <v>0.1</v>
      </c>
      <c r="F127">
        <v>0.1</v>
      </c>
      <c r="G127">
        <v>0.2</v>
      </c>
      <c r="H127" s="4">
        <v>0.2</v>
      </c>
      <c r="I127" s="4"/>
      <c r="J127" s="4"/>
    </row>
    <row r="128" spans="1:10" ht="14.25" x14ac:dyDescent="0.45">
      <c r="A128" s="215">
        <v>28</v>
      </c>
      <c r="B128" s="243" t="s">
        <v>811</v>
      </c>
      <c r="C128" s="228"/>
      <c r="D128" s="249"/>
      <c r="E128">
        <v>0.1</v>
      </c>
      <c r="F128">
        <v>0.1</v>
      </c>
      <c r="G128">
        <v>0.2</v>
      </c>
      <c r="H128" s="4">
        <v>0.3</v>
      </c>
      <c r="I128" s="4"/>
      <c r="J128" s="4"/>
    </row>
    <row r="129" spans="1:10" ht="14.25" x14ac:dyDescent="0.45">
      <c r="A129" s="215">
        <v>29</v>
      </c>
      <c r="B129" s="243" t="s">
        <v>812</v>
      </c>
      <c r="C129" s="228"/>
      <c r="D129" s="249"/>
      <c r="E129">
        <v>0.4</v>
      </c>
      <c r="F129">
        <v>0.9</v>
      </c>
      <c r="G129">
        <v>1.2</v>
      </c>
      <c r="H129" s="4">
        <v>1.3</v>
      </c>
      <c r="I129" s="4"/>
      <c r="J129" s="4"/>
    </row>
    <row r="130" spans="1:10" x14ac:dyDescent="0.4">
      <c r="A130" s="215"/>
      <c r="B130" s="215"/>
      <c r="C130" s="215"/>
      <c r="D130" s="238"/>
      <c r="E130" s="64" t="str" cm="1">
        <f t="array" ref="E130:J130">IF(ISNUMBER(_xlfn.ANCHORARRAY(E$34)),"% pot. GDP","")</f>
        <v>% pot. GDP</v>
      </c>
      <c r="F130" s="238" t="str">
        <v>% pot. GDP</v>
      </c>
      <c r="G130" s="238" t="str">
        <v>% pot. GDP</v>
      </c>
      <c r="H130" s="239" t="str">
        <v>% pot. GDP</v>
      </c>
      <c r="I130" s="239" t="str">
        <v>% pot. GDP</v>
      </c>
      <c r="J130" s="239" t="str">
        <v>% pot. GDP</v>
      </c>
    </row>
    <row r="131" spans="1:10" ht="14.25" x14ac:dyDescent="0.45">
      <c r="A131" s="215">
        <v>30</v>
      </c>
      <c r="B131" s="228" t="s">
        <v>89</v>
      </c>
      <c r="C131" s="228"/>
      <c r="D131" s="249"/>
      <c r="E131">
        <v>1</v>
      </c>
      <c r="F131">
        <v>2</v>
      </c>
      <c r="G131">
        <v>2.6</v>
      </c>
      <c r="H131" s="4">
        <v>2.7</v>
      </c>
      <c r="I131" s="4"/>
      <c r="J131" s="4"/>
    </row>
  </sheetData>
  <conditionalFormatting sqref="D7:J7">
    <cfRule type="expression" dxfId="97" priority="8">
      <formula>ISNUMBER(D6)</formula>
    </cfRule>
  </conditionalFormatting>
  <conditionalFormatting sqref="D6:J6">
    <cfRule type="expression" dxfId="96" priority="7">
      <formula>ISNUMBER(D6)</formula>
    </cfRule>
  </conditionalFormatting>
  <conditionalFormatting sqref="D29:J29">
    <cfRule type="expression" dxfId="95" priority="6">
      <formula>ISNUMBER(D6)</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BB77"/>
  <sheetViews>
    <sheetView showGridLines="0" zoomScaleNormal="100" zoomScalePageLayoutView="55" workbookViewId="0"/>
  </sheetViews>
  <sheetFormatPr defaultColWidth="9" defaultRowHeight="14.25" x14ac:dyDescent="0.45"/>
  <cols>
    <col min="1" max="1" width="7.42578125" style="23" customWidth="1"/>
    <col min="2" max="2" width="67.35546875" style="23" customWidth="1"/>
    <col min="3" max="3" width="7.35546875" style="23" customWidth="1"/>
    <col min="4" max="26" width="10.640625" style="23" customWidth="1"/>
    <col min="27" max="16384" width="9" style="23"/>
  </cols>
  <sheetData>
    <row r="1" spans="1:54" ht="48.75" customHeight="1" x14ac:dyDescent="1">
      <c r="A1" s="21"/>
      <c r="B1" s="78" t="str">
        <f>Country&amp;"'s adherence to Regulation (EU) 2024/1263 and associated guidance"</f>
        <v>Greece's adherence to Regulation (EU) 2024/1263 and associated guidance</v>
      </c>
      <c r="D1" s="35"/>
      <c r="E1" s="35"/>
      <c r="F1" s="114"/>
      <c r="G1" s="35"/>
      <c r="H1"/>
      <c r="I1"/>
      <c r="J1"/>
      <c r="K1"/>
      <c r="L1"/>
      <c r="M1"/>
      <c r="N1"/>
      <c r="O1"/>
      <c r="P1"/>
      <c r="Q1"/>
      <c r="R1"/>
      <c r="S1"/>
    </row>
    <row r="2" spans="1:54" ht="18" x14ac:dyDescent="0.55000000000000004">
      <c r="A2" s="26"/>
      <c r="M2" s="24"/>
      <c r="N2" s="24"/>
      <c r="O2" s="24"/>
      <c r="P2" s="22"/>
      <c r="Q2" s="22"/>
      <c r="R2" s="22"/>
      <c r="S2" s="22"/>
    </row>
    <row r="3" spans="1:54" customFormat="1" ht="23.25" x14ac:dyDescent="0.45">
      <c r="B3" s="58" t="str">
        <f>IF(AssessmentRound="Implementation of an endorsed MTP","Assessing the implementation of the endorsed Medium-Term Plan","The below is not applicable as the parameters are set to assess a new or revised MTP; Please refer to the Step 5 (MTP) - View results worksheet")</f>
        <v>Assessing the implementation of the endorsed Medium-Term Plan</v>
      </c>
      <c r="C3" s="23"/>
      <c r="D3" s="23"/>
      <c r="E3" s="23"/>
      <c r="F3" s="23"/>
      <c r="G3" s="23"/>
      <c r="H3" s="23"/>
      <c r="I3" s="23"/>
      <c r="J3" s="23"/>
      <c r="K3" s="23"/>
      <c r="L3" s="23"/>
      <c r="O3" s="23"/>
      <c r="P3" s="23"/>
      <c r="T3" s="23"/>
      <c r="U3" s="23"/>
      <c r="V3" s="23"/>
      <c r="W3" s="23"/>
      <c r="X3" s="23"/>
      <c r="Y3" s="23"/>
      <c r="Z3" s="23"/>
      <c r="AA3" s="23"/>
      <c r="AB3" s="23"/>
      <c r="AC3" s="23"/>
      <c r="AD3" s="23"/>
      <c r="AE3" s="23"/>
      <c r="AF3" s="23"/>
      <c r="AG3" s="23"/>
      <c r="AH3" s="23"/>
      <c r="AI3" s="23"/>
      <c r="AJ3" s="23"/>
      <c r="AK3" s="23"/>
      <c r="AL3" s="23"/>
      <c r="AU3" s="73"/>
      <c r="AV3" s="25"/>
    </row>
    <row r="4" spans="1:54" x14ac:dyDescent="0.45">
      <c r="A4" s="21"/>
      <c r="B4" s="176" t="str">
        <f>CHAR(149)&amp;" This checks whether "&amp;Country&amp;" is adhering to its Council-endorsed medium-term structural-fiscal plan."</f>
        <v>• This checks whether Greece is adhering to its Council-endorsed medium-term structural-fiscal plan.</v>
      </c>
      <c r="M4" s="27"/>
      <c r="N4" s="27"/>
      <c r="Q4" s="29"/>
      <c r="R4" s="29"/>
      <c r="AU4" s="175"/>
      <c r="AV4" s="26"/>
    </row>
    <row r="5" spans="1:54" customFormat="1" x14ac:dyDescent="0.45">
      <c r="B5" s="135" t="str">
        <f>CHAR(149)&amp;" "&amp;MTP_Requirement</f>
        <v>• Greece's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Greece must provide sound and data-driven economic arguments explaining the difference.</v>
      </c>
      <c r="C5" s="32"/>
      <c r="D5" s="32"/>
      <c r="E5" s="32"/>
      <c r="F5" s="32"/>
      <c r="G5" s="32"/>
      <c r="H5" s="32"/>
      <c r="I5" s="32"/>
      <c r="J5" s="32"/>
      <c r="K5" s="23"/>
      <c r="L5" s="23"/>
      <c r="O5" s="23"/>
      <c r="P5" s="23"/>
      <c r="T5" s="23"/>
      <c r="U5" s="23"/>
      <c r="V5" s="23"/>
      <c r="W5" s="23"/>
      <c r="X5" s="23"/>
      <c r="Y5" s="23"/>
      <c r="Z5" s="23"/>
      <c r="AA5" s="23"/>
      <c r="AB5" s="23"/>
      <c r="AC5" s="23"/>
      <c r="AD5" s="23"/>
      <c r="AE5" s="23"/>
      <c r="AF5" s="23"/>
      <c r="AG5" s="23"/>
      <c r="AH5" s="23"/>
      <c r="AI5" s="23"/>
      <c r="AJ5" s="23"/>
      <c r="AK5" s="23"/>
      <c r="AL5" s="23"/>
      <c r="AU5" s="73"/>
      <c r="AV5" s="23"/>
    </row>
    <row r="6" spans="1:54" x14ac:dyDescent="0.45">
      <c r="A6" s="21"/>
      <c r="B6" s="135" t="str">
        <f>CHAR(149)&amp;" "&amp;IF(MTP_Council_Endorsed,"The net expenditure path in "&amp;Country&amp;"'s latest MTP was endorsed by the Council.","The net expenditure path in "&amp;Country&amp;"'s latest MTP is awaiting endorsement by the Council.")</f>
        <v>• The net expenditure path in Greece's latest MTP was endorsed by the Council.</v>
      </c>
      <c r="C6" s="32"/>
      <c r="D6" s="32"/>
      <c r="E6" s="32"/>
      <c r="F6" s="32"/>
      <c r="G6" s="32"/>
      <c r="H6" s="32"/>
      <c r="I6" s="32"/>
      <c r="J6" s="32"/>
      <c r="M6" s="27"/>
      <c r="N6" s="27"/>
      <c r="Q6" s="27"/>
      <c r="R6" s="27"/>
      <c r="S6" s="22"/>
      <c r="AU6" s="175"/>
      <c r="AV6" s="21"/>
    </row>
    <row r="7" spans="1:54" x14ac:dyDescent="0.45">
      <c r="A7" s="22"/>
      <c r="B7" s="177" t="str" cm="1">
        <f t="array" ref="B7">CHAR(149)&amp;" "&amp;
_xlfn.LET(
  _xlpm.rng, 'Step 1 - Set global parameters'!B13:H13,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AU7" s="159"/>
      <c r="AV7" s="158"/>
    </row>
    <row r="8" spans="1:54" x14ac:dyDescent="0.45">
      <c r="A8" s="22"/>
    </row>
    <row r="9" spans="1:54" ht="15.75" x14ac:dyDescent="0.5">
      <c r="A9" s="112"/>
      <c r="B9" s="115" t="s">
        <v>18</v>
      </c>
      <c r="C9" s="255" t="s">
        <v>17</v>
      </c>
      <c r="D9" s="115"/>
      <c r="E9" s="116" t="s">
        <v>464</v>
      </c>
      <c r="F9" s="66"/>
      <c r="G9" s="66"/>
      <c r="H9" s="66"/>
      <c r="I9" s="66"/>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row>
    <row r="10" spans="1:54" ht="19.149999999999999" customHeight="1" x14ac:dyDescent="0.7">
      <c r="A10" s="113" t="s">
        <v>392</v>
      </c>
      <c r="B10" s="79" t="s">
        <v>476</v>
      </c>
      <c r="C10" s="76" t="str">
        <f t="shared" ref="C10:C15" si="0">IF(D10="At risk","⚠",IF(D10="Compliant","☑","⮽"))</f>
        <v>☑</v>
      </c>
      <c r="D10" s="79" t="str">
        <f>IF(AssessmentRound="A new or revised MTP","N/A",IF(
  OR(
    Assessment!C96="Not applicable (all years adhere to the net expenditure path)",
    Assessment!C96=TRUE
  ),
  "Compliant",
  IF(
    Assessment!C94=FALSE,
    "Breach",
    IF(
      IFERROR(Assessment!C95=FALSE,FALSE),
      "At risk",
      "Compliant"
    )
  )
))</f>
        <v>Compliant</v>
      </c>
      <c r="E10" s="23" t="str">
        <f>IF(AssessmentRound="A new or revised MTP",NA(),Assessment!C98)</f>
        <v>Greece's observed net expenditure to 2025 adheres to the net expenditure path in its latest Council-endorsed MTP, but planned net expenditure to 2026 does not. Deviations occur only in years covered by an escape clause.</v>
      </c>
      <c r="AU10" s="164"/>
      <c r="AV10" s="164"/>
      <c r="AW10" s="164"/>
      <c r="AX10" s="164"/>
      <c r="AY10" s="164"/>
      <c r="AZ10" s="164"/>
      <c r="BA10" s="164"/>
      <c r="BB10" s="164"/>
    </row>
    <row r="11" spans="1:54" ht="19.149999999999999" customHeight="1" x14ac:dyDescent="0.7">
      <c r="A11" s="113" t="s">
        <v>393</v>
      </c>
      <c r="B11" s="79" t="s">
        <v>482</v>
      </c>
      <c r="C11" s="76" t="str">
        <f t="shared" si="0"/>
        <v>☑</v>
      </c>
      <c r="D11" s="79" t="str">
        <f>IF(
  AssessmentRound="A new or revised MTP",
  "N/A",
  IF(
    OR(IF(ISNA(Assessment!C152),FALSE,Assessment!C152),
       IF(ISNA(Assessment!C153),FALSE,Assessment!C153)),
    "Breach",
    IF(
      AND(OR(Assessment!C150,Assessment!C151),
          NOT(Assessment!C154)),
      "Breach",
      IF(
        AND(OR(Assessment!C148,Assessment!C149),
            NOT(Assessment!C154)),
        "At risk",
        "Compliant"
      )
    )
  )
)</f>
        <v>Compliant</v>
      </c>
      <c r="E11" s="23" t="str">
        <f>IF(AssessmentRound="A new or revised MTP",NA(),Assessment!C157)</f>
        <v>At the end of the assessment period (2026), the balance in Greece's cumulative control account is a credit (underspend) of 0.1 percentage points of GDP. Observed annual and cumulative deviations do not exceed the respective 0.3 and 0.6 percentage points of GDP limits. However, planned annual deviations exceed the 0.3 percentage point limit. An escape clause is active in all years where deviations exceed the limits. As this is a defence-related escape clause, annual caps apply; deviations do not exceed these caps.</v>
      </c>
    </row>
    <row r="12" spans="1:54" ht="19.149999999999999" customHeight="1" x14ac:dyDescent="0.7">
      <c r="A12" s="113" t="s">
        <v>137</v>
      </c>
      <c r="B12" s="79" t="s">
        <v>604</v>
      </c>
      <c r="C12" s="76" t="str">
        <f t="shared" si="0"/>
        <v>☑</v>
      </c>
      <c r="D12" s="79" t="str">
        <f>IF(AssessmentRound="A new or revised MTP", "N/A", IF(
  OR(
    NOT(Receives_reference_trajectory),
    NOT(OR(Assessment!C160, Assessment!C161))
  ),
  "N/A",
  IF(
    OR(
      IF(Assessment!C160, NOT(Assessment!C162), FALSE),
      IF(Assessment!C161, NOT(Assessment!C163), FALSE)
    ),
    "At risk",
    "Compliant"
  )
))</f>
        <v>Compliant</v>
      </c>
      <c r="E12" s="23" t="str">
        <f>IF(AssessmentRound="A new or revised MTP",NA(),Assessment!C165)</f>
        <v>The debt sustainability safeguard applies and Greece's outturn and plans are compliant (diagnostic only—not assessed as a separate compliance criterion during implementation).</v>
      </c>
    </row>
    <row r="13" spans="1:54" ht="19.149999999999999" customHeight="1" x14ac:dyDescent="0.7">
      <c r="A13" s="113" t="s">
        <v>463</v>
      </c>
      <c r="B13" s="79" t="s">
        <v>605</v>
      </c>
      <c r="C13" s="76" t="str">
        <f t="shared" si="0"/>
        <v>☑</v>
      </c>
      <c r="D13" s="79" t="str">
        <f>IF(AssessmentRound="A new or revised MTP","N/A",IF(
  NOT(Receives_reference_trajectory),
  "N/A",
  IF(
    ISNA(Assessment!C175),
    "N/A",
    IF(Assessment!C175,"Compliant","At risk")
  )
))</f>
        <v>Compliant</v>
      </c>
      <c r="E13" s="23" t="str">
        <f>IF(AssessmentRound="A new or revised MTP",NA(),Assessment!C177)</f>
        <v>The deficit resilience safeguard applies and Greece's outturn and plans are compliant (diagnostic only—not assessed as a separate compliance criterion during implementation).</v>
      </c>
    </row>
    <row r="14" spans="1:54" ht="19.149999999999999" customHeight="1" x14ac:dyDescent="0.7">
      <c r="A14" s="113" t="s">
        <v>503</v>
      </c>
      <c r="B14" s="79" t="s">
        <v>608</v>
      </c>
      <c r="C14" s="76" t="str">
        <f t="shared" si="0"/>
        <v>☑</v>
      </c>
      <c r="D14" s="79" t="str">
        <f>IF(AssessmentRound="A new or revised MTP","N/A",IF(Assessment!C186,"Compliant",IF(EscapeClauseActivated,"Compliant","At risk")))</f>
        <v>Compliant</v>
      </c>
      <c r="E14" s="23" t="str">
        <f>IF(AssessmentRound="A new or revised MTP",NA(),Assessment!C188)</f>
        <v>Greece's SPB already exceeds the target level by 1.3 pp of GDP, but the planned path implies a deterioration of 1.8 pp of GDP per year on average over the assessment period. Additional adjustment in later years may be needed to maintain the target, creating a risk of backloading. However, an escape clause has been activated.</v>
      </c>
    </row>
    <row r="15" spans="1:54" customFormat="1" ht="19.149999999999999" customHeight="1" thickBot="1" x14ac:dyDescent="0.75">
      <c r="A15" s="113"/>
      <c r="B15" s="74" t="s">
        <v>477</v>
      </c>
      <c r="C15" s="75" t="str">
        <f t="shared" si="0"/>
        <v>☑</v>
      </c>
      <c r="D15" s="140" t="str">
        <f>IF(AssessmentRound="A new or revised MTP","N/A",IF(COUNTIF(D10:D11,"Breach")=0,"Compliant","Breach"))</f>
        <v>Compliant</v>
      </c>
      <c r="E15" s="74" t="str">
        <f>IF(AssessmentRound="A new or revised MTP",NA(),IF(
  D15="Compliant",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Overall, Greece's implementation of the medium-term fiscal-structural plan is compliant with the requirements of Regulation (EU) 2024/1263.</v>
      </c>
      <c r="F15" s="74"/>
      <c r="G15" s="74"/>
      <c r="H15" s="74"/>
      <c r="I15" s="74"/>
      <c r="J15" s="74"/>
      <c r="K15" s="74"/>
      <c r="L15" s="74"/>
      <c r="M15" s="74"/>
      <c r="N15" s="74"/>
      <c r="O15" s="74"/>
      <c r="P15" s="74"/>
      <c r="Q15" s="74"/>
      <c r="R15" s="74"/>
      <c r="S15" s="74"/>
      <c r="T15" s="74"/>
      <c r="U15" s="74"/>
      <c r="V15" s="74"/>
      <c r="W15" s="74"/>
      <c r="X15" s="74"/>
      <c r="Y15" s="74"/>
      <c r="Z15" s="74"/>
      <c r="AA15" s="74"/>
      <c r="AB15" s="74"/>
      <c r="AC15" s="74"/>
      <c r="AD15" s="74"/>
      <c r="AE15" s="74"/>
      <c r="AF15" s="74"/>
      <c r="AG15" s="74"/>
      <c r="AH15" s="74"/>
      <c r="AI15" s="74"/>
      <c r="AJ15" s="74"/>
      <c r="AK15" s="74"/>
      <c r="AL15" s="74"/>
      <c r="AM15" s="74"/>
      <c r="AN15" s="74"/>
      <c r="AO15" s="74"/>
      <c r="AP15" s="74"/>
      <c r="AQ15" s="74"/>
      <c r="AR15" s="74"/>
      <c r="AS15" s="74"/>
      <c r="AT15" s="74"/>
      <c r="AU15" s="74"/>
      <c r="AV15" s="74"/>
      <c r="AW15" s="74"/>
      <c r="AX15" s="74"/>
      <c r="AY15" s="74"/>
      <c r="AZ15" s="74"/>
      <c r="BA15" s="74"/>
      <c r="BB15" s="74"/>
    </row>
    <row r="16" spans="1:54" customFormat="1" ht="19.149999999999999" customHeight="1" thickTop="1" x14ac:dyDescent="0.4"/>
    <row r="17" spans="1:21" customFormat="1" ht="23.25" x14ac:dyDescent="0.7">
      <c r="B17" s="119" t="s">
        <v>979</v>
      </c>
      <c r="C17" s="23"/>
      <c r="D17" s="23"/>
      <c r="E17" s="23"/>
      <c r="F17" s="23"/>
      <c r="G17" s="23"/>
      <c r="H17" s="23"/>
      <c r="I17" s="23"/>
      <c r="J17" s="23"/>
      <c r="K17" s="23"/>
      <c r="L17" s="23"/>
      <c r="M17" s="23"/>
      <c r="N17" s="23"/>
      <c r="O17" s="23"/>
      <c r="P17" s="23"/>
      <c r="Q17" s="23"/>
      <c r="R17" s="23"/>
      <c r="S17" s="23"/>
      <c r="T17" s="23"/>
      <c r="U17" s="23"/>
    </row>
    <row r="18" spans="1:21" customFormat="1" x14ac:dyDescent="0.45">
      <c r="A18" s="3"/>
      <c r="B18" s="67"/>
      <c r="C18" s="67"/>
      <c r="D18" s="31" t="str" cm="1">
        <f t="array" ref="D18:G18">IF(AssessmentRound="New or revised MTP", "", IF(_xlfn.ANCHORARRAY(D21)&lt;=AdjustmentPeriodEnd, IF(_xlfn.ANCHORARRAY(D21)&lt;=OutturnThrough, "Observed", "Planned"), ""))</f>
        <v>Observed</v>
      </c>
      <c r="E18" s="31" t="str">
        <v>Observed</v>
      </c>
      <c r="F18" s="31" t="str">
        <v>Observed</v>
      </c>
      <c r="G18" s="31" t="str">
        <v>Planned</v>
      </c>
      <c r="H18" s="31"/>
      <c r="I18" s="31"/>
      <c r="J18" s="23"/>
      <c r="P18" s="23"/>
      <c r="Q18" s="23"/>
      <c r="R18" s="23"/>
      <c r="S18" s="23"/>
      <c r="T18" s="23"/>
      <c r="U18" s="23"/>
    </row>
    <row r="19" spans="1:21" customFormat="1" ht="14.85" customHeight="1" x14ac:dyDescent="0.45">
      <c r="A19" s="3"/>
      <c r="B19" s="67" t="s">
        <v>495</v>
      </c>
      <c r="C19" s="67"/>
      <c r="D19" s="97" t="str" cm="1">
        <f t="array" aca="1" ref="D19:G19" ca="1">IF(AssessmentRound="New or revised MTP", "", IF(AssessmentRound="Revised MTP","",_xlfn.HSTACK("",IF(OFFSET(Assessment!$F$142,0,0,1,COLUMNS(_xlfn.ANCHORARRAY(D21))-1),"Yes","No"))))</f>
        <v/>
      </c>
      <c r="E19" s="97" t="str">
        <f ca="1"/>
        <v>Yes</v>
      </c>
      <c r="F19" s="97" t="str">
        <f ca="1"/>
        <v>Yes</v>
      </c>
      <c r="G19" s="97" t="str">
        <f ca="1"/>
        <v>Yes</v>
      </c>
      <c r="H19" s="97"/>
      <c r="I19" s="97"/>
      <c r="J19" s="23"/>
    </row>
    <row r="20" spans="1:21" customFormat="1" ht="14.85" customHeight="1" x14ac:dyDescent="0.45">
      <c r="A20" s="3"/>
      <c r="B20" s="67" t="s">
        <v>274</v>
      </c>
      <c r="C20" s="67"/>
      <c r="D20" s="31" t="str" cm="1">
        <f t="array" ref="D20:G20">IF((_xlfn.ANCHORARRAY(D21)&gt;=MTP_YearT-1)*(_xlfn.ANCHORARRAY(D21)&lt;=AdjustmentPeriodEnd), IF(_xlfn.ANCHORARRAY(D21)=MTP_YearT-1, "T-1", IF(_xlfn.ANCHORARRAY(D21)=MTP_YearT, "T", "T+"&amp;(_xlfn.ANCHORARRAY(D21)-MTP_YearT))), "")</f>
        <v>T-1</v>
      </c>
      <c r="E20" s="31" t="str">
        <v>T</v>
      </c>
      <c r="F20" s="31" t="str">
        <v>T+1</v>
      </c>
      <c r="G20" s="31" t="str">
        <v>T+2</v>
      </c>
      <c r="H20" s="31"/>
      <c r="I20" s="31"/>
      <c r="J20" s="23"/>
    </row>
    <row r="21" spans="1:21" customFormat="1" ht="14.85" customHeight="1" x14ac:dyDescent="0.45">
      <c r="A21" s="3"/>
      <c r="B21" s="67" t="s">
        <v>251</v>
      </c>
      <c r="C21" s="67"/>
      <c r="D21" s="30" cm="1">
        <f t="array" ref="D21:G21">_xlfn.SEQUENCE(1, AssessmentEnd-MTP_BaseYear+1, MTP_BaseYear)</f>
        <v>2023</v>
      </c>
      <c r="E21" s="30">
        <v>2024</v>
      </c>
      <c r="F21" s="30">
        <v>2025</v>
      </c>
      <c r="G21" s="30">
        <v>2026</v>
      </c>
      <c r="H21" s="23"/>
      <c r="I21" s="23"/>
      <c r="J21" s="23"/>
    </row>
    <row r="22" spans="1:21" customFormat="1" ht="19.05" customHeight="1" x14ac:dyDescent="0.4">
      <c r="A22" s="3"/>
      <c r="B22" s="265" t="s">
        <v>635</v>
      </c>
    </row>
    <row r="23" spans="1:21" customFormat="1" ht="14.85" customHeight="1" x14ac:dyDescent="0.4">
      <c r="A23" s="3">
        <v>1</v>
      </c>
      <c r="B23" t="s">
        <v>257</v>
      </c>
      <c r="C23" t="s">
        <v>6</v>
      </c>
      <c r="D23" s="4">
        <f>Assessment!D105</f>
        <v>111.255</v>
      </c>
      <c r="E23" s="4">
        <f>Assessment!E105</f>
        <v>113.87</v>
      </c>
      <c r="F23" s="4">
        <f>Assessment!F105</f>
        <v>119.875</v>
      </c>
      <c r="G23" s="4">
        <f>Assessment!G105</f>
        <v>131.1565823848</v>
      </c>
      <c r="H23" t="str">
        <f>Assessment!H105</f>
        <v/>
      </c>
      <c r="I23" t="str">
        <f>Assessment!I105</f>
        <v/>
      </c>
      <c r="J23" t="str">
        <f>Assessment!J105</f>
        <v/>
      </c>
    </row>
    <row r="24" spans="1:21" customFormat="1" ht="14.85" customHeight="1" x14ac:dyDescent="0.4">
      <c r="A24" s="3">
        <v>2</v>
      </c>
      <c r="B24" t="s">
        <v>25</v>
      </c>
      <c r="C24" t="s">
        <v>6</v>
      </c>
      <c r="D24" s="4">
        <f>Assessment!D106</f>
        <v>7.6120000000000001</v>
      </c>
      <c r="E24" s="4">
        <f>Assessment!E106</f>
        <v>8.2249999999999996</v>
      </c>
      <c r="F24" s="4">
        <f>Assessment!F106</f>
        <v>7.8410000000000002</v>
      </c>
      <c r="G24" s="4">
        <f>Assessment!G106</f>
        <v>7.8380427719999997</v>
      </c>
      <c r="H24" t="str">
        <f>Assessment!H106</f>
        <v/>
      </c>
      <c r="I24" t="str">
        <f>Assessment!I106</f>
        <v/>
      </c>
      <c r="J24" t="str">
        <f>Assessment!J106</f>
        <v/>
      </c>
    </row>
    <row r="25" spans="1:21" customFormat="1" ht="14.85" customHeight="1" x14ac:dyDescent="0.4">
      <c r="A25" s="3">
        <v>3</v>
      </c>
      <c r="B25" t="s">
        <v>276</v>
      </c>
      <c r="C25" t="s">
        <v>6</v>
      </c>
      <c r="D25" s="4">
        <f>Assessment!D107</f>
        <v>0.3</v>
      </c>
      <c r="E25" s="4">
        <f>Assessment!E107</f>
        <v>0.1</v>
      </c>
      <c r="F25" s="4">
        <f>Assessment!F107</f>
        <v>-0.1</v>
      </c>
      <c r="G25" s="4">
        <f>Assessment!G107</f>
        <v>-0.26126809239999998</v>
      </c>
      <c r="H25" t="str">
        <f>Assessment!H107</f>
        <v/>
      </c>
      <c r="I25" t="str">
        <f>Assessment!I107</f>
        <v/>
      </c>
      <c r="J25" t="str">
        <f>Assessment!J107</f>
        <v/>
      </c>
    </row>
    <row r="26" spans="1:21" customFormat="1" ht="14.85" customHeight="1" x14ac:dyDescent="0.4">
      <c r="A26" s="3">
        <v>4</v>
      </c>
      <c r="B26" t="s">
        <v>636</v>
      </c>
      <c r="C26" t="s">
        <v>6</v>
      </c>
      <c r="D26" s="4">
        <f>Assessment!D108</f>
        <v>5.6639999999999997</v>
      </c>
      <c r="E26" s="4">
        <f>Assessment!E108</f>
        <v>5.8730000000000002</v>
      </c>
      <c r="F26" s="4">
        <f>Assessment!F108</f>
        <v>8.43</v>
      </c>
      <c r="G26" s="4">
        <f>Assessment!G108</f>
        <v>12.5408684352</v>
      </c>
      <c r="H26" t="str">
        <f>Assessment!H108</f>
        <v/>
      </c>
      <c r="I26" t="str">
        <f>Assessment!I108</f>
        <v/>
      </c>
      <c r="J26" t="str">
        <f>Assessment!J108</f>
        <v/>
      </c>
    </row>
    <row r="27" spans="1:21" customFormat="1" ht="14.85" customHeight="1" x14ac:dyDescent="0.4">
      <c r="A27" s="3">
        <v>5</v>
      </c>
      <c r="B27" t="s">
        <v>278</v>
      </c>
      <c r="C27" t="s">
        <v>6</v>
      </c>
      <c r="D27" s="4">
        <f>Assessment!D109</f>
        <v>0.73899999999999999</v>
      </c>
      <c r="E27" s="4">
        <f>Assessment!E109</f>
        <v>0.70499999999999996</v>
      </c>
      <c r="F27" s="4">
        <f>Assessment!F109</f>
        <v>0.78</v>
      </c>
      <c r="G27" s="4">
        <f>Assessment!G109</f>
        <v>1.3063404620000001</v>
      </c>
      <c r="H27" t="str">
        <f>Assessment!H109</f>
        <v/>
      </c>
      <c r="I27" t="str">
        <f>Assessment!I109</f>
        <v/>
      </c>
      <c r="J27" t="str">
        <f>Assessment!J109</f>
        <v/>
      </c>
    </row>
    <row r="28" spans="1:21" customFormat="1" ht="14.65" customHeight="1" x14ac:dyDescent="0.4">
      <c r="A28" s="3">
        <v>6</v>
      </c>
      <c r="B28" t="s">
        <v>637</v>
      </c>
      <c r="C28" t="s">
        <v>6</v>
      </c>
      <c r="D28" s="4">
        <f>Assessment!D110</f>
        <v>0.30199999999999999</v>
      </c>
      <c r="E28" s="4">
        <f>Assessment!E110</f>
        <v>0.4</v>
      </c>
      <c r="F28" s="4">
        <f>Assessment!F110</f>
        <v>0.436</v>
      </c>
      <c r="G28" s="4">
        <f>Assessment!G110</f>
        <v>0</v>
      </c>
      <c r="H28" t="str">
        <f>Assessment!H110</f>
        <v/>
      </c>
      <c r="I28" t="str">
        <f>Assessment!I110</f>
        <v/>
      </c>
      <c r="J28" t="str">
        <f>Assessment!J110</f>
        <v/>
      </c>
    </row>
    <row r="29" spans="1:21" customFormat="1" ht="14.65" customHeight="1" x14ac:dyDescent="0.4">
      <c r="A29" s="3">
        <v>7</v>
      </c>
      <c r="B29" t="s">
        <v>638</v>
      </c>
      <c r="C29" t="s">
        <v>6</v>
      </c>
      <c r="D29" s="4">
        <f>Assessment!D111</f>
        <v>96.642539999999997</v>
      </c>
      <c r="E29" s="4">
        <f>Assessment!E111</f>
        <v>98.517420000000001</v>
      </c>
      <c r="F29" s="4">
        <f>Assessment!F111</f>
        <v>102.40949000000001</v>
      </c>
      <c r="G29" s="4">
        <f>Assessment!G111</f>
        <v>109.73259880799999</v>
      </c>
      <c r="H29" t="str">
        <f>Assessment!H111</f>
        <v/>
      </c>
      <c r="I29" t="str">
        <f>Assessment!I111</f>
        <v/>
      </c>
      <c r="J29" t="str">
        <f>Assessment!J111</f>
        <v/>
      </c>
    </row>
    <row r="30" spans="1:21" customFormat="1" ht="14.65" customHeight="1" x14ac:dyDescent="0.4">
      <c r="A30" s="3">
        <v>8</v>
      </c>
      <c r="B30" t="s">
        <v>639</v>
      </c>
      <c r="C30" t="s">
        <v>6</v>
      </c>
      <c r="D30" s="4"/>
      <c r="E30" s="4">
        <f>Assessment!E112</f>
        <v>1.8748800000000045</v>
      </c>
      <c r="F30" s="4">
        <f>Assessment!F112</f>
        <v>3.8920700000000039</v>
      </c>
      <c r="G30" s="4">
        <f>Assessment!G112</f>
        <v>7.3231088079999864</v>
      </c>
      <c r="H30" t="str">
        <f>Assessment!H112</f>
        <v/>
      </c>
      <c r="I30" t="str">
        <f>Assessment!I112</f>
        <v/>
      </c>
      <c r="J30" t="str">
        <f>Assessment!J112</f>
        <v/>
      </c>
    </row>
    <row r="31" spans="1:21" customFormat="1" ht="14.65" customHeight="1" x14ac:dyDescent="0.4">
      <c r="A31" s="3">
        <v>9</v>
      </c>
      <c r="B31" t="s">
        <v>640</v>
      </c>
      <c r="C31" t="s">
        <v>6</v>
      </c>
      <c r="D31" s="4"/>
      <c r="E31" s="4">
        <f>Assessment!E113</f>
        <v>2</v>
      </c>
      <c r="F31" s="4">
        <f>Assessment!F113</f>
        <v>1.1000000000000001</v>
      </c>
      <c r="G31" s="4">
        <f>Assessment!G113</f>
        <v>-0.52253618479999997</v>
      </c>
      <c r="H31" t="str">
        <f>Assessment!H113</f>
        <v/>
      </c>
      <c r="I31" t="str">
        <f>Assessment!I113</f>
        <v/>
      </c>
      <c r="J31" t="str">
        <f>Assessment!J113</f>
        <v/>
      </c>
    </row>
    <row r="32" spans="1:21" customFormat="1" ht="14.65" customHeight="1" x14ac:dyDescent="0.4">
      <c r="A32" s="3">
        <v>10</v>
      </c>
      <c r="B32" t="s">
        <v>641</v>
      </c>
      <c r="C32" t="s">
        <v>6</v>
      </c>
      <c r="D32" s="4"/>
      <c r="E32" s="4">
        <f>Assessment!E114</f>
        <v>-0.12511999999999546</v>
      </c>
      <c r="F32" s="4">
        <f>Assessment!F114</f>
        <v>2.7920700000000038</v>
      </c>
      <c r="G32" s="4">
        <f>Assessment!G114</f>
        <v>7.8456449927999863</v>
      </c>
      <c r="H32" t="str">
        <f>Assessment!H114</f>
        <v/>
      </c>
      <c r="I32" t="str">
        <f>Assessment!I114</f>
        <v/>
      </c>
      <c r="J32" t="str">
        <f>Assessment!J114</f>
        <v/>
      </c>
    </row>
    <row r="33" spans="1:23" customFormat="1" ht="19.05" customHeight="1" x14ac:dyDescent="0.4">
      <c r="A33" s="3"/>
      <c r="B33" s="265" t="s">
        <v>981</v>
      </c>
      <c r="D33" s="4"/>
      <c r="E33" s="4"/>
      <c r="F33" s="4"/>
      <c r="G33" s="4"/>
    </row>
    <row r="34" spans="1:23" customFormat="1" ht="14.65" customHeight="1" x14ac:dyDescent="0.4">
      <c r="A34" s="3">
        <v>11</v>
      </c>
      <c r="B34" t="s">
        <v>643</v>
      </c>
      <c r="C34" t="s">
        <v>612</v>
      </c>
      <c r="D34" s="4"/>
      <c r="E34" s="4">
        <f>Assessment!E116</f>
        <v>-0.12946679588512</v>
      </c>
      <c r="F34" s="4">
        <f>Assessment!F116</f>
        <v>2.8340876161799646</v>
      </c>
      <c r="G34" s="4">
        <f>Assessment!G116</f>
        <v>7.6610526942376005</v>
      </c>
      <c r="H34" t="str">
        <f>Assessment!H116</f>
        <v/>
      </c>
      <c r="I34" t="str">
        <f>Assessment!I116</f>
        <v/>
      </c>
      <c r="J34" t="str">
        <f>Assessment!J116</f>
        <v/>
      </c>
    </row>
    <row r="35" spans="1:23" customFormat="1" ht="14.65" customHeight="1" x14ac:dyDescent="0.4">
      <c r="A35" s="3">
        <v>12</v>
      </c>
      <c r="B35" t="s">
        <v>1000</v>
      </c>
      <c r="C35" t="s">
        <v>612</v>
      </c>
      <c r="D35" s="4"/>
      <c r="E35" s="263">
        <f>Assessment!E117</f>
        <v>2.6</v>
      </c>
      <c r="F35" s="4">
        <f>Assessment!F117</f>
        <v>3.6999999999999997</v>
      </c>
      <c r="G35" s="4">
        <f>Assessment!G117</f>
        <v>3.6000000000000005</v>
      </c>
      <c r="H35" t="str">
        <f>Assessment!H117</f>
        <v/>
      </c>
      <c r="I35" t="str">
        <f>Assessment!I117</f>
        <v/>
      </c>
      <c r="J35" t="str">
        <f>Assessment!J117</f>
        <v/>
      </c>
    </row>
    <row r="36" spans="1:23" customFormat="1" ht="14.65" customHeight="1" x14ac:dyDescent="0.4">
      <c r="A36" s="3">
        <v>13</v>
      </c>
      <c r="B36" t="s">
        <v>982</v>
      </c>
      <c r="C36" t="s">
        <v>6</v>
      </c>
      <c r="D36" s="4"/>
      <c r="E36" s="263">
        <f>Assessment!E118</f>
        <v>-2.6378260399999953</v>
      </c>
      <c r="F36" s="4">
        <f>Assessment!F118</f>
        <v>-0.85307453999999605</v>
      </c>
      <c r="G36" s="4">
        <f>Assessment!G118</f>
        <v>4.1589033527999852</v>
      </c>
      <c r="H36" t="str">
        <f>Assessment!H118</f>
        <v/>
      </c>
      <c r="I36" t="str">
        <f>Assessment!I118</f>
        <v/>
      </c>
      <c r="J36" t="str">
        <f>Assessment!J118</f>
        <v/>
      </c>
    </row>
    <row r="37" spans="1:23" customFormat="1" ht="14.65" customHeight="1" x14ac:dyDescent="0.4">
      <c r="A37" s="3">
        <v>14</v>
      </c>
      <c r="B37" t="s">
        <v>983</v>
      </c>
      <c r="C37" t="s">
        <v>6</v>
      </c>
      <c r="D37" s="4"/>
      <c r="E37" s="263">
        <f>Assessment!E119</f>
        <v>-2.6378260399999953</v>
      </c>
      <c r="F37" s="4">
        <f>Assessment!F119</f>
        <v>-3.4909005799999915</v>
      </c>
      <c r="G37" s="4">
        <f>Assessment!G119</f>
        <v>0.66800277279999376</v>
      </c>
      <c r="H37" t="str">
        <f>Assessment!H119</f>
        <v/>
      </c>
      <c r="I37" t="str">
        <f>Assessment!I119</f>
        <v/>
      </c>
      <c r="J37" t="str">
        <f>Assessment!J119</f>
        <v/>
      </c>
    </row>
    <row r="38" spans="1:23" customFormat="1" ht="14.65" customHeight="1" x14ac:dyDescent="0.4">
      <c r="A38" s="3">
        <v>15</v>
      </c>
      <c r="B38" t="s">
        <v>9</v>
      </c>
      <c r="C38" t="s">
        <v>6</v>
      </c>
      <c r="D38" s="4">
        <f>Assessment!D120</f>
        <v>224.68620000000001</v>
      </c>
      <c r="E38" s="4">
        <f>Assessment!E120</f>
        <v>236.73599999999999</v>
      </c>
      <c r="F38" s="4">
        <f>Assessment!F120</f>
        <v>248.3537</v>
      </c>
      <c r="G38" s="4">
        <f>Assessment!G120</f>
        <v>261.2680924</v>
      </c>
      <c r="H38" t="str">
        <f>Assessment!H120</f>
        <v/>
      </c>
      <c r="I38" t="str">
        <f>Assessment!I120</f>
        <v/>
      </c>
      <c r="J38" t="str">
        <f>Assessment!J120</f>
        <v/>
      </c>
    </row>
    <row r="39" spans="1:23" customFormat="1" ht="19.05" customHeight="1" x14ac:dyDescent="0.4">
      <c r="A39" s="3"/>
      <c r="B39" s="265" t="s">
        <v>979</v>
      </c>
      <c r="D39" s="4"/>
      <c r="E39" s="4"/>
      <c r="F39" s="4"/>
      <c r="G39" s="4"/>
    </row>
    <row r="40" spans="1:23" customFormat="1" ht="14.65" customHeight="1" x14ac:dyDescent="0.4">
      <c r="A40" s="3">
        <v>16</v>
      </c>
      <c r="B40" t="s">
        <v>613</v>
      </c>
      <c r="C40" t="s">
        <v>614</v>
      </c>
      <c r="D40" s="4"/>
      <c r="E40" s="263">
        <f>Assessment!E122</f>
        <v>-1.1142479555285194</v>
      </c>
      <c r="F40" s="4">
        <f>Assessment!F122</f>
        <v>-0.34349177805685849</v>
      </c>
      <c r="G40" s="4">
        <f>Assessment!G122</f>
        <v>1.5918144900881073</v>
      </c>
      <c r="H40" t="str">
        <f>Assessment!H122</f>
        <v/>
      </c>
      <c r="I40" t="str">
        <f>Assessment!I122</f>
        <v/>
      </c>
      <c r="J40" t="str">
        <f>Assessment!J122</f>
        <v/>
      </c>
    </row>
    <row r="41" spans="1:23" customFormat="1" ht="14.65" customHeight="1" x14ac:dyDescent="0.45">
      <c r="A41" s="3">
        <v>17</v>
      </c>
      <c r="B41" t="s">
        <v>999</v>
      </c>
      <c r="C41" t="s">
        <v>614</v>
      </c>
      <c r="D41" s="4"/>
      <c r="E41" s="263">
        <f>Assessment!E123</f>
        <v>-1.1142479555285194</v>
      </c>
      <c r="F41" s="4">
        <f>Assessment!F123</f>
        <v>-1.4056164977610526</v>
      </c>
      <c r="G41" s="4">
        <f>Assessment!G123</f>
        <v>0.2556771348019356</v>
      </c>
      <c r="H41" t="str">
        <f>Assessment!H123</f>
        <v/>
      </c>
      <c r="I41" t="str">
        <f>Assessment!I123</f>
        <v/>
      </c>
      <c r="J41" t="str">
        <f>Assessment!J123</f>
        <v/>
      </c>
      <c r="W41" s="23"/>
    </row>
    <row r="42" spans="1:23" customFormat="1" ht="19.05" customHeight="1" x14ac:dyDescent="0.4">
      <c r="A42" s="3"/>
      <c r="B42" s="265" t="s">
        <v>984</v>
      </c>
      <c r="D42" s="4"/>
      <c r="E42" s="4"/>
      <c r="F42" s="4"/>
      <c r="G42" s="4"/>
    </row>
    <row r="43" spans="1:23" customFormat="1" ht="14.65" customHeight="1" x14ac:dyDescent="0.4">
      <c r="A43" s="3">
        <v>18</v>
      </c>
      <c r="B43" t="str">
        <f>Assessment!B131</f>
        <v>Growth of defence expenditure since 2024</v>
      </c>
      <c r="C43" t="s">
        <v>614</v>
      </c>
      <c r="D43" s="4"/>
      <c r="E43" s="4"/>
      <c r="F43" s="4">
        <f>Assessment!F131</f>
        <v>0.21027212399090445</v>
      </c>
      <c r="G43" s="4">
        <f>Assessment!G131</f>
        <v>0.39999999999999991</v>
      </c>
      <c r="H43" t="str">
        <f>Assessment!H131</f>
        <v/>
      </c>
      <c r="I43" t="str">
        <f>Assessment!I131</f>
        <v/>
      </c>
      <c r="J43" t="str">
        <f>Assessment!J131</f>
        <v/>
      </c>
    </row>
    <row r="44" spans="1:23" customFormat="1" ht="14.65" customHeight="1" x14ac:dyDescent="0.4">
      <c r="A44" s="3">
        <v>19</v>
      </c>
      <c r="B44" t="s">
        <v>991</v>
      </c>
      <c r="C44" t="s">
        <v>614</v>
      </c>
      <c r="D44" s="4"/>
      <c r="E44" s="4">
        <f>Assessment!E139</f>
        <v>-1.1142479555285194</v>
      </c>
      <c r="F44" s="4">
        <f>Assessment!F139</f>
        <v>-0.34349177805685849</v>
      </c>
      <c r="G44" s="4">
        <f>Assessment!G139</f>
        <v>1.1918144900881076</v>
      </c>
    </row>
    <row r="45" spans="1:23" customFormat="1" ht="14.65" customHeight="1" x14ac:dyDescent="0.4">
      <c r="A45" s="3">
        <v>20</v>
      </c>
      <c r="B45" s="266" t="s">
        <v>985</v>
      </c>
      <c r="C45" s="266" t="s">
        <v>614</v>
      </c>
      <c r="D45" s="4"/>
      <c r="E45" s="4"/>
      <c r="F45" s="4">
        <f>Assessment!F141</f>
        <v>-1.615888621751957</v>
      </c>
      <c r="G45" s="4">
        <f>Assessment!G141</f>
        <v>-0.14432286519806431</v>
      </c>
      <c r="H45" s="4" t="str">
        <f>Assessment!H141</f>
        <v/>
      </c>
      <c r="I45" s="4" t="str">
        <f>Assessment!I141</f>
        <v/>
      </c>
      <c r="J45" s="4" t="str">
        <f>Assessment!J141</f>
        <v/>
      </c>
    </row>
    <row r="46" spans="1:23" customFormat="1" ht="14.65" customHeight="1" x14ac:dyDescent="0.4">
      <c r="A46" s="3"/>
      <c r="D46" s="4"/>
      <c r="E46" s="4"/>
      <c r="F46" s="4"/>
      <c r="G46" s="4"/>
      <c r="I46" t="str">
        <f>Assessment!I127</f>
        <v/>
      </c>
      <c r="J46" t="str">
        <f>Assessment!J127</f>
        <v/>
      </c>
    </row>
    <row r="47" spans="1:23" customFormat="1" ht="14.65" customHeight="1" x14ac:dyDescent="0.4">
      <c r="A47" s="3"/>
      <c r="D47" s="4"/>
      <c r="E47" s="4"/>
      <c r="F47" s="4"/>
      <c r="G47" s="4"/>
      <c r="I47" t="str">
        <f>Assessment!I128</f>
        <v/>
      </c>
      <c r="J47" t="str">
        <f>Assessment!J128</f>
        <v/>
      </c>
    </row>
    <row r="48" spans="1:23" customFormat="1" ht="23.25" x14ac:dyDescent="0.7">
      <c r="A48" s="23"/>
      <c r="B48" s="119" t="s">
        <v>487</v>
      </c>
      <c r="C48" s="23"/>
      <c r="D48" s="23"/>
      <c r="E48" s="23"/>
      <c r="F48" s="23"/>
      <c r="G48" s="23"/>
      <c r="H48" s="23"/>
      <c r="I48" s="65"/>
      <c r="M48" s="23"/>
    </row>
    <row r="49" spans="1:13" customFormat="1" ht="14.65" customHeight="1" x14ac:dyDescent="0.45">
      <c r="A49" s="23"/>
      <c r="B49" s="67" t="s">
        <v>310</v>
      </c>
      <c r="C49" s="31" t="str" cm="1">
        <f t="array" ref="C49:H49">IF(_xlfn.SEQUENCE(1,MTP_PlanningHorizon+2,-1)=-1, "T-1", IF(_xlfn.SEQUENCE(1,MTP_PlanningHorizon+2,-1)=0, "T", "T+"&amp;_xlfn.SEQUENCE(1,MTP_PlanningHorizon+2,-1)))</f>
        <v>T-1</v>
      </c>
      <c r="D49" s="31" t="str">
        <v>T</v>
      </c>
      <c r="E49" s="31" t="str">
        <v>T+1</v>
      </c>
      <c r="F49" s="31" t="str">
        <v>T+2</v>
      </c>
      <c r="G49" s="31" t="str">
        <v>T+3</v>
      </c>
      <c r="H49" s="31" t="str">
        <v>T+4</v>
      </c>
      <c r="I49" s="31"/>
      <c r="M49" s="23"/>
    </row>
    <row r="50" spans="1:13" customFormat="1" ht="14.65" customHeight="1" x14ac:dyDescent="0.45">
      <c r="A50" s="23"/>
      <c r="B50" s="67"/>
      <c r="C50" s="31" cm="1">
        <f t="array" ref="C50:H50">_xlfn.SEQUENCE(1, MTP_EndYear - MTP_BaseYear+1, MTP_BaseYear)</f>
        <v>2023</v>
      </c>
      <c r="D50" s="31">
        <v>2024</v>
      </c>
      <c r="E50" s="31">
        <v>2025</v>
      </c>
      <c r="F50" s="31">
        <v>2026</v>
      </c>
      <c r="G50" s="31">
        <v>2027</v>
      </c>
      <c r="H50" s="31">
        <v>2028</v>
      </c>
      <c r="I50" s="31"/>
      <c r="M50" s="23"/>
    </row>
    <row r="51" spans="1:13" customFormat="1" x14ac:dyDescent="0.45">
      <c r="A51" s="23"/>
      <c r="B51" s="68"/>
      <c r="C51" s="31" t="str">
        <f t="shared" ref="C51:I51" si="1">IF(C50="", "", IF(C50&lt;=OutturnThrough, "Observed", "Planned"))</f>
        <v>Observed</v>
      </c>
      <c r="D51" s="31" t="str">
        <f t="shared" si="1"/>
        <v>Observed</v>
      </c>
      <c r="E51" s="31" t="str">
        <f t="shared" si="1"/>
        <v>Observed</v>
      </c>
      <c r="F51" s="31" t="str">
        <f t="shared" si="1"/>
        <v>Planned</v>
      </c>
      <c r="G51" s="31" t="str">
        <f t="shared" si="1"/>
        <v>Planned</v>
      </c>
      <c r="H51" s="31" t="str">
        <f t="shared" si="1"/>
        <v>Planned</v>
      </c>
      <c r="I51" s="31" t="str">
        <f t="shared" si="1"/>
        <v/>
      </c>
      <c r="J51" s="46"/>
      <c r="K51" s="46"/>
      <c r="L51" s="46"/>
      <c r="M51" s="23"/>
    </row>
    <row r="52" spans="1:13" customFormat="1" x14ac:dyDescent="0.45">
      <c r="A52" s="23"/>
      <c r="B52" s="47" t="s">
        <v>309</v>
      </c>
      <c r="C52" s="46" t="str" cm="1">
        <f t="array" ref="C52:H52">INDEX(
  Assessment!$34:$34,
  1,
  MATCH(MTP_BaseYear,Assessment!$32:$32,0)
    + _xlfn.SEQUENCE(1, COLUMNS(_xlfn.ANCHORARRAY(C50)), 0)
)</f>
        <v/>
      </c>
      <c r="D52" s="46">
        <v>2.6</v>
      </c>
      <c r="E52" s="46">
        <v>3.6999999999999997</v>
      </c>
      <c r="F52" s="46">
        <v>3.6000000000000005</v>
      </c>
      <c r="G52" s="48">
        <v>3.1</v>
      </c>
      <c r="H52" s="46">
        <v>3</v>
      </c>
      <c r="I52" s="46"/>
      <c r="J52" s="65"/>
      <c r="K52" s="65"/>
      <c r="L52" s="65"/>
      <c r="M52" s="23"/>
    </row>
    <row r="53" spans="1:13" customFormat="1" x14ac:dyDescent="0.45">
      <c r="A53" s="23"/>
      <c r="B53" s="136" t="str">
        <f>ScenarioName</f>
        <v>Annual Progress Report 2026</v>
      </c>
      <c r="C53" s="65" t="str" cm="1">
        <f t="array" ref="C53:H53">INDEX(
  Assessment!$15:$15,
  1,
  MATCH(MTP_BaseYear,Assessment!$4:$4,0)
    + _xlfn.SEQUENCE(1, COLUMNS(_xlfn.ANCHORARRAY(C50)), 0)
)</f>
        <v/>
      </c>
      <c r="D53" s="65">
        <v>-0.12946679588512477</v>
      </c>
      <c r="E53" s="65">
        <v>2.8340876161799811</v>
      </c>
      <c r="F53" s="65">
        <v>7.5</v>
      </c>
      <c r="G53" s="65" t="str">
        <v/>
      </c>
      <c r="H53" s="65" t="str">
        <v/>
      </c>
      <c r="I53" s="65"/>
      <c r="J53" s="48"/>
      <c r="K53" s="48"/>
      <c r="L53" s="48"/>
      <c r="M53" s="23"/>
    </row>
    <row r="54" spans="1:13" customFormat="1" x14ac:dyDescent="0.45">
      <c r="A54" s="23"/>
      <c r="B54" s="47" t="s">
        <v>206</v>
      </c>
      <c r="C54" s="46" cm="1">
        <f t="array" ref="C54:H54">INDEX(
  Assessment!$35:$35,
  1,
  MATCH(MTP_BaseYear,Assessment!$32:$32,0)
    + _xlfn.SEQUENCE(1, COLUMNS(_xlfn.ANCHORARRAY(C50)), 0)
)</f>
        <v>-1.6</v>
      </c>
      <c r="D54" s="46">
        <v>-1</v>
      </c>
      <c r="E54" s="46">
        <v>-0.6</v>
      </c>
      <c r="F54" s="46">
        <v>-0.8</v>
      </c>
      <c r="G54" s="48">
        <v>-1.1000000000000001</v>
      </c>
      <c r="H54" s="48">
        <v>-1.2</v>
      </c>
      <c r="I54" s="48"/>
      <c r="J54" s="65"/>
      <c r="K54" s="65"/>
      <c r="L54" s="65"/>
      <c r="M54" s="23"/>
    </row>
    <row r="55" spans="1:13" customFormat="1" x14ac:dyDescent="0.45">
      <c r="A55" s="23"/>
      <c r="B55" s="136" t="str">
        <f>ScenarioName</f>
        <v>Annual Progress Report 2026</v>
      </c>
      <c r="C55" s="65" cm="1">
        <f t="array" ref="C55:H55">INDEX(
  Assessment!$17:$17,
  1,
  MATCH(MTP_BaseYear,Assessment!$4:$4,0)
    + _xlfn.SEQUENCE(1, COLUMNS(_xlfn.ANCHORARRAY(C50)), 0)
)</f>
        <v>-1.4299943654750491</v>
      </c>
      <c r="D55" s="65">
        <v>1.3470701540957015</v>
      </c>
      <c r="E55" s="65">
        <v>1.7273751105781794</v>
      </c>
      <c r="F55" s="65">
        <v>0.2</v>
      </c>
      <c r="G55" s="65" t="str">
        <v/>
      </c>
      <c r="H55" s="65" t="str">
        <v/>
      </c>
      <c r="I55" s="65"/>
      <c r="J55" s="48"/>
      <c r="K55" s="48"/>
      <c r="L55" s="48"/>
      <c r="M55" s="23"/>
    </row>
    <row r="56" spans="1:13" customFormat="1" x14ac:dyDescent="0.45">
      <c r="A56" s="23"/>
      <c r="B56" s="47" t="s">
        <v>0</v>
      </c>
      <c r="C56" s="48" cm="1">
        <f t="array" ref="C56:H56">INDEX(
  Assessment!$36:$36,
  1,
  MATCH(MTP_BaseYear,Assessment!$32:$32,0)
    + _xlfn.SEQUENCE(1, COLUMNS(_xlfn.ANCHORARRAY(C50)), 0)
)</f>
        <v>-1.5</v>
      </c>
      <c r="D56" s="48">
        <v>-1.5</v>
      </c>
      <c r="E56" s="48">
        <v>-1.1000000000000001</v>
      </c>
      <c r="F56" s="48">
        <v>-1.1000000000000001</v>
      </c>
      <c r="G56" s="48">
        <v>-1.2</v>
      </c>
      <c r="H56" s="48">
        <v>-1.3</v>
      </c>
      <c r="I56" s="48"/>
      <c r="J56" s="65"/>
      <c r="K56" s="65"/>
      <c r="L56" s="65"/>
      <c r="M56" s="23"/>
    </row>
    <row r="57" spans="1:13" customFormat="1" x14ac:dyDescent="0.45">
      <c r="A57" s="23"/>
      <c r="B57" s="136" t="str">
        <f>ScenarioName</f>
        <v>Annual Progress Report 2026</v>
      </c>
      <c r="C57" s="65" cm="1">
        <f t="array" ref="C57:H57">INDEX(
  Assessment!$18:$18,
  1,
  MATCH(MTP_BaseYear,Assessment!$4:$4,0)
    + _xlfn.SEQUENCE(1, COLUMNS(_xlfn.ANCHORARRAY(C50)), 0)
)</f>
        <v>-1.84205</v>
      </c>
      <c r="D57" s="65">
        <v>0.34606999999999999</v>
      </c>
      <c r="E57" s="65">
        <v>0.48633999999999999</v>
      </c>
      <c r="F57" s="65">
        <v>-1.2</v>
      </c>
      <c r="G57" s="65" t="str">
        <v/>
      </c>
      <c r="H57" s="65" t="str">
        <v/>
      </c>
      <c r="I57" s="65"/>
      <c r="J57" s="48"/>
      <c r="K57" s="48"/>
      <c r="L57" s="48"/>
      <c r="M57" s="23"/>
    </row>
    <row r="58" spans="1:13" customFormat="1" x14ac:dyDescent="0.45">
      <c r="A58" s="23"/>
      <c r="B58" s="47" t="s">
        <v>3</v>
      </c>
      <c r="C58" s="46" cm="1">
        <f t="array" ref="C58:H58">INDEX(
  Assessment!$37:$37,
  1,
  MATCH(MTP_BaseYear,Assessment!$32:$32,0)
    + _xlfn.SEQUENCE(1, COLUMNS(_xlfn.ANCHORARRAY(C50)), 0)
)</f>
        <v>1.9</v>
      </c>
      <c r="D58" s="46">
        <v>1.9</v>
      </c>
      <c r="E58" s="46">
        <v>2</v>
      </c>
      <c r="F58" s="46">
        <v>2.1</v>
      </c>
      <c r="G58" s="48">
        <v>2.2000000000000002</v>
      </c>
      <c r="H58" s="48">
        <v>2.2999999999999998</v>
      </c>
      <c r="I58" s="48"/>
      <c r="J58" s="65"/>
      <c r="K58" s="65"/>
      <c r="L58" s="65"/>
      <c r="M58" s="23"/>
    </row>
    <row r="59" spans="1:13" customFormat="1" x14ac:dyDescent="0.45">
      <c r="A59" s="23"/>
      <c r="B59" s="136" t="str">
        <f>ScenarioName</f>
        <v>Annual Progress Report 2026</v>
      </c>
      <c r="C59" s="65" cm="1">
        <f t="array" ref="C59:H59">INDEX(
  Assessment!$19:$19,
  1,
  MATCH(MTP_BaseYear,Assessment!$4:$4,0)
    + _xlfn.SEQUENCE(1, COLUMNS(_xlfn.ANCHORARRAY(C50)), 0)
)</f>
        <v>1.54579</v>
      </c>
      <c r="D59" s="65">
        <v>3.8204099999999999</v>
      </c>
      <c r="E59" s="65">
        <v>3.6435300000000002</v>
      </c>
      <c r="F59" s="65">
        <v>1.8</v>
      </c>
      <c r="G59" s="65" t="str">
        <v/>
      </c>
      <c r="H59" s="65" t="str">
        <v/>
      </c>
      <c r="I59" s="65"/>
      <c r="J59" s="48"/>
      <c r="K59" s="48"/>
      <c r="L59" s="48"/>
      <c r="M59" s="23"/>
    </row>
    <row r="60" spans="1:13" customFormat="1" x14ac:dyDescent="0.45">
      <c r="A60" s="23"/>
      <c r="B60" s="47" t="s">
        <v>1</v>
      </c>
      <c r="C60" s="46" cm="1">
        <f t="array" ref="C60:H60">INDEX(
  Assessment!$38:$38,
  1,
  MATCH(MTP_BaseYear,Assessment!$32:$32,0)
    + _xlfn.SEQUENCE(1, COLUMNS(_xlfn.ANCHORARRAY(C50)), 0)
)</f>
        <v>161.9</v>
      </c>
      <c r="D60" s="46">
        <v>153.69999999999999</v>
      </c>
      <c r="E60" s="46">
        <v>149.1</v>
      </c>
      <c r="F60" s="46">
        <v>143.1</v>
      </c>
      <c r="G60" s="46">
        <v>138</v>
      </c>
      <c r="H60" s="46">
        <v>133.4</v>
      </c>
      <c r="I60" s="46"/>
      <c r="J60" s="65"/>
      <c r="K60" s="65"/>
      <c r="L60" s="65"/>
      <c r="M60" s="23"/>
    </row>
    <row r="61" spans="1:13" customFormat="1" x14ac:dyDescent="0.45">
      <c r="A61" s="23"/>
      <c r="B61" s="136" t="str">
        <f>ScenarioName</f>
        <v>Annual Progress Report 2026</v>
      </c>
      <c r="C61" s="65" cm="1">
        <f t="array" ref="C61:H61">INDEX(
  Assessment!$20:$20,
  1,
  MATCH(MTP_BaseYear,Assessment!$4:$4,0)
    + _xlfn.SEQUENCE(1, COLUMNS(_xlfn.ANCHORARRAY(C50)), 0)
)</f>
        <v>164.27800194226435</v>
      </c>
      <c r="D61" s="65">
        <v>154.16497702081645</v>
      </c>
      <c r="E61" s="65">
        <v>146.13231049104562</v>
      </c>
      <c r="F61" s="65">
        <v>136.80000000000001</v>
      </c>
      <c r="G61" s="65" t="str">
        <v/>
      </c>
      <c r="H61" s="65" t="str">
        <v/>
      </c>
      <c r="I61" s="65"/>
      <c r="J61" s="48"/>
      <c r="K61" s="48"/>
      <c r="L61" s="48"/>
      <c r="M61" s="23"/>
    </row>
    <row r="62" spans="1:13" customFormat="1" x14ac:dyDescent="0.45">
      <c r="A62" s="23"/>
      <c r="B62" s="47" t="s">
        <v>2</v>
      </c>
      <c r="C62" s="46" cm="1">
        <f t="array" ref="C62:H62">INDEX(
  Assessment!$39:$39,
  1,
  MATCH(MTP_BaseYear,Assessment!$32:$32,0)
    + _xlfn.SEQUENCE(1, COLUMNS(_xlfn.ANCHORARRAY(C50)), 0)
)</f>
        <v>-10.8</v>
      </c>
      <c r="D62" s="46">
        <v>-8.1999999999999993</v>
      </c>
      <c r="E62" s="46">
        <v>-4.5999999999999996</v>
      </c>
      <c r="F62" s="46">
        <v>-6.1</v>
      </c>
      <c r="G62" s="46">
        <v>-5</v>
      </c>
      <c r="H62" s="46">
        <v>-4.7</v>
      </c>
      <c r="I62" s="46"/>
      <c r="J62" s="65"/>
      <c r="K62" s="65"/>
      <c r="L62" s="65"/>
      <c r="M62" s="23"/>
    </row>
    <row r="63" spans="1:13" customFormat="1" x14ac:dyDescent="0.45">
      <c r="A63" s="23"/>
      <c r="B63" s="136" t="str">
        <f>ScenarioName</f>
        <v>Annual Progress Report 2026</v>
      </c>
      <c r="C63" s="65" cm="1">
        <f t="array" ref="C63:H63">INDEX(
  Assessment!$21:$21,
  1,
  MATCH(MTP_BaseYear,Assessment!$4:$4,0)
    + _xlfn.SEQUENCE(1, COLUMNS(_xlfn.ANCHORARRAY(C50)), 0)
)</f>
        <v>0.4917970039993555</v>
      </c>
      <c r="D63" s="65">
        <v>-1.7513179237631793</v>
      </c>
      <c r="E63" s="65">
        <v>-0.82100649195079434</v>
      </c>
      <c r="F63" s="65">
        <v>-9.3000000000000007</v>
      </c>
      <c r="G63" s="65" t="str">
        <v/>
      </c>
      <c r="H63" s="65" t="str">
        <v/>
      </c>
      <c r="I63" s="65"/>
      <c r="J63" s="48"/>
      <c r="K63" s="48"/>
      <c r="L63" s="48"/>
      <c r="M63" s="23"/>
    </row>
    <row r="64" spans="1:13" customFormat="1" x14ac:dyDescent="0.45">
      <c r="A64" s="23"/>
      <c r="B64" s="32"/>
      <c r="C64" s="23"/>
      <c r="D64" s="23"/>
      <c r="E64" s="23"/>
      <c r="F64" s="23"/>
      <c r="G64" s="23"/>
      <c r="H64" s="23"/>
      <c r="I64" s="23"/>
      <c r="J64" s="108"/>
      <c r="K64" s="108"/>
      <c r="L64" s="108"/>
      <c r="M64" s="23"/>
    </row>
    <row r="65" spans="1:13" customFormat="1" x14ac:dyDescent="0.45">
      <c r="A65" s="23"/>
      <c r="B65" s="172" t="s">
        <v>280</v>
      </c>
      <c r="C65" s="108" cm="1">
        <f t="array" ref="C65:H65">INDEX(
  Assessment!$40:$40,
  1,
  MATCH(MTP_BaseYear,Assessment!$32:$32,0)
    + _xlfn.SEQUENCE(1, COLUMNS(_xlfn.ANCHORARRAY(C50)), 0)
)</f>
        <v>2</v>
      </c>
      <c r="D65" s="108">
        <v>2.2000000000000002</v>
      </c>
      <c r="E65" s="108">
        <v>2.2999999999999998</v>
      </c>
      <c r="F65" s="108">
        <v>2</v>
      </c>
      <c r="G65" s="108">
        <v>1.5</v>
      </c>
      <c r="H65" s="108">
        <v>1.3</v>
      </c>
      <c r="I65" s="108"/>
      <c r="J65" s="109"/>
      <c r="K65" s="109"/>
      <c r="L65" s="109"/>
      <c r="M65" s="23"/>
    </row>
    <row r="66" spans="1:13" customFormat="1" x14ac:dyDescent="0.45">
      <c r="A66" s="23"/>
      <c r="B66" s="173" t="str">
        <f>ScenarioName</f>
        <v>Annual Progress Report 2026</v>
      </c>
      <c r="C66" s="109" cm="1">
        <f t="array" ref="C66:H66">INDEX(
  Assessment!$22:$22,
  1,
  MATCH(MTP_BaseYear,Assessment!$4:$4,0)
    + _xlfn.SEQUENCE(1, COLUMNS(_xlfn.ANCHORARRAY(C50)), 0)
)</f>
        <v>2.1358911863197383</v>
      </c>
      <c r="D66" s="65">
        <v>2.0865774054565467</v>
      </c>
      <c r="E66" s="65">
        <v>2.0730652469252542</v>
      </c>
      <c r="F66" s="65">
        <v>2</v>
      </c>
      <c r="G66" s="65" t="str">
        <v/>
      </c>
      <c r="H66" s="65" t="str">
        <v/>
      </c>
      <c r="I66" s="65"/>
      <c r="J66" s="48"/>
      <c r="K66" s="48"/>
      <c r="L66" s="48"/>
      <c r="M66" s="23"/>
    </row>
    <row r="67" spans="1:13" customFormat="1" x14ac:dyDescent="0.45">
      <c r="A67" s="23"/>
      <c r="B67" s="172" t="s">
        <v>281</v>
      </c>
      <c r="C67" s="108" cm="1">
        <f t="array" ref="C67:H67">INDEX(
  Assessment!$41:$41,
  1,
  MATCH(MTP_BaseYear,Assessment!$32:$32,0)
    + _xlfn.SEQUENCE(1, COLUMNS(_xlfn.ANCHORARRAY(C50)), 0)
)</f>
        <v>4.5</v>
      </c>
      <c r="D67" s="108">
        <v>3</v>
      </c>
      <c r="E67" s="108">
        <v>2.2000000000000002</v>
      </c>
      <c r="F67" s="108">
        <v>2.2999999999999998</v>
      </c>
      <c r="G67" s="108">
        <v>2.2999999999999998</v>
      </c>
      <c r="H67" s="108">
        <v>2.4</v>
      </c>
      <c r="I67" s="108"/>
    </row>
    <row r="68" spans="1:13" customFormat="1" x14ac:dyDescent="0.45">
      <c r="A68" s="23"/>
      <c r="B68" s="173" t="str">
        <f>ScenarioName</f>
        <v>Annual Progress Report 2026</v>
      </c>
      <c r="C68" s="109" cm="1">
        <f t="array" ref="C68:H68">INDEX(
  Assessment!$23:$23,
  1,
  MATCH(MTP_BaseYear,Assessment!$4:$4,0)
    + _xlfn.SEQUENCE(1, COLUMNS(_xlfn.ANCHORARRAY(C50)), 0)
)</f>
        <v>6.2696911980743009</v>
      </c>
      <c r="D68" s="65">
        <v>3.2094021239268633</v>
      </c>
      <c r="E68" s="65">
        <v>2.7768191292891542</v>
      </c>
      <c r="F68" s="65">
        <v>3.2</v>
      </c>
      <c r="G68" s="65" t="str">
        <v/>
      </c>
      <c r="H68" s="65" t="str">
        <v/>
      </c>
      <c r="I68" s="65"/>
    </row>
    <row r="69" spans="1:13" customFormat="1" ht="19.149999999999999" customHeight="1" x14ac:dyDescent="0.45">
      <c r="A69" s="23"/>
      <c r="B69" s="172" t="s">
        <v>282</v>
      </c>
      <c r="C69" s="108" cm="1">
        <f t="array" ref="C69:H69">INDEX(
  Assessment!$42:$42,
  1,
  MATCH(MTP_BaseYear,Assessment!$32:$32,0)
    + _xlfn.SEQUENCE(1, COLUMNS(_xlfn.ANCHORARRAY(C50)), 0)
)</f>
        <v>6.6</v>
      </c>
      <c r="D69" s="108">
        <v>5.3</v>
      </c>
      <c r="E69" s="108">
        <v>4.5</v>
      </c>
      <c r="F69" s="108">
        <v>4.3</v>
      </c>
      <c r="G69" s="108">
        <v>3.8</v>
      </c>
      <c r="H69" s="108">
        <v>3.7</v>
      </c>
      <c r="I69" s="108"/>
    </row>
    <row r="70" spans="1:13" x14ac:dyDescent="0.45">
      <c r="B70" s="173" t="str">
        <f>ScenarioName</f>
        <v>Annual Progress Report 2026</v>
      </c>
      <c r="C70" s="109" cm="1">
        <f t="array" ref="C70:H70">INDEX(
  Assessment!$24:$24,
  1,
  MATCH(MTP_BaseYear,Assessment!$4:$4,0)
    + _xlfn.SEQUENCE(1, COLUMNS(_xlfn.ANCHORARRAY(C50)), 0)
)</f>
        <v>8.5394961661031665</v>
      </c>
      <c r="D70" s="65">
        <v>5.3629461889515229</v>
      </c>
      <c r="E70" s="65">
        <v>4.9074496485536745</v>
      </c>
      <c r="F70" s="65">
        <v>5.2</v>
      </c>
      <c r="G70" s="65" t="str">
        <v/>
      </c>
      <c r="H70" s="65" t="str">
        <v/>
      </c>
      <c r="I70" s="65"/>
    </row>
    <row r="71" spans="1:13" x14ac:dyDescent="0.45">
      <c r="B71" s="172" t="s">
        <v>275</v>
      </c>
      <c r="C71" s="108" cm="1">
        <f t="array" ref="C71:H71">INDEX(
  Assessment!$43:$43,
  1,
  MATCH(MTP_BaseYear,Assessment!$32:$32,0)
    + _xlfn.SEQUENCE(1, COLUMNS(_xlfn.ANCHORARRAY(C50)), 0)
)</f>
        <v>0.6</v>
      </c>
      <c r="D71" s="108">
        <v>1.2</v>
      </c>
      <c r="E71" s="108">
        <v>2.5</v>
      </c>
      <c r="F71" s="108">
        <v>2.4</v>
      </c>
      <c r="G71" s="108">
        <v>1.7</v>
      </c>
      <c r="H71" s="108">
        <v>1.5</v>
      </c>
      <c r="I71" s="108"/>
    </row>
    <row r="72" spans="1:13" x14ac:dyDescent="0.45">
      <c r="B72" s="173" t="str">
        <f>ScenarioName</f>
        <v>Annual Progress Report 2026</v>
      </c>
      <c r="C72" s="109" cm="1">
        <f t="array" ref="C72:H72">INDEX(
  Assessment!$25:$25,
  1,
  MATCH(MTP_BaseYear,Assessment!$4:$4,0)
    + _xlfn.SEQUENCE(1, COLUMNS(_xlfn.ANCHORARRAY(C50)), 0)
)</f>
        <v>0.41214777352651666</v>
      </c>
      <c r="D72" s="65">
        <v>0.89840122569280201</v>
      </c>
      <c r="E72" s="65">
        <v>1.6052979221115482</v>
      </c>
      <c r="F72" s="65">
        <v>1.9</v>
      </c>
      <c r="G72" s="65" t="str">
        <v/>
      </c>
      <c r="H72" s="65" t="str">
        <v/>
      </c>
      <c r="I72" s="65"/>
    </row>
    <row r="73" spans="1:13" x14ac:dyDescent="0.45">
      <c r="B73" s="172" t="s">
        <v>272</v>
      </c>
      <c r="C73" s="108" cm="1">
        <f t="array" ref="C73:H73">INDEX(
  Assessment!$44:$44,
  1,
  MATCH(MTP_BaseYear,Assessment!$32:$32,0)
    + _xlfn.SEQUENCE(1, COLUMNS(_xlfn.ANCHORARRAY(C50)), 0)
)</f>
        <v>0.3</v>
      </c>
      <c r="D73" s="108">
        <v>1.2</v>
      </c>
      <c r="E73" s="108">
        <v>1</v>
      </c>
      <c r="F73" s="108">
        <v>0.6</v>
      </c>
      <c r="G73" s="108">
        <v>0.3</v>
      </c>
      <c r="H73" s="108">
        <v>0.1</v>
      </c>
      <c r="I73" s="108"/>
    </row>
    <row r="74" spans="1:13" x14ac:dyDescent="0.45">
      <c r="B74" s="174" t="str">
        <f>ScenarioName</f>
        <v>Annual Progress Report 2026</v>
      </c>
      <c r="C74" s="110" cm="1">
        <f t="array" ref="C74:H74">INDEX(
  Assessment!$26:$26,
  1,
  MATCH(MTP_BaseYear,Assessment!$4:$4,0)
    + _xlfn.SEQUENCE(1, COLUMNS(_xlfn.ANCHORARRAY(C50)), 0)
)</f>
        <v>1.0428730339908876</v>
      </c>
      <c r="D74" s="110">
        <v>2.2327473732196124</v>
      </c>
      <c r="E74" s="110">
        <v>2.7034073702548067</v>
      </c>
      <c r="F74" s="110">
        <v>2.7</v>
      </c>
      <c r="G74" s="110" t="str">
        <v/>
      </c>
      <c r="H74" s="110" t="str">
        <v/>
      </c>
      <c r="I74" s="109"/>
    </row>
    <row r="75" spans="1:13" x14ac:dyDescent="0.45">
      <c r="B75" s="154" t="str">
        <f>"Numbers in green indicate "&amp;ScenarioName&amp;" is outperforming the medium-term plan"</f>
        <v>Numbers in green indicate Annual Progress Report 2026 is outperforming the medium-term plan</v>
      </c>
      <c r="C75" s="109"/>
      <c r="D75" s="109"/>
      <c r="E75" s="109"/>
      <c r="F75" s="109"/>
      <c r="G75" s="109"/>
      <c r="H75" s="109"/>
      <c r="I75"/>
    </row>
    <row r="76" spans="1:13" x14ac:dyDescent="0.45">
      <c r="B76" s="153" t="str">
        <f>"Numbers in red indicate "&amp;ScenarioName&amp;" is underperforming the medium-term plan"</f>
        <v>Numbers in red indicate Annual Progress Report 2026 is underperforming the medium-term plan</v>
      </c>
      <c r="C76" s="109"/>
      <c r="D76" s="109"/>
      <c r="E76" s="109"/>
      <c r="F76" s="109"/>
      <c r="G76" s="109"/>
      <c r="H76" s="109"/>
      <c r="I76"/>
    </row>
    <row r="77" spans="1:13" x14ac:dyDescent="0.45">
      <c r="B77" s="155" t="str">
        <f>"Numbers in amber indicate "&amp;ScenarioName&amp;" is underperforming the medium-term plan but an escape clause is in place"</f>
        <v>Numbers in amber indicate Annual Progress Report 2026 is underperforming the medium-term plan but an escape clause is in place</v>
      </c>
      <c r="C77"/>
      <c r="D77"/>
      <c r="E77"/>
      <c r="F77"/>
      <c r="G77"/>
      <c r="H77"/>
      <c r="I77"/>
    </row>
  </sheetData>
  <conditionalFormatting sqref="K18:K19">
    <cfRule type="expression" dxfId="94" priority="127">
      <formula>K18&gt;#REF!</formula>
    </cfRule>
    <cfRule type="expression" dxfId="93" priority="128">
      <formula>K18&lt;=#REF!</formula>
    </cfRule>
  </conditionalFormatting>
  <conditionalFormatting sqref="C49:H51 I51 D18:I21">
    <cfRule type="expression" dxfId="92" priority="120">
      <formula>C18&lt;&gt;""</formula>
    </cfRule>
  </conditionalFormatting>
  <conditionalFormatting sqref="C75:H77 M20 L18:N19 L20:L21">
    <cfRule type="expression" dxfId="91" priority="144">
      <formula>ROUND(#REF!,1)&gt;ROUND(C18,1)</formula>
    </cfRule>
    <cfRule type="expression" dxfId="90" priority="145">
      <formula>ROUND(#REF!,1)&lt;=ROUND(C18,1)</formula>
    </cfRule>
  </conditionalFormatting>
  <conditionalFormatting sqref="C10:C14">
    <cfRule type="expression" dxfId="89" priority="59">
      <formula>D10="At risk"</formula>
    </cfRule>
    <cfRule type="expression" dxfId="88" priority="60">
      <formula>D10="Breach"</formula>
    </cfRule>
    <cfRule type="expression" dxfId="87" priority="61">
      <formula>D10="Compliant"</formula>
    </cfRule>
    <cfRule type="expression" dxfId="86" priority="62">
      <formula>AND(D10&lt;&gt;"Compliant", D10&lt;&gt;"Caution", D10&lt;&gt;"Breach")</formula>
    </cfRule>
  </conditionalFormatting>
  <conditionalFormatting sqref="I49:I50">
    <cfRule type="expression" dxfId="85" priority="58">
      <formula>I49&lt;&gt;""</formula>
    </cfRule>
  </conditionalFormatting>
  <conditionalFormatting sqref="D53:L53 D61:L61 D63:L63 D68:I68">
    <cfRule type="expression" dxfId="84" priority="50">
      <formula>ROUND(D52,1)&gt;=ROUND(D53,1)</formula>
    </cfRule>
  </conditionalFormatting>
  <conditionalFormatting sqref="D55:L55 D57:L57 D59:L59 D66:L66 D70:I70 D72:I72">
    <cfRule type="expression" dxfId="83" priority="47">
      <formula>ROUND(D54,1)&lt;=ROUND(D55,1)</formula>
    </cfRule>
  </conditionalFormatting>
  <conditionalFormatting sqref="D74:I74">
    <cfRule type="expression" dxfId="82" priority="2">
      <formula>ROUND(D73,1)&lt;=ROUND(D74,1)</formula>
    </cfRule>
  </conditionalFormatting>
  <conditionalFormatting sqref="B15:BB15">
    <cfRule type="expression" dxfId="81" priority="851">
      <formula>$D$15="Compliant"</formula>
    </cfRule>
    <cfRule type="expression" dxfId="80" priority="852">
      <formula>$D$15="Caution"</formula>
    </cfRule>
    <cfRule type="expression" dxfId="79" priority="853">
      <formula>$D$15="Breach"</formula>
    </cfRule>
    <cfRule type="expression" dxfId="78" priority="854">
      <formula>$D$15="N/A"</formula>
    </cfRule>
  </conditionalFormatting>
  <conditionalFormatting sqref="I48">
    <cfRule type="expression" dxfId="77" priority="859">
      <formula>ROUND(#REF!,1)&lt;ROUND(I48,1)</formula>
    </cfRule>
    <cfRule type="expression" dxfId="76" priority="860">
      <formula>ROUND(#REF!,1)&gt;=ROUND(I48,1)</formula>
    </cfRule>
  </conditionalFormatting>
  <conditionalFormatting sqref="D18:I21">
    <cfRule type="expression" dxfId="75" priority="998">
      <formula>D$21&lt;&gt;""</formula>
    </cfRule>
  </conditionalFormatting>
  <conditionalFormatting sqref="D45:J45">
    <cfRule type="expression" dxfId="74" priority="1">
      <formula>ISNUMBER(D$21)</formula>
    </cfRule>
  </conditionalFormatting>
  <conditionalFormatting sqref="I74">
    <cfRule type="expression" dxfId="73" priority="1023">
      <formula>ISNUMBER(I$50)</formula>
    </cfRule>
  </conditionalFormatting>
  <pageMargins left="0.23622047244094491" right="0.23622047244094491" top="0" bottom="0" header="0.31496062992125984" footer="0.31496062992125984"/>
  <pageSetup paperSize="9" scale="4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51" id="{D895BA0B-C90F-449F-BE88-F0B0E0478CB1}">
            <xm:f>AND(ROUND(D52,1)&lt;ROUND(D53,1),'Step 1 - Set global parameters'!B$12=TRUE)</xm:f>
            <x14:dxf>
              <font>
                <strike val="0"/>
                <color theme="7" tint="-0.24994659260841701"/>
              </font>
            </x14:dxf>
          </x14:cfRule>
          <x14:cfRule type="expression" priority="52" id="{99C27ECD-2434-4CC7-A87E-74BB134CC6F5}">
            <xm:f>AND(ROUND(D52,1)&lt;ROUND(D53,1),'Step 1 - Set global parameters'!B$12=FALSE)</xm:f>
            <x14:dxf>
              <font>
                <strike val="0"/>
                <color rgb="FFC00000"/>
              </font>
            </x14:dxf>
          </x14:cfRule>
          <xm:sqref>D53:L53 D68:I68 D61:L61 D63:L63</xm:sqref>
        </x14:conditionalFormatting>
        <x14:conditionalFormatting xmlns:xm="http://schemas.microsoft.com/office/excel/2006/main">
          <x14:cfRule type="expression" priority="48" id="{7FEDD692-BADA-4C05-B9E9-6CFFAF3EED47}">
            <xm:f>AND(ROUND(D54,1)&gt;ROUND(D55,1),'Step 1 - Set global parameters'!B$12=TRUE)</xm:f>
            <x14:dxf>
              <font>
                <strike val="0"/>
                <color theme="7" tint="-0.24994659260841701"/>
              </font>
            </x14:dxf>
          </x14:cfRule>
          <x14:cfRule type="expression" priority="49" id="{ABC8EC5E-D081-4FDB-A0EB-3B863F1C4B09}">
            <xm:f>AND(ROUND(D54,1)&gt;ROUND(D55,1),'Step 1 - Set global parameters'!B$12=FALSE)</xm:f>
            <x14:dxf>
              <font>
                <strike val="0"/>
                <color rgb="FFC00000"/>
              </font>
            </x14:dxf>
          </x14:cfRule>
          <xm:sqref>D55:L55 D57:L57 D59:L59 D66:L66 D70:I70 D72:I72</xm:sqref>
        </x14:conditionalFormatting>
        <x14:conditionalFormatting xmlns:xm="http://schemas.microsoft.com/office/excel/2006/main">
          <x14:cfRule type="expression" priority="3" id="{CA0F55F7-2D52-4917-BC86-CC04D630406C}">
            <xm:f>AND(ROUND(D73,1)&gt;ROUND(D74,1),'Step 1 - Set global parameters'!B$12=FALSE)</xm:f>
            <x14:dxf>
              <font>
                <color rgb="FFC00000"/>
              </font>
            </x14:dxf>
          </x14:cfRule>
          <x14:cfRule type="expression" priority="4" id="{C7061373-A33E-4425-9F49-D651E91E2586}">
            <xm:f>AND(ROUND(D73,1)&gt;ROUND(D74,1),'Step 1 - Set global parameters'!B$12=TRUE)</xm:f>
            <x14:dxf>
              <font>
                <color theme="7" tint="-0.24994659260841701"/>
              </font>
            </x14:dxf>
          </x14:cfRule>
          <xm:sqref>D74:I74</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AD237"/>
  <sheetViews>
    <sheetView showGridLines="0" zoomScaleNormal="100" workbookViewId="0"/>
  </sheetViews>
  <sheetFormatPr defaultRowHeight="13.15" x14ac:dyDescent="0.4"/>
  <cols>
    <col min="1" max="1" width="5.140625" customWidth="1"/>
    <col min="2" max="2" width="67.140625" customWidth="1"/>
    <col min="3" max="3" width="12.85546875" bestFit="1" customWidth="1"/>
    <col min="27" max="27" width="45.28515625" customWidth="1"/>
  </cols>
  <sheetData>
    <row r="1" spans="2:30" ht="23.25" x14ac:dyDescent="0.7">
      <c r="B1" s="14" t="s">
        <v>718</v>
      </c>
      <c r="C1" s="15"/>
    </row>
    <row r="2" spans="2:30" ht="28.5" customHeight="1" x14ac:dyDescent="0.55000000000000004">
      <c r="B2" s="51" t="s">
        <v>749</v>
      </c>
      <c r="AA2" s="80" t="s">
        <v>922</v>
      </c>
      <c r="AB2" s="7"/>
    </row>
    <row r="3" spans="2:30" ht="13.5" customHeight="1" x14ac:dyDescent="0.4">
      <c r="B3" s="160" t="s">
        <v>261</v>
      </c>
      <c r="C3" s="187">
        <v>2023</v>
      </c>
      <c r="AA3" t="s">
        <v>822</v>
      </c>
      <c r="AB3" s="181" t="s">
        <v>824</v>
      </c>
    </row>
    <row r="4" spans="2:30" ht="13.5" customHeight="1" x14ac:dyDescent="0.4">
      <c r="B4" s="160" t="s">
        <v>260</v>
      </c>
      <c r="C4" s="187">
        <v>2024</v>
      </c>
      <c r="D4" s="3"/>
      <c r="AA4" t="s">
        <v>823</v>
      </c>
      <c r="AB4" s="181" t="s">
        <v>824</v>
      </c>
    </row>
    <row r="5" spans="2:30" ht="13.5" customHeight="1" x14ac:dyDescent="0.55000000000000004">
      <c r="B5" s="160" t="s">
        <v>262</v>
      </c>
      <c r="C5" s="187">
        <v>4</v>
      </c>
      <c r="D5" s="51"/>
      <c r="AA5" t="s">
        <v>917</v>
      </c>
      <c r="AB5" s="181" t="s">
        <v>937</v>
      </c>
    </row>
    <row r="6" spans="2:30" ht="13.5" customHeight="1" x14ac:dyDescent="0.4">
      <c r="B6" t="s">
        <v>254</v>
      </c>
      <c r="C6" s="187">
        <v>4</v>
      </c>
      <c r="AA6" t="s">
        <v>816</v>
      </c>
      <c r="AB6" s="181" t="s">
        <v>819</v>
      </c>
    </row>
    <row r="7" spans="2:30" ht="13.5" customHeight="1" x14ac:dyDescent="0.6">
      <c r="B7" s="160" t="s">
        <v>304</v>
      </c>
      <c r="C7" s="188" t="b">
        <v>1</v>
      </c>
      <c r="D7" s="51"/>
      <c r="N7" s="11"/>
      <c r="AA7" t="s">
        <v>921</v>
      </c>
      <c r="AB7" s="181" t="s">
        <v>818</v>
      </c>
    </row>
    <row r="8" spans="2:30" ht="13.5" customHeight="1" x14ac:dyDescent="0.4">
      <c r="B8" s="160" t="s">
        <v>327</v>
      </c>
      <c r="C8" s="188" t="b">
        <v>1</v>
      </c>
      <c r="AA8" t="s">
        <v>821</v>
      </c>
      <c r="AB8" s="181">
        <v>2</v>
      </c>
    </row>
    <row r="9" spans="2:30" ht="13.5" customHeight="1" x14ac:dyDescent="0.4">
      <c r="B9" s="160" t="s">
        <v>827</v>
      </c>
      <c r="C9" s="188" t="b">
        <v>0</v>
      </c>
      <c r="AA9" t="s">
        <v>820</v>
      </c>
      <c r="AB9" s="181">
        <v>60</v>
      </c>
      <c r="AC9" s="45"/>
      <c r="AD9" s="45"/>
    </row>
    <row r="10" spans="2:30" ht="13.5" customHeight="1" x14ac:dyDescent="0.4">
      <c r="B10" t="s">
        <v>748</v>
      </c>
      <c r="C10" s="189">
        <v>45473</v>
      </c>
      <c r="AA10" t="s">
        <v>918</v>
      </c>
      <c r="AB10" s="181">
        <v>2</v>
      </c>
      <c r="AC10" s="45"/>
      <c r="AD10" s="45"/>
    </row>
    <row r="11" spans="2:30" x14ac:dyDescent="0.4">
      <c r="AA11" t="s">
        <v>939</v>
      </c>
      <c r="AB11" s="181">
        <v>19</v>
      </c>
      <c r="AC11" s="45"/>
      <c r="AD11" s="45"/>
    </row>
    <row r="12" spans="2:30" ht="18" x14ac:dyDescent="0.55000000000000004">
      <c r="B12" s="51" t="s">
        <v>312</v>
      </c>
      <c r="C12" s="15"/>
      <c r="AA12" t="s">
        <v>920</v>
      </c>
      <c r="AB12" s="181">
        <v>36</v>
      </c>
    </row>
    <row r="13" spans="2:30" ht="15.75" x14ac:dyDescent="0.5">
      <c r="B13" s="80" t="s">
        <v>310</v>
      </c>
      <c r="C13" s="15"/>
      <c r="D13" s="45"/>
      <c r="E13" s="45"/>
      <c r="F13" s="45"/>
      <c r="G13" s="45"/>
      <c r="H13" s="45"/>
      <c r="I13" s="45"/>
      <c r="J13" s="45"/>
      <c r="K13" s="45"/>
      <c r="L13" s="45"/>
      <c r="M13" s="45"/>
      <c r="N13" s="45"/>
      <c r="S13" s="45"/>
      <c r="T13" s="45"/>
      <c r="AA13" t="s">
        <v>919</v>
      </c>
      <c r="AB13" s="181">
        <v>52</v>
      </c>
    </row>
    <row r="14" spans="2:30" x14ac:dyDescent="0.4">
      <c r="B14" s="40" t="s">
        <v>251</v>
      </c>
      <c r="C14" s="95"/>
      <c r="D14" s="45" cm="1">
        <f t="array" ref="D14:I14">_xlfn.SEQUENCE(1, MTP_EndYear-MTP_PlanFirstYear+1, MTP_PlanFirstYear)</f>
        <v>2023</v>
      </c>
      <c r="E14" s="45">
        <v>2024</v>
      </c>
      <c r="F14" s="45">
        <v>2025</v>
      </c>
      <c r="G14" s="45">
        <v>2026</v>
      </c>
      <c r="H14" s="45">
        <v>2027</v>
      </c>
      <c r="I14" s="45">
        <v>2028</v>
      </c>
      <c r="J14" s="45"/>
      <c r="K14" s="45"/>
      <c r="L14" s="45"/>
      <c r="M14" s="45"/>
      <c r="N14" s="45"/>
      <c r="S14" s="45"/>
      <c r="T14" s="45"/>
      <c r="AA14" s="151" t="s">
        <v>836</v>
      </c>
    </row>
    <row r="15" spans="2:30" x14ac:dyDescent="0.4">
      <c r="B15" s="42" t="s">
        <v>274</v>
      </c>
      <c r="C15" s="20"/>
      <c r="D15" s="48" t="str" cm="1">
        <f t="array" ref="D15:I15">_xlfn.LET(
  _xlpm.n, _xlfn.SEQUENCE(1, MTP_EndYear - MTP_PlanFirstYear + 1, MTP_PlanFirstYear - MTP_YearT),
  CHOOSE(SIGN(_xlpm.n) + 2, "T" &amp; _xlpm.n, "T", "T+" &amp; _xlpm.n)
)</f>
        <v>T-1</v>
      </c>
      <c r="E15" s="48" t="str">
        <v>T</v>
      </c>
      <c r="F15" s="48" t="str">
        <v>T+1</v>
      </c>
      <c r="G15" s="48" t="str">
        <v>T+2</v>
      </c>
      <c r="H15" s="48" t="str">
        <v>T+3</v>
      </c>
      <c r="I15" s="48" t="str">
        <v>T+4</v>
      </c>
      <c r="J15" s="48"/>
      <c r="K15" s="48"/>
      <c r="L15" s="48"/>
      <c r="M15" s="48"/>
      <c r="N15" s="48"/>
      <c r="S15" s="45"/>
      <c r="T15" s="45"/>
    </row>
    <row r="16" spans="2:30" ht="19.149999999999999" customHeight="1" x14ac:dyDescent="0.4">
      <c r="B16" s="45" t="str">
        <f>"Planned path for net expenditure growth in MTP"&amp;IF(MTP_Council_Endorsed," (endorsed by Council)"," (not yet endorsed by Council)")</f>
        <v>Planned path for net expenditure growth in MTP (endorsed by Council)</v>
      </c>
      <c r="C16" s="45" t="s">
        <v>645</v>
      </c>
      <c r="D16" s="38" t="s">
        <v>709</v>
      </c>
      <c r="E16" s="165">
        <f>F114</f>
        <v>2.6</v>
      </c>
      <c r="F16" s="165">
        <f t="shared" ref="F16:I16" si="0">G114</f>
        <v>3.6999999999999997</v>
      </c>
      <c r="G16" s="165">
        <f t="shared" si="0"/>
        <v>3.6000000000000005</v>
      </c>
      <c r="H16" s="165">
        <f t="shared" si="0"/>
        <v>3.1</v>
      </c>
      <c r="I16" s="165">
        <f t="shared" si="0"/>
        <v>3</v>
      </c>
      <c r="J16" s="38" t="s">
        <v>709</v>
      </c>
      <c r="K16" s="38"/>
      <c r="L16" s="38"/>
      <c r="M16" s="38"/>
      <c r="N16" s="38"/>
      <c r="O16" s="38"/>
      <c r="S16" s="38"/>
      <c r="T16" s="38"/>
      <c r="U16" s="38"/>
      <c r="V16" s="45"/>
      <c r="W16" s="45"/>
    </row>
    <row r="17" spans="1:23" ht="20.25" customHeight="1" x14ac:dyDescent="0.4">
      <c r="B17" s="56" t="s">
        <v>206</v>
      </c>
      <c r="C17" s="45"/>
      <c r="D17" s="166">
        <f>E116</f>
        <v>-1.6</v>
      </c>
      <c r="E17" s="166">
        <f t="shared" ref="E17:I17" si="1">F116</f>
        <v>-1</v>
      </c>
      <c r="F17" s="166">
        <f t="shared" si="1"/>
        <v>-0.6</v>
      </c>
      <c r="G17" s="166">
        <f t="shared" si="1"/>
        <v>-0.8</v>
      </c>
      <c r="H17" s="166">
        <f t="shared" si="1"/>
        <v>-1.1000000000000001</v>
      </c>
      <c r="I17" s="166">
        <f t="shared" si="1"/>
        <v>-1.2</v>
      </c>
      <c r="J17" s="166" t="s">
        <v>709</v>
      </c>
      <c r="K17" s="166"/>
      <c r="L17" s="166"/>
      <c r="M17" s="166"/>
      <c r="N17" s="166"/>
      <c r="O17" s="166"/>
      <c r="P17" s="166"/>
      <c r="Q17" s="166"/>
      <c r="R17" s="166"/>
      <c r="S17" s="166"/>
      <c r="T17" s="166"/>
      <c r="U17" s="166"/>
      <c r="V17" s="59"/>
      <c r="W17" s="59"/>
    </row>
    <row r="18" spans="1:23" x14ac:dyDescent="0.4">
      <c r="B18" s="56" t="s">
        <v>0</v>
      </c>
      <c r="C18" s="45"/>
      <c r="D18" s="166">
        <f>E119</f>
        <v>-1.5</v>
      </c>
      <c r="E18" s="166">
        <f t="shared" ref="E18:I18" si="2">F119</f>
        <v>-1.5</v>
      </c>
      <c r="F18" s="166">
        <f t="shared" si="2"/>
        <v>-1.1000000000000001</v>
      </c>
      <c r="G18" s="166">
        <f t="shared" si="2"/>
        <v>-1.1000000000000001</v>
      </c>
      <c r="H18" s="166">
        <f t="shared" si="2"/>
        <v>-1.2</v>
      </c>
      <c r="I18" s="166">
        <f t="shared" si="2"/>
        <v>-1.3</v>
      </c>
      <c r="J18" s="166" t="s">
        <v>709</v>
      </c>
      <c r="K18" s="166"/>
      <c r="L18" s="166"/>
      <c r="M18" s="166"/>
      <c r="N18" s="166"/>
      <c r="O18" s="166"/>
      <c r="P18" s="166"/>
      <c r="Q18" s="166"/>
      <c r="R18" s="166"/>
      <c r="S18" s="166"/>
      <c r="T18" s="166"/>
      <c r="U18" s="166"/>
      <c r="V18" s="59"/>
      <c r="W18" s="59"/>
    </row>
    <row r="19" spans="1:23" x14ac:dyDescent="0.4">
      <c r="B19" s="56" t="s">
        <v>3</v>
      </c>
      <c r="C19" s="45"/>
      <c r="D19" s="166">
        <f>E120</f>
        <v>1.9</v>
      </c>
      <c r="E19" s="166">
        <f t="shared" ref="E19:I19" si="3">F120</f>
        <v>1.9</v>
      </c>
      <c r="F19" s="166">
        <f t="shared" si="3"/>
        <v>2</v>
      </c>
      <c r="G19" s="166">
        <f t="shared" si="3"/>
        <v>2.1</v>
      </c>
      <c r="H19" s="166">
        <f t="shared" si="3"/>
        <v>2.2000000000000002</v>
      </c>
      <c r="I19" s="166">
        <f t="shared" si="3"/>
        <v>2.2999999999999998</v>
      </c>
      <c r="J19" s="166" t="s">
        <v>709</v>
      </c>
      <c r="K19" s="166"/>
      <c r="L19" s="166"/>
      <c r="M19" s="166"/>
      <c r="N19" s="166"/>
      <c r="O19" s="166"/>
      <c r="P19" s="166"/>
      <c r="Q19" s="166"/>
      <c r="R19" s="166"/>
      <c r="S19" s="166"/>
      <c r="T19" s="166"/>
      <c r="U19" s="166"/>
      <c r="V19" s="59"/>
      <c r="W19" s="59"/>
    </row>
    <row r="20" spans="1:23" x14ac:dyDescent="0.4">
      <c r="B20" s="56" t="s">
        <v>1</v>
      </c>
      <c r="C20" s="45"/>
      <c r="D20" s="166">
        <f>E122</f>
        <v>161.9</v>
      </c>
      <c r="E20" s="166">
        <f t="shared" ref="E20:I20" si="4">F122</f>
        <v>153.69999999999999</v>
      </c>
      <c r="F20" s="166">
        <f t="shared" si="4"/>
        <v>149.1</v>
      </c>
      <c r="G20" s="166">
        <f t="shared" si="4"/>
        <v>143.1</v>
      </c>
      <c r="H20" s="166">
        <f t="shared" si="4"/>
        <v>138</v>
      </c>
      <c r="I20" s="166">
        <f t="shared" si="4"/>
        <v>133.4</v>
      </c>
      <c r="J20" s="166" t="s">
        <v>709</v>
      </c>
      <c r="K20" s="166"/>
      <c r="L20" s="166"/>
      <c r="M20" s="166"/>
      <c r="N20" s="166"/>
      <c r="O20" s="166"/>
      <c r="P20" s="166"/>
      <c r="Q20" s="166"/>
      <c r="R20" s="166"/>
      <c r="S20" s="166"/>
      <c r="T20" s="166"/>
      <c r="U20" s="166"/>
      <c r="V20" s="59"/>
      <c r="W20" s="59"/>
    </row>
    <row r="21" spans="1:23" x14ac:dyDescent="0.4">
      <c r="B21" s="56" t="s">
        <v>2</v>
      </c>
      <c r="C21" s="45"/>
      <c r="D21" s="166">
        <f>E123</f>
        <v>-10.8</v>
      </c>
      <c r="E21" s="166">
        <f t="shared" ref="E21:I21" si="5">F123</f>
        <v>-8.1999999999999993</v>
      </c>
      <c r="F21" s="166">
        <f t="shared" si="5"/>
        <v>-4.5999999999999996</v>
      </c>
      <c r="G21" s="166">
        <f t="shared" si="5"/>
        <v>-6.1</v>
      </c>
      <c r="H21" s="166">
        <f t="shared" si="5"/>
        <v>-5</v>
      </c>
      <c r="I21" s="166">
        <f t="shared" si="5"/>
        <v>-4.7</v>
      </c>
      <c r="J21" s="166" t="s">
        <v>709</v>
      </c>
      <c r="K21" s="166"/>
      <c r="L21" s="166"/>
      <c r="M21" s="166"/>
      <c r="N21" s="166"/>
      <c r="O21" s="166"/>
      <c r="P21" s="166"/>
      <c r="Q21" s="166"/>
      <c r="R21" s="166"/>
      <c r="S21" s="166"/>
      <c r="T21" s="166"/>
      <c r="U21" s="166"/>
      <c r="V21" s="59"/>
      <c r="W21" s="59"/>
    </row>
    <row r="22" spans="1:23" ht="20.25" customHeight="1" x14ac:dyDescent="0.4">
      <c r="B22" s="56" t="s">
        <v>7</v>
      </c>
      <c r="C22" s="45" t="s">
        <v>644</v>
      </c>
      <c r="D22" s="166">
        <f>E141</f>
        <v>2</v>
      </c>
      <c r="E22" s="166">
        <f t="shared" ref="E22:I22" si="6">F141</f>
        <v>2.2000000000000002</v>
      </c>
      <c r="F22" s="166">
        <f t="shared" si="6"/>
        <v>2.2999999999999998</v>
      </c>
      <c r="G22" s="166">
        <f t="shared" si="6"/>
        <v>2</v>
      </c>
      <c r="H22" s="166">
        <f t="shared" si="6"/>
        <v>1.5</v>
      </c>
      <c r="I22" s="166">
        <f t="shared" si="6"/>
        <v>1.3</v>
      </c>
      <c r="J22" s="166" t="s">
        <v>709</v>
      </c>
      <c r="K22" s="166"/>
      <c r="L22" s="166"/>
      <c r="M22" s="166"/>
      <c r="N22" s="166"/>
      <c r="O22" s="166"/>
      <c r="P22" s="166"/>
      <c r="Q22" s="166"/>
      <c r="R22" s="166"/>
      <c r="S22" s="166"/>
      <c r="T22" s="166"/>
      <c r="U22" s="166"/>
      <c r="V22" s="59"/>
      <c r="W22" s="59"/>
    </row>
    <row r="23" spans="1:23" x14ac:dyDescent="0.4">
      <c r="B23" s="56" t="s">
        <v>8</v>
      </c>
      <c r="C23" s="45" t="s">
        <v>644</v>
      </c>
      <c r="D23" s="166">
        <f>E142</f>
        <v>4.5</v>
      </c>
      <c r="E23" s="166">
        <f t="shared" ref="E23:I23" si="7">F142</f>
        <v>3</v>
      </c>
      <c r="F23" s="166">
        <f t="shared" si="7"/>
        <v>2.2000000000000002</v>
      </c>
      <c r="G23" s="166">
        <f t="shared" si="7"/>
        <v>2.2999999999999998</v>
      </c>
      <c r="H23" s="166">
        <f t="shared" si="7"/>
        <v>2.2999999999999998</v>
      </c>
      <c r="I23" s="166">
        <f t="shared" si="7"/>
        <v>2.4</v>
      </c>
      <c r="J23" s="166" t="s">
        <v>709</v>
      </c>
      <c r="K23" s="166"/>
      <c r="L23" s="166"/>
      <c r="M23" s="166"/>
      <c r="N23" s="166"/>
      <c r="O23" s="166"/>
      <c r="P23" s="166"/>
      <c r="Q23" s="166"/>
      <c r="R23" s="166"/>
      <c r="S23" s="166"/>
      <c r="T23" s="166"/>
      <c r="U23" s="166"/>
      <c r="V23" s="59"/>
      <c r="W23" s="59"/>
    </row>
    <row r="24" spans="1:23" x14ac:dyDescent="0.4">
      <c r="B24" s="56" t="s">
        <v>9</v>
      </c>
      <c r="C24" s="45" t="s">
        <v>644</v>
      </c>
      <c r="D24" s="166">
        <f>E143</f>
        <v>6.6</v>
      </c>
      <c r="E24" s="166">
        <f t="shared" ref="E24:I24" si="8">F143</f>
        <v>5.3</v>
      </c>
      <c r="F24" s="166">
        <f t="shared" si="8"/>
        <v>4.5</v>
      </c>
      <c r="G24" s="166">
        <f t="shared" si="8"/>
        <v>4.3</v>
      </c>
      <c r="H24" s="166">
        <f t="shared" si="8"/>
        <v>3.8</v>
      </c>
      <c r="I24" s="166">
        <f t="shared" si="8"/>
        <v>3.7</v>
      </c>
      <c r="J24" s="166" t="s">
        <v>709</v>
      </c>
      <c r="K24" s="166"/>
      <c r="L24" s="166"/>
      <c r="M24" s="166"/>
      <c r="N24" s="166"/>
      <c r="O24" s="166"/>
      <c r="P24" s="166"/>
      <c r="Q24" s="166"/>
      <c r="R24" s="166"/>
      <c r="S24" s="166"/>
      <c r="T24" s="166"/>
      <c r="U24" s="166"/>
      <c r="V24" s="59"/>
      <c r="W24" s="59"/>
    </row>
    <row r="25" spans="1:23" x14ac:dyDescent="0.4">
      <c r="B25" s="56" t="s">
        <v>275</v>
      </c>
      <c r="C25" s="45" t="s">
        <v>644</v>
      </c>
      <c r="D25" s="38">
        <f>E172</f>
        <v>0.6</v>
      </c>
      <c r="E25" s="38">
        <f t="shared" ref="E25:I25" si="9">F172</f>
        <v>1.2</v>
      </c>
      <c r="F25" s="38">
        <f t="shared" si="9"/>
        <v>2.5</v>
      </c>
      <c r="G25" s="38">
        <f t="shared" si="9"/>
        <v>2.4</v>
      </c>
      <c r="H25" s="38">
        <f t="shared" si="9"/>
        <v>1.7</v>
      </c>
      <c r="I25" s="38">
        <f t="shared" si="9"/>
        <v>1.5</v>
      </c>
      <c r="J25" s="38" t="s">
        <v>709</v>
      </c>
      <c r="K25" s="38"/>
      <c r="L25" s="38"/>
      <c r="M25" s="38"/>
      <c r="N25" s="38"/>
      <c r="O25" s="38"/>
      <c r="P25" s="38"/>
      <c r="Q25" s="38"/>
      <c r="R25" s="38"/>
      <c r="S25" s="38"/>
      <c r="T25" s="38"/>
      <c r="U25" s="38"/>
      <c r="V25" s="45"/>
      <c r="W25" s="45"/>
    </row>
    <row r="26" spans="1:23" x14ac:dyDescent="0.4">
      <c r="B26" s="56" t="s">
        <v>89</v>
      </c>
      <c r="C26" s="56" t="s">
        <v>610</v>
      </c>
      <c r="D26" s="165">
        <f>E178</f>
        <v>0.3</v>
      </c>
      <c r="E26" s="165">
        <f t="shared" ref="E26:I26" si="10">F178</f>
        <v>1.2</v>
      </c>
      <c r="F26" s="165">
        <f t="shared" si="10"/>
        <v>1</v>
      </c>
      <c r="G26" s="165">
        <f t="shared" si="10"/>
        <v>0.6</v>
      </c>
      <c r="H26" s="165">
        <f t="shared" si="10"/>
        <v>0.3</v>
      </c>
      <c r="I26" s="165">
        <f t="shared" si="10"/>
        <v>0.1</v>
      </c>
      <c r="J26" s="165" t="s">
        <v>709</v>
      </c>
      <c r="K26" s="165"/>
      <c r="L26" s="165"/>
      <c r="M26" s="165"/>
      <c r="N26" s="165"/>
      <c r="O26" s="165"/>
      <c r="P26" s="165"/>
      <c r="Q26" s="165"/>
      <c r="R26" s="165"/>
      <c r="S26" s="165"/>
      <c r="T26" s="165"/>
      <c r="U26" s="165"/>
      <c r="V26" s="49"/>
      <c r="W26" s="49"/>
    </row>
    <row r="27" spans="1:23" ht="19.149999999999999" customHeight="1" x14ac:dyDescent="0.4">
      <c r="B27" s="56" t="s">
        <v>762</v>
      </c>
      <c r="C27" s="56"/>
      <c r="D27" s="165"/>
      <c r="E27" s="165"/>
      <c r="F27" s="165"/>
      <c r="G27" s="165"/>
      <c r="H27" s="165"/>
      <c r="I27" s="165"/>
      <c r="J27" s="165"/>
      <c r="K27" s="165"/>
      <c r="L27" s="165"/>
      <c r="M27" s="165"/>
      <c r="N27" s="165"/>
      <c r="O27" s="165"/>
      <c r="P27" s="165"/>
      <c r="Q27" s="165"/>
      <c r="R27" s="165"/>
      <c r="S27" s="165"/>
      <c r="T27" s="165"/>
      <c r="U27" s="165"/>
      <c r="V27" s="49"/>
      <c r="W27" s="49"/>
    </row>
    <row r="28" spans="1:23" x14ac:dyDescent="0.4">
      <c r="B28" s="179" t="s">
        <v>25</v>
      </c>
      <c r="C28" s="45" t="s">
        <v>6</v>
      </c>
      <c r="D28" s="168"/>
      <c r="E28" s="168"/>
      <c r="F28" s="168"/>
      <c r="G28" s="168"/>
      <c r="H28" s="168"/>
      <c r="I28" s="168"/>
      <c r="J28" s="178"/>
      <c r="K28" s="38"/>
      <c r="L28" s="38"/>
      <c r="M28" s="38"/>
      <c r="N28" s="38"/>
      <c r="O28" s="38"/>
      <c r="R28" s="252"/>
      <c r="S28"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Greece receives a reference trajectory (which in turn depends on outturn data for TFEU thresholds in year T-X).</v>
      </c>
    </row>
    <row r="29" spans="1:23" x14ac:dyDescent="0.4">
      <c r="B29" s="180" t="s">
        <v>606</v>
      </c>
      <c r="C29" s="62" t="s">
        <v>646</v>
      </c>
      <c r="D29" s="165"/>
      <c r="E29" s="165"/>
      <c r="F29" s="165"/>
      <c r="G29" s="165"/>
      <c r="H29" s="165"/>
      <c r="I29" s="165"/>
      <c r="J29" s="165"/>
      <c r="K29" s="165"/>
      <c r="L29" s="165"/>
      <c r="M29" s="165"/>
      <c r="N29" s="165"/>
      <c r="O29" s="165"/>
      <c r="P29" s="165"/>
      <c r="Q29" s="165"/>
      <c r="R29" s="165"/>
      <c r="S29" s="165"/>
      <c r="T29" s="165"/>
      <c r="U29" s="165"/>
      <c r="V29" s="49"/>
      <c r="W29" s="49"/>
    </row>
    <row r="30" spans="1:23" x14ac:dyDescent="0.4">
      <c r="B30" s="56"/>
      <c r="C30" s="56"/>
      <c r="D30" s="49"/>
      <c r="E30" s="49"/>
      <c r="F30" s="49"/>
      <c r="G30" s="49"/>
      <c r="H30" s="49"/>
      <c r="I30" s="49"/>
      <c r="J30" s="49"/>
      <c r="K30" s="49"/>
      <c r="L30" s="49"/>
      <c r="M30" s="49"/>
      <c r="N30" s="49"/>
      <c r="O30" s="49"/>
      <c r="P30" s="49"/>
      <c r="Q30" s="49"/>
      <c r="R30" s="49"/>
      <c r="S30" s="49"/>
      <c r="T30" s="49"/>
      <c r="U30" s="49"/>
      <c r="V30" s="49"/>
      <c r="W30" s="49"/>
    </row>
    <row r="31" spans="1:23" s="15" customFormat="1" x14ac:dyDescent="0.4">
      <c r="A31"/>
      <c r="B31" s="40" t="s">
        <v>251</v>
      </c>
      <c r="C31" s="40"/>
      <c r="D31" s="45" cm="1">
        <f t="array" ref="D31:S31">_xlfn.SEQUENCE(1, MTP_YearT + MTP_PlanningHorizon + 10 - MTP_PlanFirstYear + 1, MTP_PlanFirstYear)</f>
        <v>2023</v>
      </c>
      <c r="E31" s="61">
        <v>2024</v>
      </c>
      <c r="F31" s="61">
        <v>2025</v>
      </c>
      <c r="G31" s="61">
        <v>2026</v>
      </c>
      <c r="H31" s="61">
        <v>2027</v>
      </c>
      <c r="I31" s="61">
        <v>2028</v>
      </c>
      <c r="J31" s="61">
        <v>2029</v>
      </c>
      <c r="K31" s="61">
        <v>2030</v>
      </c>
      <c r="L31" s="61">
        <v>2031</v>
      </c>
      <c r="M31" s="61">
        <v>2032</v>
      </c>
      <c r="N31" s="61">
        <v>2033</v>
      </c>
      <c r="O31" s="61">
        <v>2034</v>
      </c>
      <c r="P31" s="61">
        <v>2035</v>
      </c>
      <c r="Q31" s="61">
        <v>2036</v>
      </c>
      <c r="R31" s="61">
        <v>2037</v>
      </c>
      <c r="S31" s="61">
        <v>2038</v>
      </c>
      <c r="T31" s="61"/>
      <c r="U31" s="61"/>
      <c r="V31" s="61"/>
      <c r="W31" s="61"/>
    </row>
    <row r="32" spans="1:23" s="15" customFormat="1" x14ac:dyDescent="0.4">
      <c r="A32"/>
      <c r="B32" s="42" t="s">
        <v>274</v>
      </c>
      <c r="C32" s="20"/>
      <c r="D32" s="48" t="str" cm="1">
        <f t="array" ref="D32:I32">_xlfn.LET(
  _xlpm.n, _xlfn.SEQUENCE(1, MTP_EndYear - MTP_PlanFirstYear + 1, MTP_PlanFirstYear - MTP_YearT),
  CHOOSE(SIGN(_xlpm.n) + 2, "T" &amp; _xlpm.n, "T", "T+" &amp; _xlpm.n)
)</f>
        <v>T-1</v>
      </c>
      <c r="E32" s="48" t="str">
        <v>T</v>
      </c>
      <c r="F32" s="48" t="str">
        <v>T+1</v>
      </c>
      <c r="G32" s="48" t="str">
        <v>T+2</v>
      </c>
      <c r="H32" s="48" t="str">
        <v>T+3</v>
      </c>
      <c r="I32" s="48" t="str">
        <v>T+4</v>
      </c>
      <c r="J32" s="48"/>
      <c r="K32" s="48"/>
      <c r="L32" s="48"/>
      <c r="M32" s="48"/>
      <c r="N32" s="48"/>
      <c r="O32" s="48"/>
      <c r="P32" s="48"/>
      <c r="Q32" s="48" t="s">
        <v>709</v>
      </c>
      <c r="R32" s="48" t="s">
        <v>709</v>
      </c>
      <c r="S32" s="48" t="s">
        <v>709</v>
      </c>
      <c r="T32" s="48" t="s">
        <v>709</v>
      </c>
      <c r="U32" s="48" t="s">
        <v>709</v>
      </c>
      <c r="V32" s="48" t="s">
        <v>709</v>
      </c>
      <c r="W32" s="48" t="s">
        <v>709</v>
      </c>
    </row>
    <row r="33" spans="1:28" x14ac:dyDescent="0.4">
      <c r="B33" s="56" t="str">
        <f>"Main budgetary variables under the planned fiscal path ("&amp;AdjustmentPeriod&amp;"-year adjustment period)"</f>
        <v>Main budgetary variables under the planned fiscal path (4-year adjustment period)</v>
      </c>
      <c r="C33" s="15"/>
      <c r="D33" s="38"/>
      <c r="E33" s="38"/>
      <c r="F33" s="38"/>
      <c r="G33" s="38"/>
      <c r="H33" s="38"/>
      <c r="I33" s="38"/>
      <c r="J33" s="38"/>
      <c r="K33" s="38"/>
      <c r="L33" s="38"/>
      <c r="M33" s="38"/>
      <c r="N33" s="38"/>
      <c r="O33" s="38"/>
      <c r="P33" s="38"/>
      <c r="Q33" s="38"/>
      <c r="R33" s="38"/>
      <c r="S33" s="38"/>
      <c r="T33" s="38"/>
      <c r="U33" s="38"/>
      <c r="V33" s="38"/>
      <c r="W33" s="38"/>
      <c r="X33" s="38"/>
      <c r="Y33" s="38"/>
    </row>
    <row r="34" spans="1:28" x14ac:dyDescent="0.4">
      <c r="B34" s="47" t="s">
        <v>311</v>
      </c>
      <c r="C34" s="15"/>
      <c r="D34" s="257"/>
      <c r="E34" s="257"/>
      <c r="F34" s="257"/>
      <c r="G34" s="257"/>
      <c r="H34" s="257"/>
      <c r="I34" s="257"/>
      <c r="J34" s="257"/>
      <c r="K34" s="257"/>
      <c r="L34" s="257"/>
      <c r="M34" s="257"/>
      <c r="N34" s="257"/>
      <c r="O34" s="257"/>
      <c r="P34" s="257"/>
      <c r="Q34" s="257"/>
      <c r="R34" s="257"/>
      <c r="S34" s="257"/>
      <c r="T34" s="257"/>
      <c r="U34" s="257"/>
      <c r="V34" s="257"/>
      <c r="W34" s="257"/>
      <c r="X34" s="38"/>
      <c r="Y34" s="38"/>
    </row>
    <row r="35" spans="1:28" x14ac:dyDescent="0.4">
      <c r="B35" s="47" t="s">
        <v>206</v>
      </c>
      <c r="C35" s="15"/>
      <c r="D35" s="257">
        <f>E184</f>
        <v>-1.6</v>
      </c>
      <c r="E35" s="257">
        <f t="shared" ref="E35:S35" si="11">F184</f>
        <v>-1</v>
      </c>
      <c r="F35" s="257">
        <f t="shared" si="11"/>
        <v>-0.6</v>
      </c>
      <c r="G35" s="257">
        <f t="shared" si="11"/>
        <v>-0.8</v>
      </c>
      <c r="H35" s="257">
        <f t="shared" si="11"/>
        <v>-1.1000000000000001</v>
      </c>
      <c r="I35" s="257">
        <f t="shared" si="11"/>
        <v>-1.2</v>
      </c>
      <c r="J35" s="257">
        <f t="shared" si="11"/>
        <v>-1.4</v>
      </c>
      <c r="K35" s="257">
        <f t="shared" si="11"/>
        <v>-1.5</v>
      </c>
      <c r="L35" s="257">
        <f t="shared" si="11"/>
        <v>-1.6</v>
      </c>
      <c r="M35" s="257">
        <f t="shared" si="11"/>
        <v>-1.7</v>
      </c>
      <c r="N35" s="257">
        <f t="shared" si="11"/>
        <v>-1.9</v>
      </c>
      <c r="O35" s="257">
        <f t="shared" si="11"/>
        <v>-2.2000000000000002</v>
      </c>
      <c r="P35" s="257">
        <f t="shared" si="11"/>
        <v>-2.4</v>
      </c>
      <c r="Q35" s="257">
        <f t="shared" si="11"/>
        <v>-2.2000000000000002</v>
      </c>
      <c r="R35" s="257">
        <f t="shared" si="11"/>
        <v>-2.4</v>
      </c>
      <c r="S35" s="257">
        <f t="shared" si="11"/>
        <v>-2.5</v>
      </c>
      <c r="T35" s="257" t="s">
        <v>709</v>
      </c>
      <c r="U35" s="257" t="s">
        <v>709</v>
      </c>
      <c r="V35" s="257" t="s">
        <v>709</v>
      </c>
      <c r="W35" s="257" t="s">
        <v>709</v>
      </c>
      <c r="X35" s="38"/>
      <c r="Y35" s="38"/>
    </row>
    <row r="36" spans="1:28" x14ac:dyDescent="0.4">
      <c r="B36" s="47" t="s">
        <v>0</v>
      </c>
      <c r="C36" s="15"/>
      <c r="D36" s="257"/>
      <c r="E36" s="257"/>
      <c r="F36" s="257"/>
      <c r="G36" s="257"/>
      <c r="H36" s="257"/>
      <c r="I36" s="257"/>
      <c r="J36" s="257"/>
      <c r="K36" s="257"/>
      <c r="L36" s="257"/>
      <c r="M36" s="257"/>
      <c r="N36" s="257"/>
      <c r="O36" s="257"/>
      <c r="P36" s="257"/>
      <c r="Q36" s="257"/>
      <c r="R36" s="257"/>
      <c r="S36" s="257"/>
      <c r="T36" s="257"/>
      <c r="U36" s="257"/>
      <c r="V36" s="257"/>
      <c r="W36" s="257"/>
      <c r="X36" s="38"/>
      <c r="Y36" s="38"/>
    </row>
    <row r="37" spans="1:28" x14ac:dyDescent="0.4">
      <c r="B37" s="47" t="s">
        <v>3</v>
      </c>
      <c r="C37" s="15"/>
      <c r="D37" s="257">
        <f>E185</f>
        <v>1.9</v>
      </c>
      <c r="E37" s="257">
        <f t="shared" ref="E37:S37" si="12">F185</f>
        <v>1.9</v>
      </c>
      <c r="F37" s="257">
        <f t="shared" si="12"/>
        <v>2</v>
      </c>
      <c r="G37" s="257">
        <f t="shared" si="12"/>
        <v>2.1</v>
      </c>
      <c r="H37" s="257">
        <f t="shared" si="12"/>
        <v>2.2000000000000002</v>
      </c>
      <c r="I37" s="257">
        <f t="shared" si="12"/>
        <v>2.2999999999999998</v>
      </c>
      <c r="J37" s="257">
        <f t="shared" si="12"/>
        <v>2.2999999999999998</v>
      </c>
      <c r="K37" s="257">
        <f t="shared" si="12"/>
        <v>2.2999999999999998</v>
      </c>
      <c r="L37" s="257">
        <f t="shared" si="12"/>
        <v>2.2999999999999998</v>
      </c>
      <c r="M37" s="257">
        <f t="shared" si="12"/>
        <v>2.2999999999999998</v>
      </c>
      <c r="N37" s="257">
        <f t="shared" si="12"/>
        <v>2.2999999999999998</v>
      </c>
      <c r="O37" s="257">
        <f t="shared" si="12"/>
        <v>2.2999999999999998</v>
      </c>
      <c r="P37" s="257">
        <f t="shared" si="12"/>
        <v>2.2999999999999998</v>
      </c>
      <c r="Q37" s="257">
        <f t="shared" si="12"/>
        <v>2.2999999999999998</v>
      </c>
      <c r="R37" s="257">
        <f t="shared" si="12"/>
        <v>2.2999999999999998</v>
      </c>
      <c r="S37" s="257">
        <f t="shared" si="12"/>
        <v>2.2999999999999998</v>
      </c>
      <c r="T37" s="257" t="s">
        <v>709</v>
      </c>
      <c r="U37" s="257" t="s">
        <v>709</v>
      </c>
      <c r="V37" s="257" t="s">
        <v>709</v>
      </c>
      <c r="W37" s="257" t="s">
        <v>709</v>
      </c>
      <c r="X37" s="38"/>
      <c r="Y37" s="38"/>
    </row>
    <row r="38" spans="1:28" s="15" customFormat="1" x14ac:dyDescent="0.4">
      <c r="A38"/>
      <c r="B38" s="47" t="s">
        <v>1</v>
      </c>
      <c r="D38" s="257">
        <f>E183</f>
        <v>161.9</v>
      </c>
      <c r="E38" s="257">
        <f t="shared" ref="E38:S38" si="13">F183</f>
        <v>153.69999999999999</v>
      </c>
      <c r="F38" s="257">
        <f t="shared" si="13"/>
        <v>149.1</v>
      </c>
      <c r="G38" s="257">
        <f t="shared" si="13"/>
        <v>143.1</v>
      </c>
      <c r="H38" s="257">
        <f t="shared" si="13"/>
        <v>138</v>
      </c>
      <c r="I38" s="257">
        <f t="shared" si="13"/>
        <v>133.4</v>
      </c>
      <c r="J38" s="257">
        <f t="shared" si="13"/>
        <v>130.1</v>
      </c>
      <c r="K38" s="257">
        <f t="shared" si="13"/>
        <v>127.1</v>
      </c>
      <c r="L38" s="257">
        <f t="shared" si="13"/>
        <v>124.3</v>
      </c>
      <c r="M38" s="257">
        <f t="shared" si="13"/>
        <v>121.7</v>
      </c>
      <c r="N38" s="257">
        <f t="shared" si="13"/>
        <v>120.6</v>
      </c>
      <c r="O38" s="257">
        <f t="shared" si="13"/>
        <v>119.6</v>
      </c>
      <c r="P38" s="257">
        <f t="shared" si="13"/>
        <v>118.4</v>
      </c>
      <c r="Q38" s="257">
        <f t="shared" si="13"/>
        <v>117.1</v>
      </c>
      <c r="R38" s="257">
        <f t="shared" si="13"/>
        <v>115.9</v>
      </c>
      <c r="S38" s="257">
        <f t="shared" si="13"/>
        <v>114.9</v>
      </c>
      <c r="T38" s="257" t="s">
        <v>709</v>
      </c>
      <c r="U38" s="257" t="s">
        <v>709</v>
      </c>
      <c r="V38" s="257" t="s">
        <v>709</v>
      </c>
      <c r="W38" s="257" t="s">
        <v>709</v>
      </c>
      <c r="X38" s="38"/>
      <c r="Y38" s="38"/>
    </row>
    <row r="39" spans="1:28" ht="20.65" customHeight="1" x14ac:dyDescent="0.4">
      <c r="B39" s="56" t="s">
        <v>315</v>
      </c>
      <c r="C39" s="15"/>
      <c r="D39" s="165"/>
      <c r="E39" s="165"/>
      <c r="F39" s="165"/>
      <c r="G39" s="165"/>
      <c r="H39" s="165"/>
      <c r="I39" s="165"/>
      <c r="J39" s="165"/>
      <c r="K39" s="165"/>
      <c r="L39" s="165"/>
      <c r="M39" s="165"/>
      <c r="N39" s="165"/>
      <c r="O39" s="165"/>
      <c r="P39" s="165"/>
      <c r="Q39" s="165"/>
      <c r="R39" s="165"/>
      <c r="S39" s="165"/>
      <c r="T39" s="165"/>
      <c r="U39" s="165"/>
      <c r="V39" s="165"/>
      <c r="W39" s="165"/>
      <c r="X39" s="38"/>
      <c r="Y39" s="38"/>
    </row>
    <row r="40" spans="1:28" s="15" customFormat="1" x14ac:dyDescent="0.4">
      <c r="A40"/>
      <c r="B40" s="47" t="s">
        <v>285</v>
      </c>
      <c r="D40" s="257">
        <f>E217</f>
        <v>161.9</v>
      </c>
      <c r="E40" s="257">
        <f t="shared" ref="E40:S40" si="14">F217</f>
        <v>153.69999999999999</v>
      </c>
      <c r="F40" s="257">
        <f t="shared" si="14"/>
        <v>148.80000000000001</v>
      </c>
      <c r="G40" s="257">
        <f t="shared" si="14"/>
        <v>142.4</v>
      </c>
      <c r="H40" s="257">
        <f t="shared" si="14"/>
        <v>137.19999999999999</v>
      </c>
      <c r="I40" s="257">
        <f t="shared" si="14"/>
        <v>132.5</v>
      </c>
      <c r="J40" s="257">
        <f t="shared" si="14"/>
        <v>128.80000000000001</v>
      </c>
      <c r="K40" s="257">
        <f t="shared" si="14"/>
        <v>125.4</v>
      </c>
      <c r="L40" s="257">
        <f t="shared" si="14"/>
        <v>122.2</v>
      </c>
      <c r="M40" s="257">
        <f t="shared" si="14"/>
        <v>119.3</v>
      </c>
      <c r="N40" s="257">
        <f t="shared" si="14"/>
        <v>117.8</v>
      </c>
      <c r="O40" s="257">
        <f t="shared" si="14"/>
        <v>116.5</v>
      </c>
      <c r="P40" s="257">
        <f t="shared" si="14"/>
        <v>114.9</v>
      </c>
      <c r="Q40" s="257">
        <f t="shared" si="14"/>
        <v>113.3</v>
      </c>
      <c r="R40" s="257">
        <f t="shared" si="14"/>
        <v>111.7</v>
      </c>
      <c r="S40" s="257">
        <f t="shared" si="14"/>
        <v>110.3</v>
      </c>
      <c r="T40" s="257" t="s">
        <v>709</v>
      </c>
      <c r="U40" s="257" t="s">
        <v>709</v>
      </c>
      <c r="V40" s="257" t="s">
        <v>709</v>
      </c>
      <c r="W40" s="257" t="s">
        <v>709</v>
      </c>
      <c r="X40" s="38"/>
      <c r="Y40" s="38"/>
    </row>
    <row r="41" spans="1:28" s="15" customFormat="1" x14ac:dyDescent="0.4">
      <c r="A41"/>
      <c r="B41" s="47" t="s">
        <v>286</v>
      </c>
      <c r="D41" s="257">
        <f t="shared" ref="D41:S41" si="15">E200</f>
        <v>161.9</v>
      </c>
      <c r="E41" s="257">
        <f t="shared" si="15"/>
        <v>153.69999999999999</v>
      </c>
      <c r="F41" s="257">
        <f t="shared" si="15"/>
        <v>149.1</v>
      </c>
      <c r="G41" s="257">
        <f t="shared" si="15"/>
        <v>143.1</v>
      </c>
      <c r="H41" s="257">
        <f t="shared" si="15"/>
        <v>138</v>
      </c>
      <c r="I41" s="257">
        <f t="shared" si="15"/>
        <v>133.4</v>
      </c>
      <c r="J41" s="257">
        <f t="shared" si="15"/>
        <v>130.5</v>
      </c>
      <c r="K41" s="257">
        <f t="shared" si="15"/>
        <v>127.7</v>
      </c>
      <c r="L41" s="257">
        <f t="shared" si="15"/>
        <v>125.2</v>
      </c>
      <c r="M41" s="257">
        <f t="shared" si="15"/>
        <v>122.7</v>
      </c>
      <c r="N41" s="257">
        <f t="shared" si="15"/>
        <v>121.8</v>
      </c>
      <c r="O41" s="257">
        <f t="shared" si="15"/>
        <v>121</v>
      </c>
      <c r="P41" s="257">
        <f t="shared" si="15"/>
        <v>119.9</v>
      </c>
      <c r="Q41" s="257">
        <f t="shared" si="15"/>
        <v>118.8</v>
      </c>
      <c r="R41" s="257">
        <f t="shared" si="15"/>
        <v>117.7</v>
      </c>
      <c r="S41" s="257">
        <f t="shared" si="15"/>
        <v>116.7</v>
      </c>
      <c r="T41" s="257" t="s">
        <v>709</v>
      </c>
      <c r="U41" s="257" t="s">
        <v>709</v>
      </c>
      <c r="V41" s="257" t="s">
        <v>709</v>
      </c>
      <c r="W41" s="257" t="s">
        <v>709</v>
      </c>
      <c r="X41" s="38"/>
      <c r="Y41" s="38"/>
    </row>
    <row r="42" spans="1:28" s="15" customFormat="1" x14ac:dyDescent="0.4">
      <c r="A42"/>
      <c r="B42" s="47" t="s">
        <v>287</v>
      </c>
      <c r="D42" s="257">
        <f t="shared" ref="D42:S42" si="16">E204</f>
        <v>161.9</v>
      </c>
      <c r="E42" s="257">
        <f t="shared" si="16"/>
        <v>153.69999999999999</v>
      </c>
      <c r="F42" s="257">
        <f t="shared" si="16"/>
        <v>149.1</v>
      </c>
      <c r="G42" s="257">
        <f t="shared" si="16"/>
        <v>143.1</v>
      </c>
      <c r="H42" s="257">
        <f t="shared" si="16"/>
        <v>138</v>
      </c>
      <c r="I42" s="257">
        <f t="shared" si="16"/>
        <v>133.4</v>
      </c>
      <c r="J42" s="257">
        <f t="shared" si="16"/>
        <v>130</v>
      </c>
      <c r="K42" s="257">
        <f t="shared" si="16"/>
        <v>127.1</v>
      </c>
      <c r="L42" s="257">
        <f t="shared" si="16"/>
        <v>124.8</v>
      </c>
      <c r="M42" s="257">
        <f t="shared" si="16"/>
        <v>122.8</v>
      </c>
      <c r="N42" s="257">
        <f t="shared" si="16"/>
        <v>122.4</v>
      </c>
      <c r="O42" s="257">
        <f t="shared" si="16"/>
        <v>121.9</v>
      </c>
      <c r="P42" s="257">
        <f t="shared" si="16"/>
        <v>121.3</v>
      </c>
      <c r="Q42" s="257">
        <f t="shared" si="16"/>
        <v>120.5</v>
      </c>
      <c r="R42" s="257">
        <f t="shared" si="16"/>
        <v>119.9</v>
      </c>
      <c r="S42" s="257">
        <f t="shared" si="16"/>
        <v>119.3</v>
      </c>
      <c r="T42" s="257" t="s">
        <v>709</v>
      </c>
      <c r="U42" s="257" t="s">
        <v>709</v>
      </c>
      <c r="V42" s="257" t="s">
        <v>709</v>
      </c>
      <c r="W42" s="257" t="s">
        <v>709</v>
      </c>
      <c r="X42" s="38"/>
      <c r="Y42" s="38"/>
    </row>
    <row r="43" spans="1:28" s="15" customFormat="1" x14ac:dyDescent="0.4">
      <c r="A43"/>
      <c r="B43" s="47" t="s">
        <v>288</v>
      </c>
      <c r="D43" s="257">
        <f t="shared" ref="D43:S43" si="17">E207</f>
        <v>161.9</v>
      </c>
      <c r="E43" s="257">
        <f t="shared" si="17"/>
        <v>153.69999999999999</v>
      </c>
      <c r="F43" s="257">
        <f t="shared" si="17"/>
        <v>149.1</v>
      </c>
      <c r="G43" s="257">
        <f t="shared" si="17"/>
        <v>143.1</v>
      </c>
      <c r="H43" s="257">
        <f t="shared" si="17"/>
        <v>138</v>
      </c>
      <c r="I43" s="257">
        <f t="shared" si="17"/>
        <v>133.4</v>
      </c>
      <c r="J43" s="257">
        <f t="shared" si="17"/>
        <v>130.80000000000001</v>
      </c>
      <c r="K43" s="257">
        <f t="shared" si="17"/>
        <v>128.5</v>
      </c>
      <c r="L43" s="257">
        <f t="shared" si="17"/>
        <v>126.6</v>
      </c>
      <c r="M43" s="257">
        <f t="shared" si="17"/>
        <v>124.7</v>
      </c>
      <c r="N43" s="257">
        <f t="shared" si="17"/>
        <v>124.5</v>
      </c>
      <c r="O43" s="257">
        <f t="shared" si="17"/>
        <v>124.4</v>
      </c>
      <c r="P43" s="257">
        <f t="shared" si="17"/>
        <v>124.1</v>
      </c>
      <c r="Q43" s="257">
        <f t="shared" si="17"/>
        <v>123.8</v>
      </c>
      <c r="R43" s="257">
        <f t="shared" si="17"/>
        <v>123.5</v>
      </c>
      <c r="S43" s="257">
        <f t="shared" si="17"/>
        <v>123.5</v>
      </c>
      <c r="T43" s="257" t="s">
        <v>709</v>
      </c>
      <c r="U43" s="257" t="s">
        <v>709</v>
      </c>
      <c r="V43" s="257" t="s">
        <v>709</v>
      </c>
      <c r="W43" s="257" t="s">
        <v>709</v>
      </c>
      <c r="X43" s="38"/>
      <c r="Y43" s="38"/>
    </row>
    <row r="44" spans="1:28" s="15" customFormat="1" ht="12.4" customHeight="1" x14ac:dyDescent="0.4">
      <c r="A44"/>
      <c r="B44" s="62" t="s">
        <v>355</v>
      </c>
      <c r="C44" s="20"/>
      <c r="D44" s="120">
        <f>E213</f>
        <v>71.8</v>
      </c>
      <c r="E44" s="165"/>
      <c r="F44" s="165"/>
      <c r="G44" s="165"/>
      <c r="H44" s="165"/>
      <c r="I44" s="165"/>
      <c r="J44" s="165"/>
      <c r="K44" s="165"/>
      <c r="L44" s="165"/>
      <c r="M44" s="165"/>
      <c r="N44" s="165"/>
      <c r="O44" s="165"/>
      <c r="P44" s="165"/>
      <c r="Q44" s="165"/>
      <c r="R44" s="165"/>
      <c r="S44" s="165"/>
      <c r="T44" s="165"/>
      <c r="U44" s="165"/>
      <c r="V44" s="165"/>
      <c r="W44" s="165"/>
      <c r="X44" s="38"/>
      <c r="Y44" s="38"/>
    </row>
    <row r="45" spans="1:28" x14ac:dyDescent="0.4">
      <c r="B45" s="56"/>
      <c r="C45" s="15"/>
      <c r="D45" s="49"/>
      <c r="E45" s="49"/>
      <c r="F45" s="49"/>
      <c r="G45" s="49"/>
      <c r="H45" s="49"/>
      <c r="I45" s="49"/>
      <c r="J45" s="49"/>
      <c r="K45" s="49"/>
      <c r="L45" s="49"/>
      <c r="M45" s="49"/>
      <c r="N45" s="49"/>
      <c r="O45" s="49"/>
      <c r="P45" s="49"/>
      <c r="Q45" s="49"/>
      <c r="R45" s="49"/>
      <c r="S45" s="49"/>
      <c r="T45" s="49"/>
      <c r="U45" s="49"/>
      <c r="V45" s="49"/>
      <c r="W45" s="49"/>
    </row>
    <row r="46" spans="1:28" ht="18" x14ac:dyDescent="0.55000000000000004">
      <c r="B46" s="51" t="str">
        <f>IF(Receives_reference_trajectory,"Prior guidance: reference trajectory and DSA","Prior guidance: technical information and DSA")</f>
        <v>Prior guidance: reference trajectory and DSA</v>
      </c>
      <c r="D46" s="49"/>
      <c r="E46" s="49"/>
      <c r="F46" s="49"/>
      <c r="G46" s="49"/>
      <c r="H46" s="49"/>
      <c r="I46" s="49"/>
    </row>
    <row r="47" spans="1:28" ht="15.75" x14ac:dyDescent="0.5">
      <c r="B47" s="80" t="s">
        <v>310</v>
      </c>
      <c r="C47" s="15"/>
      <c r="D47" s="49"/>
      <c r="E47" s="49"/>
      <c r="F47" s="49"/>
      <c r="G47" s="49"/>
      <c r="H47" s="49"/>
      <c r="I47" s="49"/>
      <c r="AA47" s="80" t="s">
        <v>923</v>
      </c>
    </row>
    <row r="48" spans="1:28" s="15" customFormat="1" x14ac:dyDescent="0.4">
      <c r="A48"/>
      <c r="B48" s="40" t="s">
        <v>251</v>
      </c>
      <c r="C48" s="95"/>
      <c r="D48" s="45" cm="1">
        <f t="array" ref="D48:S48">_xlfn.SEQUENCE(1, MTP_YearT + MTP_PlanningHorizon + 10 - MTP_PlanFirstYear + 1, MTP_PlanFirstYear)</f>
        <v>2023</v>
      </c>
      <c r="E48" s="61">
        <v>2024</v>
      </c>
      <c r="F48" s="61">
        <v>2025</v>
      </c>
      <c r="G48" s="61">
        <v>2026</v>
      </c>
      <c r="H48" s="61">
        <v>2027</v>
      </c>
      <c r="I48" s="61">
        <v>2028</v>
      </c>
      <c r="J48" s="61">
        <v>2029</v>
      </c>
      <c r="K48" s="61">
        <v>2030</v>
      </c>
      <c r="L48" s="61">
        <v>2031</v>
      </c>
      <c r="M48" s="61">
        <v>2032</v>
      </c>
      <c r="N48" s="61">
        <v>2033</v>
      </c>
      <c r="O48" s="61">
        <v>2034</v>
      </c>
      <c r="P48" s="61">
        <v>2035</v>
      </c>
      <c r="Q48" s="61">
        <v>2036</v>
      </c>
      <c r="R48" s="61">
        <v>2037</v>
      </c>
      <c r="S48" s="61">
        <v>2038</v>
      </c>
      <c r="T48" s="61"/>
      <c r="U48" s="61"/>
      <c r="V48" s="61"/>
      <c r="W48" s="61"/>
      <c r="AA48" s="15" t="s">
        <v>925</v>
      </c>
      <c r="AB48" s="18" t="s">
        <v>926</v>
      </c>
    </row>
    <row r="49" spans="1:28" s="15" customFormat="1" x14ac:dyDescent="0.4">
      <c r="A49"/>
      <c r="B49" s="42" t="s">
        <v>274</v>
      </c>
      <c r="C49" s="20"/>
      <c r="D49" s="48" t="str" cm="1">
        <f t="array" ref="D49:I49">_xlfn.LET(
  _xlpm.n, _xlfn.SEQUENCE(1, MTP_EndYear - MTP_PlanFirstYear + 1, MTP_PlanFirstYear - MTP_YearT),
  CHOOSE(SIGN(_xlpm.n) + 2, "T" &amp; _xlpm.n, "T", "T+" &amp; _xlpm.n)
)</f>
        <v>T-1</v>
      </c>
      <c r="E49" s="48" t="str">
        <v>T</v>
      </c>
      <c r="F49" s="48" t="str">
        <v>T+1</v>
      </c>
      <c r="G49" s="48" t="str">
        <v>T+2</v>
      </c>
      <c r="H49" s="48" t="str">
        <v>T+3</v>
      </c>
      <c r="I49" s="48" t="str">
        <v>T+4</v>
      </c>
      <c r="J49" s="48"/>
      <c r="K49" s="48"/>
      <c r="L49" s="48"/>
      <c r="M49" s="48"/>
      <c r="N49" s="48"/>
      <c r="O49" s="48"/>
      <c r="P49" s="48"/>
      <c r="Q49" s="48"/>
      <c r="R49" s="48"/>
      <c r="S49" s="48"/>
      <c r="T49" s="48"/>
      <c r="U49" s="48"/>
      <c r="V49" s="48"/>
      <c r="W49" s="48"/>
      <c r="AA49" s="15" t="s">
        <v>927</v>
      </c>
      <c r="AB49" s="18" t="s">
        <v>928</v>
      </c>
    </row>
    <row r="50" spans="1:28" s="15" customFormat="1" x14ac:dyDescent="0.4">
      <c r="A50"/>
      <c r="B50" s="56" t="str">
        <f>"Reference trajectory provided by the Commission"&amp;IF(NOT(Receives_reference_trajectory)," (not applicable)","")</f>
        <v>Reference trajectory provided by the Commission</v>
      </c>
      <c r="D50" s="256" t="s">
        <v>709</v>
      </c>
      <c r="E50" s="256" t="s">
        <v>709</v>
      </c>
      <c r="F50" s="256">
        <v>3</v>
      </c>
      <c r="G50" s="256">
        <v>3.2</v>
      </c>
      <c r="H50" s="256">
        <v>3.1</v>
      </c>
      <c r="I50" s="256">
        <v>3</v>
      </c>
      <c r="J50" s="256" t="s">
        <v>709</v>
      </c>
      <c r="K50" s="256" t="s">
        <v>709</v>
      </c>
      <c r="L50" s="256" t="s">
        <v>709</v>
      </c>
      <c r="M50" s="256" t="s">
        <v>709</v>
      </c>
      <c r="N50" s="256" t="s">
        <v>709</v>
      </c>
      <c r="O50" s="256" t="s">
        <v>709</v>
      </c>
      <c r="P50" s="256" t="s">
        <v>709</v>
      </c>
      <c r="Q50" s="256" t="s">
        <v>709</v>
      </c>
      <c r="R50" s="256" t="s">
        <v>709</v>
      </c>
      <c r="S50" s="256" t="s">
        <v>709</v>
      </c>
      <c r="T50" s="256" t="s">
        <v>709</v>
      </c>
      <c r="U50" s="256" t="s">
        <v>709</v>
      </c>
      <c r="V50" s="256" t="s">
        <v>709</v>
      </c>
      <c r="W50" s="256" t="s">
        <v>709</v>
      </c>
      <c r="X50" s="85"/>
      <c r="AA50" t="s">
        <v>929</v>
      </c>
      <c r="AB50" s="18">
        <v>4</v>
      </c>
    </row>
    <row r="51" spans="1:28" s="15" customFormat="1" ht="16.899999999999999" customHeight="1" x14ac:dyDescent="0.4">
      <c r="A51"/>
      <c r="B51" s="56" t="str">
        <f>"Minimum level for the structural primary balance in "&amp;AdjustmentPeriodEnd&amp;IF(Receives_reference_trajectory," (not applicable)","")&amp;", no safeguard"</f>
        <v>Minimum level for the structural primary balance in 2028 (not applicable), no safeguard</v>
      </c>
      <c r="D51" s="257" t="s">
        <v>709</v>
      </c>
      <c r="E51" s="257" t="s">
        <v>709</v>
      </c>
      <c r="F51" s="257" t="s">
        <v>709</v>
      </c>
      <c r="G51" s="257" t="s">
        <v>709</v>
      </c>
      <c r="H51" s="257" t="s">
        <v>709</v>
      </c>
      <c r="I51" s="257"/>
      <c r="J51" s="257" t="s">
        <v>709</v>
      </c>
      <c r="K51" s="257" t="s">
        <v>709</v>
      </c>
      <c r="L51" s="257" t="s">
        <v>709</v>
      </c>
      <c r="M51" s="257" t="s">
        <v>709</v>
      </c>
      <c r="N51" s="257" t="s">
        <v>709</v>
      </c>
      <c r="O51" s="257" t="s">
        <v>709</v>
      </c>
      <c r="P51" s="257" t="s">
        <v>709</v>
      </c>
      <c r="Q51" s="257" t="s">
        <v>709</v>
      </c>
      <c r="R51" s="257" t="s">
        <v>709</v>
      </c>
      <c r="S51" s="257" t="s">
        <v>709</v>
      </c>
      <c r="T51" s="257" t="s">
        <v>709</v>
      </c>
      <c r="U51" s="257" t="s">
        <v>709</v>
      </c>
      <c r="V51" s="257" t="s">
        <v>709</v>
      </c>
      <c r="W51" s="257" t="s">
        <v>709</v>
      </c>
      <c r="AA51" t="s">
        <v>938</v>
      </c>
      <c r="AB51" s="18">
        <v>22</v>
      </c>
    </row>
    <row r="52" spans="1:28" s="15" customFormat="1" x14ac:dyDescent="0.4">
      <c r="A52"/>
      <c r="B52" s="56" t="str">
        <f>"Minimum level for the structural primary balance in "&amp;AdjustmentPeriodEnd&amp;IF(Receives_reference_trajectory," (not applicable)","")&amp;", with safeguard"</f>
        <v>Minimum level for the structural primary balance in 2028 (not applicable), with safeguard</v>
      </c>
      <c r="D52" s="257" t="s">
        <v>709</v>
      </c>
      <c r="E52" s="257" t="s">
        <v>709</v>
      </c>
      <c r="F52" s="257" t="s">
        <v>709</v>
      </c>
      <c r="G52" s="257" t="s">
        <v>709</v>
      </c>
      <c r="H52" s="257" t="s">
        <v>709</v>
      </c>
      <c r="I52" s="257"/>
      <c r="J52" s="257" t="s">
        <v>709</v>
      </c>
      <c r="K52" s="257" t="s">
        <v>709</v>
      </c>
      <c r="L52" s="257" t="s">
        <v>709</v>
      </c>
      <c r="M52" s="257" t="s">
        <v>709</v>
      </c>
      <c r="N52" s="257" t="s">
        <v>709</v>
      </c>
      <c r="O52" s="257" t="s">
        <v>709</v>
      </c>
      <c r="P52" s="257" t="s">
        <v>709</v>
      </c>
      <c r="Q52" s="257" t="s">
        <v>709</v>
      </c>
      <c r="R52" s="257" t="s">
        <v>709</v>
      </c>
      <c r="S52" s="257" t="s">
        <v>709</v>
      </c>
      <c r="T52" s="257" t="s">
        <v>709</v>
      </c>
      <c r="U52" s="257" t="s">
        <v>709</v>
      </c>
      <c r="V52" s="257" t="s">
        <v>709</v>
      </c>
      <c r="W52" s="257" t="s">
        <v>709</v>
      </c>
      <c r="X52" s="85"/>
      <c r="AA52" t="s">
        <v>930</v>
      </c>
      <c r="AB52" s="18">
        <v>40</v>
      </c>
    </row>
    <row r="53" spans="1:28" ht="20.25" customHeight="1" x14ac:dyDescent="0.4">
      <c r="B53" s="82" t="str">
        <f>IF(Receives_reference_trajectory,"EC reference trajectory","EC technical information - Path to meet all requirements and safeguard.")</f>
        <v>EC reference trajectory</v>
      </c>
      <c r="C53" s="15"/>
      <c r="D53" s="38"/>
      <c r="E53" s="38"/>
      <c r="F53" s="38"/>
      <c r="G53" s="38"/>
      <c r="H53" s="38"/>
      <c r="I53" s="38"/>
      <c r="J53" s="38"/>
      <c r="K53" s="38"/>
      <c r="L53" s="38"/>
      <c r="M53" s="38"/>
      <c r="N53" s="38"/>
      <c r="O53" s="38"/>
      <c r="P53" s="38"/>
      <c r="Q53" s="38"/>
      <c r="R53" s="38"/>
      <c r="S53" s="38"/>
      <c r="T53" s="38"/>
      <c r="U53" s="38"/>
      <c r="V53" s="38"/>
      <c r="W53" s="38"/>
      <c r="AA53" t="s">
        <v>931</v>
      </c>
      <c r="AB53" s="3" t="s">
        <v>924</v>
      </c>
    </row>
    <row r="54" spans="1:28" x14ac:dyDescent="0.4">
      <c r="B54" s="56" t="str">
        <f>"Main budgetary variables ("&amp;AdjustmentPeriod&amp;"-year adjustment period)"</f>
        <v>Main budgetary variables (4-year adjustment period)</v>
      </c>
      <c r="C54" s="15"/>
      <c r="D54" s="38"/>
      <c r="E54" s="38"/>
      <c r="F54" s="38"/>
      <c r="G54" s="38"/>
      <c r="H54" s="38"/>
      <c r="I54" s="38"/>
      <c r="J54" s="38"/>
      <c r="K54" s="38"/>
      <c r="L54" s="38"/>
      <c r="M54" s="38"/>
      <c r="N54" s="38"/>
      <c r="O54" s="38"/>
      <c r="P54" s="38"/>
      <c r="Q54" s="38"/>
      <c r="R54" s="38"/>
      <c r="S54" s="38"/>
      <c r="T54" s="38"/>
      <c r="U54" s="38"/>
      <c r="V54" s="38"/>
      <c r="W54" s="38"/>
      <c r="AA54" t="s">
        <v>932</v>
      </c>
      <c r="AB54" s="3">
        <v>56</v>
      </c>
    </row>
    <row r="55" spans="1:28" x14ac:dyDescent="0.4">
      <c r="B55" s="47" t="str">
        <f>"Net expenditure growth in a plan"&amp;IF(AdjustmentPeriod=4," without extention","with extension")</f>
        <v>Net expenditure growth in a plan without extention</v>
      </c>
      <c r="C55" s="15"/>
      <c r="D55" s="257">
        <v>4.5</v>
      </c>
      <c r="E55" s="257">
        <v>1.8</v>
      </c>
      <c r="F55" s="257">
        <v>3</v>
      </c>
      <c r="G55" s="257">
        <v>3.2</v>
      </c>
      <c r="H55" s="257">
        <v>3.1</v>
      </c>
      <c r="I55" s="257">
        <v>3</v>
      </c>
      <c r="J55" s="257">
        <v>3.3</v>
      </c>
      <c r="K55" s="257">
        <v>3.3</v>
      </c>
      <c r="L55" s="257">
        <v>3.3</v>
      </c>
      <c r="M55" s="257">
        <v>3.2</v>
      </c>
      <c r="N55" s="257">
        <v>3.2</v>
      </c>
      <c r="O55" s="257">
        <v>3.2</v>
      </c>
      <c r="P55" s="257">
        <v>3.2</v>
      </c>
      <c r="Q55" s="257">
        <v>3.2</v>
      </c>
      <c r="R55" s="257">
        <v>3.3</v>
      </c>
      <c r="S55" s="257">
        <v>3.3</v>
      </c>
      <c r="T55" s="257" t="s">
        <v>709</v>
      </c>
      <c r="U55" s="257" t="s">
        <v>709</v>
      </c>
      <c r="V55" s="257" t="s">
        <v>709</v>
      </c>
      <c r="W55" s="257" t="s">
        <v>709</v>
      </c>
      <c r="AA55" t="s">
        <v>936</v>
      </c>
      <c r="AB55" s="3">
        <v>79</v>
      </c>
    </row>
    <row r="56" spans="1:28" x14ac:dyDescent="0.4">
      <c r="B56" s="47" t="s">
        <v>206</v>
      </c>
      <c r="C56" s="15"/>
      <c r="D56" s="257">
        <v>-1.6</v>
      </c>
      <c r="E56" s="257">
        <v>-1.2</v>
      </c>
      <c r="F56" s="257">
        <v>-0.3</v>
      </c>
      <c r="G56" s="257">
        <v>-0.6</v>
      </c>
      <c r="H56" s="257">
        <v>-0.9</v>
      </c>
      <c r="I56" s="257">
        <v>-1</v>
      </c>
      <c r="J56" s="257">
        <v>-1.2</v>
      </c>
      <c r="K56" s="257">
        <v>-1.2</v>
      </c>
      <c r="L56" s="257">
        <v>-1.3</v>
      </c>
      <c r="M56" s="257">
        <v>-1.4</v>
      </c>
      <c r="N56" s="257">
        <v>-1.6</v>
      </c>
      <c r="O56" s="257">
        <v>-1.8</v>
      </c>
      <c r="P56" s="257">
        <v>-2</v>
      </c>
      <c r="Q56" s="257">
        <v>-1.9</v>
      </c>
      <c r="R56" s="257">
        <v>-2</v>
      </c>
      <c r="S56" s="257">
        <v>-2.1</v>
      </c>
      <c r="T56" s="257" t="s">
        <v>709</v>
      </c>
      <c r="U56" s="257" t="s">
        <v>709</v>
      </c>
      <c r="V56" s="257" t="s">
        <v>709</v>
      </c>
      <c r="W56" s="257" t="s">
        <v>709</v>
      </c>
      <c r="AA56" t="s">
        <v>933</v>
      </c>
      <c r="AB56" s="3" t="s">
        <v>934</v>
      </c>
    </row>
    <row r="57" spans="1:28" x14ac:dyDescent="0.4">
      <c r="B57" s="47" t="s">
        <v>3</v>
      </c>
      <c r="C57" s="15"/>
      <c r="D57" s="257">
        <v>1.9</v>
      </c>
      <c r="E57" s="257">
        <v>1.7</v>
      </c>
      <c r="F57" s="257">
        <v>2.1</v>
      </c>
      <c r="G57" s="257">
        <v>2.2999999999999998</v>
      </c>
      <c r="H57" s="257">
        <v>2.4</v>
      </c>
      <c r="I57" s="257">
        <v>2.6</v>
      </c>
      <c r="J57" s="257">
        <v>2.6</v>
      </c>
      <c r="K57" s="257">
        <v>2.6</v>
      </c>
      <c r="L57" s="257">
        <v>2.6</v>
      </c>
      <c r="M57" s="257">
        <v>2.6</v>
      </c>
      <c r="N57" s="257">
        <v>2.6</v>
      </c>
      <c r="O57" s="257">
        <v>2.6</v>
      </c>
      <c r="P57" s="257">
        <v>2.6</v>
      </c>
      <c r="Q57" s="257">
        <v>2.6</v>
      </c>
      <c r="R57" s="257">
        <v>2.6</v>
      </c>
      <c r="S57" s="257">
        <v>2.6</v>
      </c>
      <c r="T57" s="257" t="s">
        <v>709</v>
      </c>
      <c r="U57" s="257" t="s">
        <v>709</v>
      </c>
      <c r="V57" s="257" t="s">
        <v>709</v>
      </c>
      <c r="W57" s="257" t="s">
        <v>709</v>
      </c>
      <c r="AA57" t="s">
        <v>935</v>
      </c>
      <c r="AB57" s="3">
        <v>21</v>
      </c>
    </row>
    <row r="58" spans="1:28" x14ac:dyDescent="0.4">
      <c r="B58" s="47" t="s">
        <v>1</v>
      </c>
      <c r="C58" s="15"/>
      <c r="D58" s="257">
        <v>161.9</v>
      </c>
      <c r="E58" s="257">
        <v>153.9</v>
      </c>
      <c r="F58" s="257">
        <v>149.69999999999999</v>
      </c>
      <c r="G58" s="257">
        <v>145.1</v>
      </c>
      <c r="H58" s="257">
        <v>140.80000000000001</v>
      </c>
      <c r="I58" s="257">
        <v>136.6</v>
      </c>
      <c r="J58" s="257">
        <v>132.4</v>
      </c>
      <c r="K58" s="257">
        <v>128.4</v>
      </c>
      <c r="L58" s="257">
        <v>124.7</v>
      </c>
      <c r="M58" s="257">
        <v>121.2</v>
      </c>
      <c r="N58" s="257">
        <v>119.1</v>
      </c>
      <c r="O58" s="257">
        <v>117.4</v>
      </c>
      <c r="P58" s="257">
        <v>115.9</v>
      </c>
      <c r="Q58" s="257">
        <v>114.3</v>
      </c>
      <c r="R58" s="257">
        <v>112.9</v>
      </c>
      <c r="S58" s="257">
        <v>111.5</v>
      </c>
      <c r="T58" s="257" t="s">
        <v>709</v>
      </c>
      <c r="U58" s="257" t="s">
        <v>709</v>
      </c>
      <c r="V58" s="257" t="s">
        <v>709</v>
      </c>
      <c r="W58" s="257" t="s">
        <v>709</v>
      </c>
    </row>
    <row r="59" spans="1:28" s="15" customFormat="1" ht="20.25" customHeight="1" x14ac:dyDescent="0.4">
      <c r="A59"/>
      <c r="B59" s="45" t="str">
        <f>"Debt sustainability assessment ("&amp;AdjustmentPeriod&amp;"-year adjustment period)"</f>
        <v>Debt sustainability assessment (4-year adjustment period)</v>
      </c>
      <c r="D59" s="166"/>
      <c r="E59" s="166"/>
      <c r="F59" s="166"/>
      <c r="G59" s="166"/>
      <c r="H59" s="166"/>
      <c r="I59" s="166"/>
      <c r="J59" s="166"/>
      <c r="K59" s="166"/>
      <c r="L59" s="166"/>
      <c r="M59" s="166"/>
      <c r="N59" s="166"/>
      <c r="O59" s="166"/>
      <c r="P59" s="166"/>
      <c r="Q59" s="166"/>
      <c r="R59" s="166"/>
      <c r="S59" s="166"/>
      <c r="T59" s="166"/>
      <c r="U59" s="166"/>
      <c r="V59" s="166"/>
      <c r="W59" s="166"/>
      <c r="X59"/>
    </row>
    <row r="60" spans="1:28" s="15" customFormat="1" x14ac:dyDescent="0.4">
      <c r="A60"/>
      <c r="B60" s="47" t="s">
        <v>285</v>
      </c>
      <c r="D60" s="77">
        <v>161.9</v>
      </c>
      <c r="E60" s="77">
        <v>153.9</v>
      </c>
      <c r="F60" s="77">
        <v>149.30000000000001</v>
      </c>
      <c r="G60" s="77">
        <v>144.6</v>
      </c>
      <c r="H60" s="77">
        <v>141</v>
      </c>
      <c r="I60" s="77">
        <v>137.1</v>
      </c>
      <c r="J60" s="77">
        <v>133.1</v>
      </c>
      <c r="K60" s="77">
        <v>129.19999999999999</v>
      </c>
      <c r="L60" s="77">
        <v>125.6</v>
      </c>
      <c r="M60" s="77">
        <v>122.2</v>
      </c>
      <c r="N60" s="77">
        <v>120.4</v>
      </c>
      <c r="O60" s="77">
        <v>118.8</v>
      </c>
      <c r="P60" s="77">
        <v>117.5</v>
      </c>
      <c r="Q60" s="77">
        <v>116.1</v>
      </c>
      <c r="R60" s="77">
        <v>114.8</v>
      </c>
      <c r="S60" s="77">
        <v>113.6</v>
      </c>
      <c r="T60" s="257" t="s">
        <v>709</v>
      </c>
      <c r="U60" s="257" t="s">
        <v>709</v>
      </c>
      <c r="V60" s="257" t="s">
        <v>709</v>
      </c>
      <c r="W60" s="257" t="s">
        <v>709</v>
      </c>
      <c r="X60"/>
    </row>
    <row r="61" spans="1:28" s="15" customFormat="1" x14ac:dyDescent="0.4">
      <c r="A61"/>
      <c r="B61" s="47" t="s">
        <v>286</v>
      </c>
      <c r="D61" s="77">
        <v>161.9</v>
      </c>
      <c r="E61" s="77">
        <v>153.9</v>
      </c>
      <c r="F61" s="77">
        <v>149.6</v>
      </c>
      <c r="G61" s="77">
        <v>145.30000000000001</v>
      </c>
      <c r="H61" s="77">
        <v>141.19999999999999</v>
      </c>
      <c r="I61" s="77">
        <v>137.30000000000001</v>
      </c>
      <c r="J61" s="77">
        <v>133.80000000000001</v>
      </c>
      <c r="K61" s="77">
        <v>130.30000000000001</v>
      </c>
      <c r="L61" s="77">
        <v>127.1</v>
      </c>
      <c r="M61" s="77">
        <v>124</v>
      </c>
      <c r="N61" s="77">
        <v>122.4</v>
      </c>
      <c r="O61" s="77">
        <v>121.1</v>
      </c>
      <c r="P61" s="77">
        <v>120</v>
      </c>
      <c r="Q61" s="77">
        <v>118.9</v>
      </c>
      <c r="R61" s="77">
        <v>117.8</v>
      </c>
      <c r="S61" s="77">
        <v>116.8</v>
      </c>
      <c r="T61" s="257" t="s">
        <v>709</v>
      </c>
      <c r="U61" s="257" t="s">
        <v>709</v>
      </c>
      <c r="V61" s="257" t="s">
        <v>709</v>
      </c>
      <c r="W61" s="257" t="s">
        <v>709</v>
      </c>
      <c r="X61"/>
    </row>
    <row r="62" spans="1:28" s="15" customFormat="1" x14ac:dyDescent="0.4">
      <c r="A62"/>
      <c r="B62" s="47" t="s">
        <v>287</v>
      </c>
      <c r="D62" s="77">
        <v>161.9</v>
      </c>
      <c r="E62" s="77">
        <v>153.9</v>
      </c>
      <c r="F62" s="77">
        <v>149.6</v>
      </c>
      <c r="G62" s="77">
        <v>145.30000000000001</v>
      </c>
      <c r="H62" s="77">
        <v>141.19999999999999</v>
      </c>
      <c r="I62" s="77">
        <v>137.30000000000001</v>
      </c>
      <c r="J62" s="77">
        <v>133.19999999999999</v>
      </c>
      <c r="K62" s="77">
        <v>129.6</v>
      </c>
      <c r="L62" s="77">
        <v>126.6</v>
      </c>
      <c r="M62" s="77">
        <v>124</v>
      </c>
      <c r="N62" s="77">
        <v>122.9</v>
      </c>
      <c r="O62" s="77">
        <v>121.9</v>
      </c>
      <c r="P62" s="77">
        <v>121.2</v>
      </c>
      <c r="Q62" s="77">
        <v>120.4</v>
      </c>
      <c r="R62" s="77">
        <v>119.7</v>
      </c>
      <c r="S62" s="77">
        <v>119.2</v>
      </c>
      <c r="T62" s="257" t="s">
        <v>709</v>
      </c>
      <c r="U62" s="257" t="s">
        <v>709</v>
      </c>
      <c r="V62" s="257" t="s">
        <v>709</v>
      </c>
      <c r="W62" s="257" t="s">
        <v>709</v>
      </c>
      <c r="X62"/>
    </row>
    <row r="63" spans="1:28" s="15" customFormat="1" x14ac:dyDescent="0.4">
      <c r="A63"/>
      <c r="B63" s="47" t="s">
        <v>288</v>
      </c>
      <c r="D63" s="77">
        <v>161.9</v>
      </c>
      <c r="E63" s="77">
        <v>153.9</v>
      </c>
      <c r="F63" s="77">
        <v>149.6</v>
      </c>
      <c r="G63" s="77">
        <v>145.30000000000001</v>
      </c>
      <c r="H63" s="77">
        <v>141.19999999999999</v>
      </c>
      <c r="I63" s="77">
        <v>137.30000000000001</v>
      </c>
      <c r="J63" s="77">
        <v>134</v>
      </c>
      <c r="K63" s="77">
        <v>131.1</v>
      </c>
      <c r="L63" s="77">
        <v>128.4</v>
      </c>
      <c r="M63" s="77">
        <v>126</v>
      </c>
      <c r="N63" s="77">
        <v>125</v>
      </c>
      <c r="O63" s="77">
        <v>124.4</v>
      </c>
      <c r="P63" s="77">
        <v>124.1</v>
      </c>
      <c r="Q63" s="77">
        <v>123.7</v>
      </c>
      <c r="R63" s="77">
        <v>123.5</v>
      </c>
      <c r="S63" s="77">
        <v>123.4</v>
      </c>
      <c r="T63" s="257" t="s">
        <v>709</v>
      </c>
      <c r="U63" s="257" t="s">
        <v>709</v>
      </c>
      <c r="V63" s="257" t="s">
        <v>709</v>
      </c>
      <c r="W63" s="257" t="s">
        <v>709</v>
      </c>
      <c r="X63"/>
    </row>
    <row r="64" spans="1:28" s="15" customFormat="1" x14ac:dyDescent="0.4">
      <c r="A64"/>
      <c r="B64" s="47" t="str">
        <f>"Stochastic debt projections, "&amp;AdjustmentPeriodEnd+1&amp;"-"&amp;StochasticLastYear</f>
        <v>Stochastic debt projections, 2029-2033</v>
      </c>
      <c r="D64" s="257"/>
      <c r="E64" s="257"/>
      <c r="F64" s="257"/>
      <c r="G64" s="257"/>
      <c r="H64" s="257"/>
      <c r="I64" s="257"/>
      <c r="J64" s="257"/>
      <c r="K64" s="257"/>
      <c r="L64" s="257"/>
      <c r="M64" s="257"/>
      <c r="N64" s="257"/>
      <c r="O64" s="257"/>
      <c r="P64" s="257"/>
      <c r="Q64" s="257"/>
      <c r="R64" s="257"/>
      <c r="S64" s="257"/>
      <c r="T64" s="257"/>
      <c r="U64" s="257"/>
      <c r="V64" s="257"/>
      <c r="W64" s="257"/>
      <c r="X64"/>
    </row>
    <row r="65" spans="1:24" s="15" customFormat="1" x14ac:dyDescent="0.4">
      <c r="A65"/>
      <c r="B65" s="83" t="s">
        <v>317</v>
      </c>
      <c r="D65" s="257" t="s">
        <v>709</v>
      </c>
      <c r="E65" s="257" t="s">
        <v>709</v>
      </c>
      <c r="F65" s="257" t="s">
        <v>709</v>
      </c>
      <c r="G65" s="257" t="s">
        <v>709</v>
      </c>
      <c r="H65" s="257" t="s">
        <v>709</v>
      </c>
      <c r="I65" s="257" t="s">
        <v>709</v>
      </c>
      <c r="J65" s="257">
        <v>122.3</v>
      </c>
      <c r="K65" s="257">
        <v>114.3</v>
      </c>
      <c r="L65" s="257">
        <v>107.6</v>
      </c>
      <c r="M65" s="257">
        <v>101.6</v>
      </c>
      <c r="N65" s="257">
        <v>98.1</v>
      </c>
      <c r="O65" s="257" t="s">
        <v>709</v>
      </c>
      <c r="P65" s="257" t="s">
        <v>709</v>
      </c>
      <c r="Q65" s="257" t="s">
        <v>709</v>
      </c>
      <c r="R65" s="257" t="s">
        <v>709</v>
      </c>
      <c r="S65" s="257" t="s">
        <v>709</v>
      </c>
      <c r="T65" s="257" t="s">
        <v>709</v>
      </c>
      <c r="U65" s="257" t="s">
        <v>709</v>
      </c>
      <c r="V65" s="257" t="s">
        <v>709</v>
      </c>
      <c r="W65" s="257" t="s">
        <v>709</v>
      </c>
      <c r="X65"/>
    </row>
    <row r="66" spans="1:24" s="15" customFormat="1" x14ac:dyDescent="0.4">
      <c r="A66"/>
      <c r="B66" s="83" t="s">
        <v>318</v>
      </c>
      <c r="D66" s="257" t="s">
        <v>709</v>
      </c>
      <c r="E66" s="257" t="s">
        <v>709</v>
      </c>
      <c r="F66" s="257" t="s">
        <v>709</v>
      </c>
      <c r="G66" s="257" t="s">
        <v>709</v>
      </c>
      <c r="H66" s="257" t="s">
        <v>709</v>
      </c>
      <c r="I66" s="257" t="s">
        <v>709</v>
      </c>
      <c r="J66" s="257">
        <v>6.4</v>
      </c>
      <c r="K66" s="257">
        <v>8.9</v>
      </c>
      <c r="L66" s="257">
        <v>11</v>
      </c>
      <c r="M66" s="257">
        <v>12.5</v>
      </c>
      <c r="N66" s="257">
        <v>13.2</v>
      </c>
      <c r="O66" s="257" t="s">
        <v>709</v>
      </c>
      <c r="P66" s="257" t="s">
        <v>709</v>
      </c>
      <c r="Q66" s="257" t="s">
        <v>709</v>
      </c>
      <c r="R66" s="257" t="s">
        <v>709</v>
      </c>
      <c r="S66" s="257" t="s">
        <v>709</v>
      </c>
      <c r="T66" s="257" t="s">
        <v>709</v>
      </c>
      <c r="U66" s="257" t="s">
        <v>709</v>
      </c>
      <c r="V66" s="257" t="s">
        <v>709</v>
      </c>
      <c r="W66" s="257" t="s">
        <v>709</v>
      </c>
      <c r="X66"/>
    </row>
    <row r="67" spans="1:24" s="15" customFormat="1" x14ac:dyDescent="0.4">
      <c r="A67"/>
      <c r="B67" s="83" t="s">
        <v>319</v>
      </c>
      <c r="D67" s="257" t="s">
        <v>709</v>
      </c>
      <c r="E67" s="257" t="s">
        <v>709</v>
      </c>
      <c r="F67" s="257" t="s">
        <v>709</v>
      </c>
      <c r="G67" s="257" t="s">
        <v>709</v>
      </c>
      <c r="H67" s="257" t="s">
        <v>709</v>
      </c>
      <c r="I67" s="257" t="s">
        <v>709</v>
      </c>
      <c r="J67" s="257">
        <v>4.5999999999999996</v>
      </c>
      <c r="K67" s="257">
        <v>6.5</v>
      </c>
      <c r="L67" s="257">
        <v>7.6</v>
      </c>
      <c r="M67" s="257">
        <v>8.8000000000000007</v>
      </c>
      <c r="N67" s="257">
        <v>9.8000000000000007</v>
      </c>
      <c r="O67" s="257" t="s">
        <v>709</v>
      </c>
      <c r="P67" s="257" t="s">
        <v>709</v>
      </c>
      <c r="Q67" s="257" t="s">
        <v>709</v>
      </c>
      <c r="R67" s="257" t="s">
        <v>709</v>
      </c>
      <c r="S67" s="257" t="s">
        <v>709</v>
      </c>
      <c r="T67" s="257" t="s">
        <v>709</v>
      </c>
      <c r="U67" s="257" t="s">
        <v>709</v>
      </c>
      <c r="V67" s="257" t="s">
        <v>709</v>
      </c>
      <c r="W67" s="257" t="s">
        <v>709</v>
      </c>
      <c r="X67"/>
    </row>
    <row r="68" spans="1:24" s="15" customFormat="1" x14ac:dyDescent="0.4">
      <c r="A68"/>
      <c r="B68" s="83" t="s">
        <v>320</v>
      </c>
      <c r="D68" s="257" t="s">
        <v>709</v>
      </c>
      <c r="E68" s="257" t="s">
        <v>709</v>
      </c>
      <c r="F68" s="257" t="s">
        <v>709</v>
      </c>
      <c r="G68" s="257" t="s">
        <v>709</v>
      </c>
      <c r="H68" s="257" t="s">
        <v>709</v>
      </c>
      <c r="I68" s="257" t="s">
        <v>709</v>
      </c>
      <c r="J68" s="257">
        <v>4.8</v>
      </c>
      <c r="K68" s="257">
        <v>6.4</v>
      </c>
      <c r="L68" s="257">
        <v>8.1</v>
      </c>
      <c r="M68" s="257">
        <v>10</v>
      </c>
      <c r="N68" s="257">
        <v>11.1</v>
      </c>
      <c r="O68" s="257" t="s">
        <v>709</v>
      </c>
      <c r="P68" s="257" t="s">
        <v>709</v>
      </c>
      <c r="Q68" s="257" t="s">
        <v>709</v>
      </c>
      <c r="R68" s="257" t="s">
        <v>709</v>
      </c>
      <c r="S68" s="257" t="s">
        <v>709</v>
      </c>
      <c r="T68" s="257" t="s">
        <v>709</v>
      </c>
      <c r="U68" s="257" t="s">
        <v>709</v>
      </c>
      <c r="V68" s="257" t="s">
        <v>709</v>
      </c>
      <c r="W68" s="257" t="s">
        <v>709</v>
      </c>
      <c r="X68"/>
    </row>
    <row r="69" spans="1:24" s="15" customFormat="1" x14ac:dyDescent="0.4">
      <c r="A69"/>
      <c r="B69" s="83" t="s">
        <v>321</v>
      </c>
      <c r="D69" s="257" t="s">
        <v>709</v>
      </c>
      <c r="E69" s="257" t="s">
        <v>709</v>
      </c>
      <c r="F69" s="257" t="s">
        <v>709</v>
      </c>
      <c r="G69" s="257" t="s">
        <v>709</v>
      </c>
      <c r="H69" s="257" t="s">
        <v>709</v>
      </c>
      <c r="I69" s="257" t="s">
        <v>709</v>
      </c>
      <c r="J69" s="257">
        <v>7.1</v>
      </c>
      <c r="K69" s="257">
        <v>10.3</v>
      </c>
      <c r="L69" s="257">
        <v>12.4</v>
      </c>
      <c r="M69" s="257">
        <v>14.2</v>
      </c>
      <c r="N69" s="257">
        <v>16</v>
      </c>
      <c r="O69" s="257" t="s">
        <v>709</v>
      </c>
      <c r="P69" s="257" t="s">
        <v>709</v>
      </c>
      <c r="Q69" s="257" t="s">
        <v>709</v>
      </c>
      <c r="R69" s="257" t="s">
        <v>709</v>
      </c>
      <c r="S69" s="257" t="s">
        <v>709</v>
      </c>
      <c r="T69" s="257" t="s">
        <v>709</v>
      </c>
      <c r="U69" s="257" t="s">
        <v>709</v>
      </c>
      <c r="V69" s="257" t="s">
        <v>709</v>
      </c>
      <c r="W69" s="257" t="s">
        <v>709</v>
      </c>
      <c r="X69"/>
    </row>
    <row r="70" spans="1:24" s="15" customFormat="1" x14ac:dyDescent="0.4">
      <c r="A70"/>
      <c r="B70" s="83" t="s">
        <v>317</v>
      </c>
      <c r="D70" s="257" t="s">
        <v>709</v>
      </c>
      <c r="E70" s="257" t="s">
        <v>709</v>
      </c>
      <c r="F70" s="257" t="s">
        <v>709</v>
      </c>
      <c r="G70" s="257" t="s">
        <v>709</v>
      </c>
      <c r="H70" s="257" t="s">
        <v>709</v>
      </c>
      <c r="I70" s="257" t="s">
        <v>709</v>
      </c>
      <c r="J70" s="257">
        <v>122.3</v>
      </c>
      <c r="K70" s="257">
        <v>114.3</v>
      </c>
      <c r="L70" s="257">
        <v>107.6</v>
      </c>
      <c r="M70" s="257">
        <v>101.6</v>
      </c>
      <c r="N70" s="257">
        <v>98.1</v>
      </c>
      <c r="O70" s="257" t="s">
        <v>709</v>
      </c>
      <c r="P70" s="257" t="s">
        <v>709</v>
      </c>
      <c r="Q70" s="257" t="s">
        <v>709</v>
      </c>
      <c r="R70" s="257" t="s">
        <v>709</v>
      </c>
      <c r="S70" s="257" t="s">
        <v>709</v>
      </c>
      <c r="T70" s="257" t="s">
        <v>709</v>
      </c>
      <c r="U70" s="257" t="s">
        <v>709</v>
      </c>
      <c r="V70" s="257" t="s">
        <v>709</v>
      </c>
      <c r="W70" s="257" t="s">
        <v>709</v>
      </c>
      <c r="X70"/>
    </row>
    <row r="71" spans="1:24" x14ac:dyDescent="0.4">
      <c r="B71" s="83" t="s">
        <v>322</v>
      </c>
      <c r="C71" s="15"/>
      <c r="D71" s="257" t="s">
        <v>709</v>
      </c>
      <c r="E71" s="257" t="s">
        <v>709</v>
      </c>
      <c r="F71" s="257" t="s">
        <v>709</v>
      </c>
      <c r="G71" s="257" t="s">
        <v>709</v>
      </c>
      <c r="H71" s="257" t="s">
        <v>709</v>
      </c>
      <c r="I71" s="257" t="s">
        <v>709</v>
      </c>
      <c r="J71" s="257">
        <v>128.69999999999999</v>
      </c>
      <c r="K71" s="257">
        <v>123.1</v>
      </c>
      <c r="L71" s="257">
        <v>118.6</v>
      </c>
      <c r="M71" s="257">
        <v>114.1</v>
      </c>
      <c r="N71" s="257">
        <v>111.3</v>
      </c>
      <c r="O71" s="257" t="s">
        <v>709</v>
      </c>
      <c r="P71" s="257" t="s">
        <v>709</v>
      </c>
      <c r="Q71" s="257" t="s">
        <v>709</v>
      </c>
      <c r="R71" s="257" t="s">
        <v>709</v>
      </c>
      <c r="S71" s="257" t="s">
        <v>709</v>
      </c>
      <c r="T71" s="257" t="s">
        <v>709</v>
      </c>
      <c r="U71" s="257" t="s">
        <v>709</v>
      </c>
      <c r="V71" s="257" t="s">
        <v>709</v>
      </c>
      <c r="W71" s="257" t="s">
        <v>709</v>
      </c>
      <c r="X71" s="71"/>
    </row>
    <row r="72" spans="1:24" x14ac:dyDescent="0.4">
      <c r="B72" s="83" t="s">
        <v>323</v>
      </c>
      <c r="C72" s="15"/>
      <c r="D72" s="257" t="s">
        <v>709</v>
      </c>
      <c r="E72" s="257" t="s">
        <v>709</v>
      </c>
      <c r="F72" s="257" t="s">
        <v>709</v>
      </c>
      <c r="G72" s="257" t="s">
        <v>709</v>
      </c>
      <c r="H72" s="257" t="s">
        <v>709</v>
      </c>
      <c r="I72" s="257" t="s">
        <v>709</v>
      </c>
      <c r="J72" s="257">
        <v>133.30000000000001</v>
      </c>
      <c r="K72" s="257">
        <v>129.6</v>
      </c>
      <c r="L72" s="257">
        <v>126.1</v>
      </c>
      <c r="M72" s="257">
        <v>122.9</v>
      </c>
      <c r="N72" s="257">
        <v>121.1</v>
      </c>
      <c r="O72" s="257" t="s">
        <v>709</v>
      </c>
      <c r="P72" s="257" t="s">
        <v>709</v>
      </c>
      <c r="Q72" s="257" t="s">
        <v>709</v>
      </c>
      <c r="R72" s="257" t="s">
        <v>709</v>
      </c>
      <c r="S72" s="257" t="s">
        <v>709</v>
      </c>
      <c r="T72" s="257" t="s">
        <v>709</v>
      </c>
      <c r="U72" s="257" t="s">
        <v>709</v>
      </c>
      <c r="V72" s="257" t="s">
        <v>709</v>
      </c>
      <c r="W72" s="257" t="s">
        <v>709</v>
      </c>
      <c r="X72" s="71"/>
    </row>
    <row r="73" spans="1:24" x14ac:dyDescent="0.4">
      <c r="B73" s="83" t="s">
        <v>324</v>
      </c>
      <c r="C73" s="15"/>
      <c r="D73" s="257" t="s">
        <v>709</v>
      </c>
      <c r="E73" s="257" t="s">
        <v>709</v>
      </c>
      <c r="F73" s="257" t="s">
        <v>709</v>
      </c>
      <c r="G73" s="257" t="s">
        <v>709</v>
      </c>
      <c r="H73" s="257" t="s">
        <v>709</v>
      </c>
      <c r="I73" s="257" t="s">
        <v>709</v>
      </c>
      <c r="J73" s="257">
        <v>138.1</v>
      </c>
      <c r="K73" s="257">
        <v>136</v>
      </c>
      <c r="L73" s="257">
        <v>134.30000000000001</v>
      </c>
      <c r="M73" s="257">
        <v>132.9</v>
      </c>
      <c r="N73" s="257">
        <v>132.19999999999999</v>
      </c>
      <c r="O73" s="257" t="s">
        <v>709</v>
      </c>
      <c r="P73" s="257" t="s">
        <v>709</v>
      </c>
      <c r="Q73" s="257" t="s">
        <v>709</v>
      </c>
      <c r="R73" s="257" t="s">
        <v>709</v>
      </c>
      <c r="S73" s="257" t="s">
        <v>709</v>
      </c>
      <c r="T73" s="257" t="s">
        <v>709</v>
      </c>
      <c r="U73" s="257" t="s">
        <v>709</v>
      </c>
      <c r="V73" s="257" t="s">
        <v>709</v>
      </c>
      <c r="W73" s="257" t="s">
        <v>709</v>
      </c>
      <c r="X73" s="71"/>
    </row>
    <row r="74" spans="1:24" x14ac:dyDescent="0.4">
      <c r="B74" s="84" t="s">
        <v>325</v>
      </c>
      <c r="C74" s="20"/>
      <c r="D74" s="257" t="s">
        <v>709</v>
      </c>
      <c r="E74" s="257" t="s">
        <v>709</v>
      </c>
      <c r="F74" s="257" t="s">
        <v>709</v>
      </c>
      <c r="G74" s="257" t="s">
        <v>709</v>
      </c>
      <c r="H74" s="257" t="s">
        <v>709</v>
      </c>
      <c r="I74" s="257" t="s">
        <v>709</v>
      </c>
      <c r="J74" s="257">
        <v>145.1</v>
      </c>
      <c r="K74" s="257">
        <v>146.30000000000001</v>
      </c>
      <c r="L74" s="257">
        <v>146.6</v>
      </c>
      <c r="M74" s="257">
        <v>147</v>
      </c>
      <c r="N74" s="257">
        <v>148.19999999999999</v>
      </c>
      <c r="O74" s="257" t="s">
        <v>709</v>
      </c>
      <c r="P74" s="257" t="s">
        <v>709</v>
      </c>
      <c r="Q74" s="257" t="s">
        <v>709</v>
      </c>
      <c r="R74" s="257" t="s">
        <v>709</v>
      </c>
      <c r="S74" s="257" t="s">
        <v>709</v>
      </c>
      <c r="T74" s="257" t="s">
        <v>709</v>
      </c>
      <c r="U74" s="257" t="s">
        <v>709</v>
      </c>
      <c r="V74" s="257" t="s">
        <v>709</v>
      </c>
      <c r="W74" s="257" t="s">
        <v>709</v>
      </c>
      <c r="X74" s="71"/>
    </row>
    <row r="80" spans="1:24" ht="23.25" x14ac:dyDescent="0.7">
      <c r="A80" s="14" t="s">
        <v>814</v>
      </c>
    </row>
    <row r="81" spans="1:10" x14ac:dyDescent="0.4">
      <c r="A81" s="237"/>
      <c r="B81" s="237"/>
      <c r="C81" s="237"/>
      <c r="D81" s="237">
        <f>MTP_BaseYear</f>
        <v>2023</v>
      </c>
      <c r="E81" s="237" cm="1">
        <f t="array" ref="E81:J81">_xlfn.SEQUENCE(1, MTP_EndYear-MTP_BaseYear+1, MTP_BaseYear)</f>
        <v>2023</v>
      </c>
      <c r="F81" s="237">
        <v>2024</v>
      </c>
      <c r="G81" s="237">
        <v>2025</v>
      </c>
      <c r="H81" s="237">
        <v>2026</v>
      </c>
      <c r="I81" s="237">
        <v>2027</v>
      </c>
      <c r="J81" s="237">
        <v>2028</v>
      </c>
    </row>
    <row r="82" spans="1:10" x14ac:dyDescent="0.4">
      <c r="A82" s="215"/>
      <c r="B82" s="215" t="s">
        <v>30</v>
      </c>
      <c r="C82" s="215" t="s">
        <v>31</v>
      </c>
      <c r="D82" s="238" t="s">
        <v>6</v>
      </c>
      <c r="E82" s="238" t="str" cm="1">
        <f t="array" ref="E82:J82">IF(ISNUMBER(_xlfn.ANCHORARRAY(E$81)),"% of GDP","")</f>
        <v>% of GDP</v>
      </c>
      <c r="F82" s="238" t="str">
        <v>% of GDP</v>
      </c>
      <c r="G82" s="238" t="str">
        <v>% of GDP</v>
      </c>
      <c r="H82" s="238" t="str">
        <v>% of GDP</v>
      </c>
      <c r="I82" s="238" t="str">
        <v>% of GDP</v>
      </c>
      <c r="J82" s="238" t="str">
        <v>% of GDP</v>
      </c>
    </row>
    <row r="83" spans="1:10" x14ac:dyDescent="0.4">
      <c r="A83" s="215">
        <v>1</v>
      </c>
      <c r="B83" s="241" t="s">
        <v>32</v>
      </c>
      <c r="C83" s="241" t="s">
        <v>72</v>
      </c>
      <c r="D83" s="4">
        <v>38.4</v>
      </c>
      <c r="E83" s="4">
        <v>17.399999999999999</v>
      </c>
      <c r="F83" s="4">
        <v>17.3</v>
      </c>
      <c r="G83" s="4"/>
      <c r="H83" s="4"/>
      <c r="I83" s="4"/>
      <c r="J83" s="4"/>
    </row>
    <row r="84" spans="1:10" x14ac:dyDescent="0.4">
      <c r="A84" s="215">
        <v>2</v>
      </c>
      <c r="B84" s="241" t="s">
        <v>33</v>
      </c>
      <c r="C84" s="241" t="s">
        <v>73</v>
      </c>
      <c r="D84" s="4">
        <v>23.3</v>
      </c>
      <c r="E84" s="4">
        <v>10.6</v>
      </c>
      <c r="F84" s="4">
        <v>10.8</v>
      </c>
      <c r="G84" s="4"/>
      <c r="H84" s="4"/>
      <c r="I84" s="4"/>
      <c r="J84" s="4"/>
    </row>
    <row r="85" spans="1:10" x14ac:dyDescent="0.4">
      <c r="A85" s="215">
        <v>3</v>
      </c>
      <c r="B85" s="241" t="s">
        <v>34</v>
      </c>
      <c r="C85" s="241" t="s">
        <v>74</v>
      </c>
      <c r="D85" s="4">
        <v>29.2</v>
      </c>
      <c r="E85" s="4">
        <v>13.3</v>
      </c>
      <c r="F85" s="4">
        <v>13.3</v>
      </c>
      <c r="G85" s="4"/>
      <c r="H85" s="4"/>
      <c r="I85" s="4"/>
      <c r="J85" s="4"/>
    </row>
    <row r="86" spans="1:10" x14ac:dyDescent="0.4">
      <c r="A86" s="215">
        <v>4</v>
      </c>
      <c r="B86" s="241" t="s">
        <v>36</v>
      </c>
      <c r="C86" s="241" t="s">
        <v>75</v>
      </c>
      <c r="D86" s="4">
        <v>11.6</v>
      </c>
      <c r="E86" s="4">
        <v>5.3</v>
      </c>
      <c r="F86" s="4">
        <v>5.0999999999999996</v>
      </c>
      <c r="G86" s="4"/>
      <c r="H86" s="4"/>
      <c r="I86" s="4"/>
      <c r="J86" s="4"/>
    </row>
    <row r="87" spans="1:10" x14ac:dyDescent="0.4">
      <c r="A87" s="215">
        <v>5</v>
      </c>
      <c r="B87" s="241" t="s">
        <v>37</v>
      </c>
      <c r="C87" s="241" t="s">
        <v>76</v>
      </c>
      <c r="D87" s="4">
        <v>0.3</v>
      </c>
      <c r="E87" s="4">
        <v>0.1</v>
      </c>
      <c r="F87" s="4">
        <v>0.1</v>
      </c>
      <c r="G87" s="4"/>
      <c r="H87" s="4"/>
      <c r="I87" s="4"/>
      <c r="J87" s="4"/>
    </row>
    <row r="88" spans="1:10" x14ac:dyDescent="0.4">
      <c r="A88" s="215">
        <v>6</v>
      </c>
      <c r="B88" s="241" t="s">
        <v>38</v>
      </c>
      <c r="C88" s="241" t="s">
        <v>77</v>
      </c>
      <c r="D88" s="4">
        <v>5.0999999999999996</v>
      </c>
      <c r="E88" s="4">
        <v>2.2999999999999998</v>
      </c>
      <c r="F88" s="4">
        <v>2.6</v>
      </c>
      <c r="G88" s="4"/>
      <c r="H88" s="4"/>
      <c r="I88" s="4"/>
      <c r="J88" s="4"/>
    </row>
    <row r="89" spans="1:10" x14ac:dyDescent="0.4">
      <c r="A89" s="215">
        <v>7</v>
      </c>
      <c r="B89" s="241" t="s">
        <v>39</v>
      </c>
      <c r="C89" s="241" t="s">
        <v>78</v>
      </c>
      <c r="D89" s="241">
        <v>107.8</v>
      </c>
      <c r="E89" s="241">
        <v>48.9</v>
      </c>
      <c r="F89" s="241">
        <v>49.3</v>
      </c>
      <c r="G89" s="241"/>
      <c r="H89" s="241"/>
      <c r="I89" s="241"/>
      <c r="J89" s="241"/>
    </row>
    <row r="90" spans="1:10" x14ac:dyDescent="0.4">
      <c r="A90" s="215">
        <v>8</v>
      </c>
      <c r="B90" s="241" t="s">
        <v>40</v>
      </c>
      <c r="C90" s="241" t="s">
        <v>79</v>
      </c>
      <c r="D90" s="4">
        <v>5.4</v>
      </c>
      <c r="E90" s="4">
        <v>2.5</v>
      </c>
      <c r="F90" s="4">
        <v>3</v>
      </c>
      <c r="G90" s="4"/>
      <c r="H90" s="4"/>
      <c r="I90" s="4"/>
      <c r="J90" s="4"/>
    </row>
    <row r="91" spans="1:10" x14ac:dyDescent="0.4">
      <c r="A91" s="215">
        <v>9</v>
      </c>
      <c r="B91" s="241" t="s">
        <v>41</v>
      </c>
      <c r="C91" s="241"/>
      <c r="D91" s="241">
        <v>102.4</v>
      </c>
      <c r="E91" s="241">
        <v>46.5</v>
      </c>
      <c r="F91" s="241">
        <v>46.3</v>
      </c>
      <c r="G91" s="241"/>
      <c r="H91" s="241"/>
      <c r="I91" s="241"/>
      <c r="J91" s="241"/>
    </row>
    <row r="92" spans="1:10" x14ac:dyDescent="0.4">
      <c r="A92" s="215">
        <v>10</v>
      </c>
      <c r="B92" s="241" t="s">
        <v>42</v>
      </c>
      <c r="C92" s="241"/>
      <c r="D92" s="4">
        <v>-4.3</v>
      </c>
      <c r="E92" s="4">
        <v>-2</v>
      </c>
      <c r="F92" s="4">
        <v>0.4</v>
      </c>
      <c r="G92" s="4"/>
      <c r="H92" s="4"/>
      <c r="I92" s="4"/>
      <c r="J92" s="4"/>
    </row>
    <row r="93" spans="1:10" x14ac:dyDescent="0.4">
      <c r="A93" s="215">
        <v>11</v>
      </c>
      <c r="B93" s="241" t="s">
        <v>43</v>
      </c>
      <c r="C93" s="241"/>
      <c r="D93" s="4">
        <v>0</v>
      </c>
      <c r="E93" s="4">
        <v>0</v>
      </c>
      <c r="F93" s="4">
        <v>0</v>
      </c>
      <c r="G93" s="4"/>
      <c r="H93" s="4"/>
      <c r="I93" s="4"/>
      <c r="J93" s="4"/>
    </row>
    <row r="94" spans="1:10" x14ac:dyDescent="0.4">
      <c r="A94" s="215"/>
      <c r="B94" s="215" t="s">
        <v>29</v>
      </c>
      <c r="C94" s="215" t="s">
        <v>31</v>
      </c>
      <c r="D94" s="239" t="s">
        <v>6</v>
      </c>
      <c r="E94" s="239" t="str" cm="1">
        <f t="array" ref="E94:J94">IF(ISNUMBER(_xlfn.ANCHORARRAY(E$81)),"% of GDP","")</f>
        <v>% of GDP</v>
      </c>
      <c r="F94" s="239" t="str">
        <v>% of GDP</v>
      </c>
      <c r="G94" s="239" t="str">
        <v>% of GDP</v>
      </c>
      <c r="H94" s="239" t="str">
        <v>% of GDP</v>
      </c>
      <c r="I94" s="239" t="str">
        <v>% of GDP</v>
      </c>
      <c r="J94" s="239" t="str">
        <v>% of GDP</v>
      </c>
    </row>
    <row r="95" spans="1:10" x14ac:dyDescent="0.4">
      <c r="A95" s="215">
        <v>12</v>
      </c>
      <c r="B95" s="228" t="s">
        <v>44</v>
      </c>
      <c r="C95" s="228" t="s">
        <v>5</v>
      </c>
      <c r="D95" s="4">
        <v>23.5</v>
      </c>
      <c r="E95" s="4">
        <v>10.7</v>
      </c>
      <c r="F95" s="4">
        <v>10.7</v>
      </c>
      <c r="G95" s="4"/>
      <c r="H95" s="4"/>
      <c r="I95" s="4"/>
      <c r="J95" s="4"/>
    </row>
    <row r="96" spans="1:10" x14ac:dyDescent="0.4">
      <c r="A96" s="215">
        <v>13</v>
      </c>
      <c r="B96" s="228" t="s">
        <v>45</v>
      </c>
      <c r="C96" s="228" t="s">
        <v>80</v>
      </c>
      <c r="D96" s="4">
        <v>12</v>
      </c>
      <c r="E96" s="4">
        <v>5.5</v>
      </c>
      <c r="F96" s="4">
        <v>5.6</v>
      </c>
      <c r="G96" s="4"/>
      <c r="H96" s="4"/>
      <c r="I96" s="4"/>
      <c r="J96" s="4"/>
    </row>
    <row r="97" spans="1:10" x14ac:dyDescent="0.4">
      <c r="A97" s="215">
        <v>14</v>
      </c>
      <c r="B97" s="228" t="s">
        <v>46</v>
      </c>
      <c r="C97" s="228" t="s">
        <v>28</v>
      </c>
      <c r="D97" s="4">
        <v>7.6</v>
      </c>
      <c r="E97" s="4">
        <v>3.5</v>
      </c>
      <c r="F97" s="4">
        <v>3.4</v>
      </c>
      <c r="G97" s="4">
        <v>3.2</v>
      </c>
      <c r="H97" s="4">
        <v>3.3</v>
      </c>
      <c r="I97" s="4">
        <v>3.5</v>
      </c>
      <c r="J97" s="4">
        <v>3.6</v>
      </c>
    </row>
    <row r="98" spans="1:10" x14ac:dyDescent="0.4">
      <c r="A98" s="215">
        <v>15</v>
      </c>
      <c r="B98" s="228" t="s">
        <v>47</v>
      </c>
      <c r="C98" s="228" t="s">
        <v>81</v>
      </c>
      <c r="D98" s="4">
        <v>38.799999999999997</v>
      </c>
      <c r="E98" s="4">
        <v>17.600000000000001</v>
      </c>
      <c r="F98" s="4">
        <v>17.7</v>
      </c>
      <c r="G98" s="4"/>
      <c r="H98" s="4"/>
      <c r="I98" s="4"/>
      <c r="J98" s="4"/>
    </row>
    <row r="99" spans="1:10" x14ac:dyDescent="0.4">
      <c r="A99" s="215">
        <v>16</v>
      </c>
      <c r="B99" s="228" t="s">
        <v>48</v>
      </c>
      <c r="C99" s="228" t="s">
        <v>82</v>
      </c>
      <c r="D99" s="4">
        <v>7.1</v>
      </c>
      <c r="E99" s="4">
        <v>3.2</v>
      </c>
      <c r="F99" s="4">
        <v>2.5</v>
      </c>
      <c r="G99" s="4"/>
      <c r="H99" s="4"/>
      <c r="I99" s="4"/>
      <c r="J99" s="4"/>
    </row>
    <row r="100" spans="1:10" x14ac:dyDescent="0.4">
      <c r="A100" s="215">
        <v>17</v>
      </c>
      <c r="B100" s="228" t="s">
        <v>49</v>
      </c>
      <c r="C100" s="228" t="s">
        <v>83</v>
      </c>
      <c r="D100" s="4">
        <v>4</v>
      </c>
      <c r="E100" s="4">
        <v>1.8</v>
      </c>
      <c r="F100" s="4">
        <v>1.7</v>
      </c>
      <c r="G100" s="4"/>
      <c r="H100" s="4"/>
      <c r="I100" s="4"/>
      <c r="J100" s="4"/>
    </row>
    <row r="101" spans="1:10" x14ac:dyDescent="0.4">
      <c r="A101" s="215">
        <v>18</v>
      </c>
      <c r="B101" s="228" t="s">
        <v>50</v>
      </c>
      <c r="C101" s="228" t="s">
        <v>84</v>
      </c>
      <c r="D101" s="4">
        <v>3.3</v>
      </c>
      <c r="E101" s="4">
        <v>1.5</v>
      </c>
      <c r="F101" s="4">
        <v>1.5</v>
      </c>
      <c r="G101" s="4"/>
      <c r="H101" s="4"/>
      <c r="I101" s="4"/>
      <c r="J101" s="4"/>
    </row>
    <row r="102" spans="1:10" x14ac:dyDescent="0.4">
      <c r="A102" s="215">
        <v>19</v>
      </c>
      <c r="B102" s="228" t="s">
        <v>10</v>
      </c>
      <c r="C102" s="228" t="s">
        <v>4</v>
      </c>
      <c r="D102" s="4">
        <v>8.6</v>
      </c>
      <c r="E102" s="4">
        <v>3.9</v>
      </c>
      <c r="F102" s="4">
        <v>5.7</v>
      </c>
      <c r="G102" s="4"/>
      <c r="H102" s="4"/>
      <c r="I102" s="4"/>
      <c r="J102" s="4"/>
    </row>
    <row r="103" spans="1:10" x14ac:dyDescent="0.4">
      <c r="A103" s="215">
        <v>20</v>
      </c>
      <c r="B103" s="228" t="s">
        <v>51</v>
      </c>
      <c r="C103" s="228"/>
      <c r="D103" s="4">
        <v>5.2</v>
      </c>
      <c r="E103" s="4">
        <v>2.4</v>
      </c>
      <c r="F103" s="4">
        <v>3.8</v>
      </c>
      <c r="G103" s="4">
        <v>3.7</v>
      </c>
      <c r="H103" s="4">
        <v>3.6</v>
      </c>
      <c r="I103" s="4">
        <v>3.5</v>
      </c>
      <c r="J103" s="4">
        <v>3.5</v>
      </c>
    </row>
    <row r="104" spans="1:10" x14ac:dyDescent="0.4">
      <c r="A104" s="215">
        <v>21</v>
      </c>
      <c r="B104" s="228" t="s">
        <v>52</v>
      </c>
      <c r="C104" s="228" t="s">
        <v>85</v>
      </c>
      <c r="D104" s="4">
        <v>6.3</v>
      </c>
      <c r="E104" s="4">
        <v>2.9</v>
      </c>
      <c r="F104" s="4">
        <v>1.5</v>
      </c>
      <c r="G104" s="4"/>
      <c r="H104" s="4"/>
      <c r="I104" s="4"/>
      <c r="J104" s="4"/>
    </row>
    <row r="105" spans="1:10" x14ac:dyDescent="0.4">
      <c r="A105" s="215">
        <v>22</v>
      </c>
      <c r="B105" s="228" t="s">
        <v>53</v>
      </c>
      <c r="C105" s="228" t="s">
        <v>86</v>
      </c>
      <c r="D105" s="4">
        <v>0.1</v>
      </c>
      <c r="E105" s="4">
        <v>0</v>
      </c>
      <c r="F105" s="4">
        <v>0</v>
      </c>
      <c r="G105" s="4"/>
      <c r="H105" s="4"/>
      <c r="I105" s="4"/>
      <c r="J105" s="4"/>
    </row>
    <row r="106" spans="1:10" x14ac:dyDescent="0.4">
      <c r="A106" s="215">
        <v>23</v>
      </c>
      <c r="B106" s="228" t="s">
        <v>54</v>
      </c>
      <c r="C106" s="228" t="s">
        <v>87</v>
      </c>
      <c r="D106" s="241">
        <v>111.3</v>
      </c>
      <c r="E106" s="241">
        <v>50.5</v>
      </c>
      <c r="F106" s="241">
        <v>50.3</v>
      </c>
      <c r="G106" s="241"/>
      <c r="H106" s="241"/>
      <c r="I106" s="241"/>
      <c r="J106" s="241"/>
    </row>
    <row r="107" spans="1:10" x14ac:dyDescent="0.4">
      <c r="A107" s="215">
        <v>24</v>
      </c>
      <c r="B107" s="228" t="s">
        <v>55</v>
      </c>
      <c r="C107" s="228" t="s">
        <v>79</v>
      </c>
      <c r="D107" s="4">
        <v>5.4</v>
      </c>
      <c r="E107" s="4">
        <v>2.5</v>
      </c>
      <c r="F107" s="4">
        <v>3</v>
      </c>
      <c r="G107" s="4"/>
      <c r="H107" s="4"/>
      <c r="I107" s="4"/>
      <c r="J107" s="4"/>
    </row>
    <row r="108" spans="1:10" x14ac:dyDescent="0.4">
      <c r="A108" s="215">
        <v>25</v>
      </c>
      <c r="B108" s="228" t="s">
        <v>56</v>
      </c>
      <c r="C108" s="228"/>
      <c r="D108" s="241">
        <v>105.9</v>
      </c>
      <c r="E108" s="241">
        <v>48.1</v>
      </c>
      <c r="F108" s="241">
        <v>47.3</v>
      </c>
      <c r="G108" s="241"/>
      <c r="H108" s="241"/>
      <c r="I108" s="241"/>
      <c r="J108" s="241"/>
    </row>
    <row r="109" spans="1:10" x14ac:dyDescent="0.4">
      <c r="A109" s="215">
        <v>26</v>
      </c>
      <c r="B109" s="228" t="s">
        <v>763</v>
      </c>
      <c r="C109" s="228"/>
      <c r="D109" s="4">
        <v>0.8</v>
      </c>
      <c r="E109" s="4">
        <v>0.4</v>
      </c>
      <c r="F109" s="4">
        <v>0.3</v>
      </c>
      <c r="G109" s="4"/>
      <c r="H109" s="4"/>
      <c r="I109" s="4"/>
      <c r="J109" s="4"/>
    </row>
    <row r="110" spans="1:10" x14ac:dyDescent="0.4">
      <c r="A110" s="215">
        <v>27</v>
      </c>
      <c r="B110" s="228" t="s">
        <v>57</v>
      </c>
      <c r="C110" s="228"/>
      <c r="D110" s="4">
        <v>0.2</v>
      </c>
      <c r="E110" s="4">
        <v>0.1</v>
      </c>
      <c r="F110" s="4">
        <v>0.1</v>
      </c>
      <c r="G110" s="4"/>
      <c r="H110" s="4"/>
      <c r="I110" s="4"/>
      <c r="J110" s="4"/>
    </row>
    <row r="111" spans="1:10" x14ac:dyDescent="0.4">
      <c r="A111" s="215">
        <v>28</v>
      </c>
      <c r="B111" s="228" t="s">
        <v>58</v>
      </c>
      <c r="C111" s="228"/>
      <c r="D111" s="4">
        <v>0.5</v>
      </c>
      <c r="E111" s="4">
        <v>0.2</v>
      </c>
      <c r="F111" s="4">
        <v>0.2</v>
      </c>
      <c r="G111" s="4"/>
      <c r="H111" s="4"/>
      <c r="I111" s="4"/>
      <c r="J111" s="4"/>
    </row>
    <row r="112" spans="1:10" x14ac:dyDescent="0.4">
      <c r="A112" s="215">
        <v>29</v>
      </c>
      <c r="B112" s="228" t="s">
        <v>59</v>
      </c>
      <c r="C112" s="228"/>
      <c r="D112" s="241">
        <v>96.8</v>
      </c>
      <c r="E112" s="241">
        <v>44</v>
      </c>
      <c r="F112" s="241">
        <v>43.3</v>
      </c>
      <c r="G112" s="241"/>
      <c r="H112" s="241"/>
      <c r="I112" s="241"/>
      <c r="J112" s="241"/>
    </row>
    <row r="113" spans="1:10" x14ac:dyDescent="0.4">
      <c r="A113" s="215"/>
      <c r="B113" s="215" t="s">
        <v>35</v>
      </c>
      <c r="C113" s="215"/>
      <c r="D113" s="240"/>
      <c r="E113" s="240" t="str" cm="1">
        <f t="array" ref="E113:J113">IF(ISNUMBER(_xlfn.ANCHORARRAY(E$81)),"growth rate","")</f>
        <v>growth rate</v>
      </c>
      <c r="F113" s="240" t="str">
        <v>growth rate</v>
      </c>
      <c r="G113" s="240" t="str">
        <v>growth rate</v>
      </c>
      <c r="H113" s="240" t="str">
        <v>growth rate</v>
      </c>
      <c r="I113" s="240" t="str">
        <v>growth rate</v>
      </c>
      <c r="J113" s="240" t="str">
        <v>growth rate</v>
      </c>
    </row>
    <row r="114" spans="1:10" ht="14.25" x14ac:dyDescent="0.45">
      <c r="A114" s="215">
        <v>30</v>
      </c>
      <c r="B114" s="228" t="s">
        <v>838</v>
      </c>
      <c r="C114" s="228" t="s">
        <v>764</v>
      </c>
      <c r="D114" s="247"/>
      <c r="E114" s="4"/>
      <c r="F114" s="4">
        <v>2.6</v>
      </c>
      <c r="G114" s="4">
        <v>3.6999999999999997</v>
      </c>
      <c r="H114" s="4">
        <v>3.6000000000000005</v>
      </c>
      <c r="I114" s="4">
        <v>3.1</v>
      </c>
      <c r="J114" s="4">
        <v>3</v>
      </c>
    </row>
    <row r="115" spans="1:10" x14ac:dyDescent="0.4">
      <c r="A115" s="215"/>
      <c r="B115" s="215" t="s">
        <v>60</v>
      </c>
      <c r="C115" s="215"/>
      <c r="D115" s="240" t="s">
        <v>6</v>
      </c>
      <c r="E115" s="240" t="str" cm="1">
        <f t="array" ref="E115:J115">IF(ISNUMBER(_xlfn.ANCHORARRAY(E$81)),"% of GDP","")</f>
        <v>% of GDP</v>
      </c>
      <c r="F115" s="240" t="str">
        <v>% of GDP</v>
      </c>
      <c r="G115" s="240" t="str">
        <v>% of GDP</v>
      </c>
      <c r="H115" s="240" t="str">
        <v>% of GDP</v>
      </c>
      <c r="I115" s="240" t="str">
        <v>% of GDP</v>
      </c>
      <c r="J115" s="240" t="str">
        <v>% of GDP</v>
      </c>
    </row>
    <row r="116" spans="1:10" x14ac:dyDescent="0.4">
      <c r="A116" s="215">
        <v>31</v>
      </c>
      <c r="B116" s="228" t="s">
        <v>61</v>
      </c>
      <c r="C116" s="228" t="s">
        <v>27</v>
      </c>
      <c r="D116" s="4">
        <v>-3.5</v>
      </c>
      <c r="E116" s="4">
        <v>-1.6</v>
      </c>
      <c r="F116" s="4">
        <v>-1</v>
      </c>
      <c r="G116" s="4">
        <v>-0.6</v>
      </c>
      <c r="H116" s="4">
        <v>-0.8</v>
      </c>
      <c r="I116" s="4">
        <v>-1.1000000000000001</v>
      </c>
      <c r="J116" s="4">
        <v>-1.2</v>
      </c>
    </row>
    <row r="117" spans="1:10" x14ac:dyDescent="0.4">
      <c r="A117" s="215">
        <v>32</v>
      </c>
      <c r="B117" s="228" t="s">
        <v>62</v>
      </c>
      <c r="C117" s="228" t="s">
        <v>88</v>
      </c>
      <c r="D117" s="4">
        <v>4.0999999999999996</v>
      </c>
      <c r="E117" s="4">
        <v>1.9</v>
      </c>
      <c r="F117" s="4">
        <v>2.4</v>
      </c>
      <c r="G117" s="4">
        <v>2.5</v>
      </c>
      <c r="H117" s="4">
        <v>2.4</v>
      </c>
      <c r="I117" s="4">
        <v>2.4</v>
      </c>
      <c r="J117" s="4">
        <v>2.4</v>
      </c>
    </row>
    <row r="118" spans="1:10" x14ac:dyDescent="0.4">
      <c r="A118" s="215"/>
      <c r="B118" s="215" t="s">
        <v>63</v>
      </c>
      <c r="C118" s="215"/>
      <c r="D118" s="240"/>
      <c r="E118" s="240" t="str" cm="1">
        <f t="array" ref="E118:J118">IF(ISNUMBER(_xlfn.ANCHORARRAY(E$81)),"% of GDP","")</f>
        <v>% of GDP</v>
      </c>
      <c r="F118" s="240" t="str">
        <v>% of GDP</v>
      </c>
      <c r="G118" s="240" t="str">
        <v>% of GDP</v>
      </c>
      <c r="H118" s="240" t="str">
        <v>% of GDP</v>
      </c>
      <c r="I118" s="240" t="str">
        <v>% of GDP</v>
      </c>
      <c r="J118" s="240" t="str">
        <v>% of GDP</v>
      </c>
    </row>
    <row r="119" spans="1:10" ht="14.25" x14ac:dyDescent="0.45">
      <c r="A119" s="215">
        <v>33</v>
      </c>
      <c r="B119" s="242" t="s">
        <v>0</v>
      </c>
      <c r="C119" s="242"/>
      <c r="D119" s="247"/>
      <c r="E119" s="4">
        <v>-1.5</v>
      </c>
      <c r="F119" s="4">
        <v>-1.5</v>
      </c>
      <c r="G119" s="4">
        <v>-1.1000000000000001</v>
      </c>
      <c r="H119" s="4">
        <v>-1.1000000000000001</v>
      </c>
      <c r="I119" s="4">
        <v>-1.2</v>
      </c>
      <c r="J119" s="4">
        <v>-1.3</v>
      </c>
    </row>
    <row r="120" spans="1:10" ht="14.25" x14ac:dyDescent="0.45">
      <c r="A120" s="215">
        <v>34</v>
      </c>
      <c r="B120" s="242" t="s">
        <v>3</v>
      </c>
      <c r="C120" s="242"/>
      <c r="D120" s="247"/>
      <c r="E120" s="4">
        <v>1.9</v>
      </c>
      <c r="F120" s="4">
        <v>1.9</v>
      </c>
      <c r="G120" s="4">
        <v>2</v>
      </c>
      <c r="H120" s="4">
        <v>2.1</v>
      </c>
      <c r="I120" s="4">
        <v>2.2000000000000002</v>
      </c>
      <c r="J120" s="4">
        <v>2.2999999999999998</v>
      </c>
    </row>
    <row r="121" spans="1:10" x14ac:dyDescent="0.4">
      <c r="A121" s="215"/>
      <c r="B121" s="215" t="s">
        <v>20</v>
      </c>
      <c r="C121" s="215"/>
      <c r="D121" s="240" t="s">
        <v>6</v>
      </c>
      <c r="E121" s="240" t="s">
        <v>614</v>
      </c>
      <c r="F121" s="240" t="s">
        <v>614</v>
      </c>
      <c r="G121" s="240" t="s">
        <v>614</v>
      </c>
      <c r="H121" s="240"/>
      <c r="I121" s="240"/>
      <c r="J121" s="240"/>
    </row>
    <row r="122" spans="1:10" x14ac:dyDescent="0.4">
      <c r="A122" s="215">
        <v>35</v>
      </c>
      <c r="B122" s="228" t="s">
        <v>1</v>
      </c>
      <c r="C122" s="228"/>
      <c r="D122" s="4">
        <v>356.7</v>
      </c>
      <c r="E122" s="4">
        <v>161.9</v>
      </c>
      <c r="F122" s="4">
        <v>153.69999999999999</v>
      </c>
      <c r="G122" s="4">
        <v>149.1</v>
      </c>
      <c r="H122" s="4">
        <v>143.1</v>
      </c>
      <c r="I122" s="4">
        <v>138</v>
      </c>
      <c r="J122" s="4">
        <v>133.4</v>
      </c>
    </row>
    <row r="123" spans="1:10" x14ac:dyDescent="0.4">
      <c r="A123" s="215">
        <v>36</v>
      </c>
      <c r="B123" s="228" t="s">
        <v>2</v>
      </c>
      <c r="C123" s="228"/>
      <c r="D123" s="4">
        <v>-0.1</v>
      </c>
      <c r="E123" s="4">
        <v>-10.8</v>
      </c>
      <c r="F123" s="4">
        <v>-8.1999999999999993</v>
      </c>
      <c r="G123" s="4">
        <v>-4.5999999999999996</v>
      </c>
      <c r="H123" s="4">
        <v>-6.1</v>
      </c>
      <c r="I123" s="4">
        <v>-5</v>
      </c>
      <c r="J123" s="4">
        <v>-4.7</v>
      </c>
    </row>
    <row r="124" spans="1:10" x14ac:dyDescent="0.4">
      <c r="A124" s="215">
        <v>37</v>
      </c>
      <c r="B124" s="228" t="s">
        <v>64</v>
      </c>
      <c r="C124" s="228"/>
      <c r="D124" s="245"/>
      <c r="E124" s="245"/>
      <c r="F124" s="245"/>
      <c r="G124" s="245"/>
      <c r="H124" s="241"/>
      <c r="I124" s="241"/>
      <c r="J124" s="241"/>
    </row>
    <row r="125" spans="1:10" ht="14.25" x14ac:dyDescent="0.45">
      <c r="A125" s="215">
        <v>38</v>
      </c>
      <c r="B125" s="243" t="s">
        <v>765</v>
      </c>
      <c r="C125" s="228"/>
      <c r="D125" s="247"/>
      <c r="E125" s="4">
        <v>-1.9</v>
      </c>
      <c r="F125" s="4">
        <v>-2.4</v>
      </c>
      <c r="G125" s="4">
        <v>-2.5</v>
      </c>
      <c r="H125" s="4">
        <v>-2.4</v>
      </c>
      <c r="I125" s="4">
        <v>-2.4</v>
      </c>
      <c r="J125" s="4">
        <v>-2.4</v>
      </c>
    </row>
    <row r="126" spans="1:10" ht="14.25" x14ac:dyDescent="0.45">
      <c r="A126" s="215">
        <v>39</v>
      </c>
      <c r="B126" s="243" t="s">
        <v>766</v>
      </c>
      <c r="C126" s="228"/>
      <c r="D126" s="247"/>
      <c r="E126" s="4">
        <v>-7.3</v>
      </c>
      <c r="F126" s="4">
        <v>-4.7</v>
      </c>
      <c r="G126" s="4">
        <v>-3.5</v>
      </c>
      <c r="H126" s="4">
        <v>-2.8</v>
      </c>
      <c r="I126" s="4">
        <v>-1.7</v>
      </c>
      <c r="J126" s="4">
        <v>-1.3</v>
      </c>
    </row>
    <row r="127" spans="1:10" ht="14.25" x14ac:dyDescent="0.45">
      <c r="A127" s="215">
        <v>40</v>
      </c>
      <c r="B127" s="244" t="s">
        <v>767</v>
      </c>
      <c r="C127" s="228"/>
      <c r="D127" s="247"/>
      <c r="E127" s="4">
        <v>3.5</v>
      </c>
      <c r="F127" s="4">
        <v>3.4</v>
      </c>
      <c r="G127" s="4">
        <v>3.2</v>
      </c>
      <c r="H127" s="4">
        <v>3.3</v>
      </c>
      <c r="I127" s="4">
        <v>3.5</v>
      </c>
      <c r="J127" s="4">
        <v>3.6</v>
      </c>
    </row>
    <row r="128" spans="1:10" ht="14.25" x14ac:dyDescent="0.45">
      <c r="A128" s="215">
        <v>41</v>
      </c>
      <c r="B128" s="244" t="s">
        <v>768</v>
      </c>
      <c r="C128" s="228"/>
      <c r="D128" s="247"/>
      <c r="E128" s="4">
        <v>-3.3</v>
      </c>
      <c r="F128" s="4">
        <v>-3.3</v>
      </c>
      <c r="G128" s="4">
        <v>-3.3</v>
      </c>
      <c r="H128" s="4">
        <v>-2.8</v>
      </c>
      <c r="I128" s="4">
        <v>-2</v>
      </c>
      <c r="J128" s="4">
        <v>-1.7</v>
      </c>
    </row>
    <row r="129" spans="1:13" ht="14.25" x14ac:dyDescent="0.45">
      <c r="A129" s="215">
        <v>42</v>
      </c>
      <c r="B129" s="244" t="s">
        <v>769</v>
      </c>
      <c r="C129" s="228"/>
      <c r="D129" s="247"/>
      <c r="E129" s="4">
        <v>-7.5</v>
      </c>
      <c r="F129" s="4">
        <v>-4.8</v>
      </c>
      <c r="G129" s="4">
        <v>-3.4</v>
      </c>
      <c r="H129" s="4">
        <v>-3.3</v>
      </c>
      <c r="I129" s="4">
        <v>-3.2</v>
      </c>
      <c r="J129" s="4">
        <v>-3.2</v>
      </c>
    </row>
    <row r="130" spans="1:13" ht="14.25" x14ac:dyDescent="0.45">
      <c r="A130" s="215">
        <v>43</v>
      </c>
      <c r="B130" s="243" t="s">
        <v>770</v>
      </c>
      <c r="C130" s="228"/>
      <c r="D130" s="247"/>
      <c r="E130" s="4">
        <v>-1.6</v>
      </c>
      <c r="F130" s="4">
        <v>-1.1000000000000001</v>
      </c>
      <c r="G130" s="4">
        <v>1.5</v>
      </c>
      <c r="H130" s="4">
        <v>-0.8</v>
      </c>
      <c r="I130" s="4">
        <v>-0.9</v>
      </c>
      <c r="J130" s="4">
        <v>-1</v>
      </c>
    </row>
    <row r="131" spans="1:13" x14ac:dyDescent="0.4">
      <c r="A131" s="215"/>
      <c r="B131" s="215"/>
      <c r="C131" s="215"/>
      <c r="D131" s="240"/>
      <c r="E131" s="239" t="str" cm="1">
        <f t="array" ref="E131:J131">IF(ISNUMBER(_xlfn.ANCHORARRAY(E$81)),"%","")</f>
        <v>%</v>
      </c>
      <c r="F131" s="239" t="str">
        <v>%</v>
      </c>
      <c r="G131" s="239" t="str">
        <v>%</v>
      </c>
      <c r="H131" s="239" t="str">
        <v>%</v>
      </c>
      <c r="I131" s="239" t="str">
        <v>%</v>
      </c>
      <c r="J131" s="239" t="str">
        <v>%</v>
      </c>
    </row>
    <row r="132" spans="1:13" ht="14.25" x14ac:dyDescent="0.45">
      <c r="A132" s="215">
        <v>44</v>
      </c>
      <c r="B132" s="230" t="s">
        <v>71</v>
      </c>
      <c r="C132" s="230"/>
      <c r="D132" s="248"/>
      <c r="E132" s="4"/>
      <c r="F132" s="4"/>
      <c r="G132" s="4"/>
      <c r="H132" s="4"/>
      <c r="I132" s="4"/>
      <c r="J132" s="4"/>
      <c r="M132" s="4"/>
    </row>
    <row r="133" spans="1:13" x14ac:dyDescent="0.4">
      <c r="A133" s="215"/>
      <c r="B133" s="215"/>
      <c r="C133" s="215"/>
      <c r="D133" s="240"/>
      <c r="E133" s="240"/>
      <c r="F133" s="240"/>
      <c r="G133" s="240"/>
      <c r="H133" s="240"/>
      <c r="I133" s="240"/>
      <c r="J133" s="240"/>
    </row>
    <row r="134" spans="1:13" x14ac:dyDescent="0.4">
      <c r="A134" s="215">
        <v>45</v>
      </c>
      <c r="B134" s="242" t="s">
        <v>771</v>
      </c>
      <c r="C134" s="242" t="s">
        <v>772</v>
      </c>
      <c r="D134" s="4"/>
      <c r="E134" s="4"/>
      <c r="F134" s="4"/>
      <c r="G134" s="4"/>
      <c r="H134" s="4"/>
      <c r="I134" s="4"/>
      <c r="J134" s="4"/>
    </row>
    <row r="135" spans="1:13" x14ac:dyDescent="0.4">
      <c r="A135" s="215">
        <v>46</v>
      </c>
      <c r="B135" s="242" t="s">
        <v>773</v>
      </c>
      <c r="C135" s="242" t="s">
        <v>774</v>
      </c>
      <c r="D135" s="4"/>
      <c r="E135" s="4"/>
      <c r="F135" s="4"/>
      <c r="G135" s="4"/>
      <c r="H135" s="4"/>
      <c r="I135" s="4"/>
      <c r="J135" s="4"/>
    </row>
    <row r="138" spans="1:13" ht="23.25" x14ac:dyDescent="0.7">
      <c r="A138" s="14" t="s">
        <v>815</v>
      </c>
    </row>
    <row r="139" spans="1:13" x14ac:dyDescent="0.4">
      <c r="A139" s="237"/>
      <c r="B139" s="237" t="s">
        <v>8</v>
      </c>
      <c r="C139" s="237" t="s">
        <v>31</v>
      </c>
      <c r="D139" s="237">
        <f>MTP_BaseYear</f>
        <v>2023</v>
      </c>
      <c r="E139" s="237" cm="1">
        <f t="array" ref="E139:J139">_xlfn.SEQUENCE(1, MTP_EndYear-MTP_BaseYear+1, MTP_BaseYear)</f>
        <v>2023</v>
      </c>
      <c r="F139" s="237">
        <v>2024</v>
      </c>
      <c r="G139" s="237">
        <v>2025</v>
      </c>
      <c r="H139" s="237">
        <v>2026</v>
      </c>
      <c r="I139" s="237">
        <v>2027</v>
      </c>
      <c r="J139" s="237">
        <v>2028</v>
      </c>
    </row>
    <row r="140" spans="1:13" x14ac:dyDescent="0.4">
      <c r="A140" s="215"/>
      <c r="B140" s="215"/>
      <c r="C140" s="215"/>
      <c r="D140" s="238" t="s">
        <v>6</v>
      </c>
      <c r="E140" s="238" t="str" cm="1">
        <f t="array" ref="E140:J140">IF(ISNUMBER(_xlfn.ANCHORARRAY(E$81)),"growth rate","")</f>
        <v>growth rate</v>
      </c>
      <c r="F140" s="238" t="str">
        <v>growth rate</v>
      </c>
      <c r="G140" s="238" t="str">
        <v>growth rate</v>
      </c>
      <c r="H140" s="238" t="str">
        <v>growth rate</v>
      </c>
      <c r="I140" s="238" t="str">
        <v>growth rate</v>
      </c>
      <c r="J140" s="238" t="str">
        <v>growth rate</v>
      </c>
    </row>
    <row r="141" spans="1:13" ht="14.25" x14ac:dyDescent="0.45">
      <c r="A141" s="215">
        <v>1</v>
      </c>
      <c r="B141" s="228" t="s">
        <v>7</v>
      </c>
      <c r="C141" s="228" t="s">
        <v>775</v>
      </c>
      <c r="D141" s="249"/>
      <c r="E141">
        <v>2</v>
      </c>
      <c r="F141">
        <v>2.2000000000000002</v>
      </c>
      <c r="G141">
        <v>2.2999999999999998</v>
      </c>
      <c r="H141" s="4">
        <v>2</v>
      </c>
      <c r="I141" s="4">
        <v>1.5</v>
      </c>
      <c r="J141" s="4">
        <v>1.3</v>
      </c>
    </row>
    <row r="142" spans="1:13" ht="14.25" x14ac:dyDescent="0.45">
      <c r="A142" s="215">
        <v>2</v>
      </c>
      <c r="B142" s="228" t="s">
        <v>8</v>
      </c>
      <c r="C142" s="228"/>
      <c r="D142" s="249"/>
      <c r="E142">
        <v>4.5</v>
      </c>
      <c r="F142">
        <v>3</v>
      </c>
      <c r="G142">
        <v>2.2000000000000002</v>
      </c>
      <c r="H142" s="4">
        <v>2.2999999999999998</v>
      </c>
      <c r="I142" s="4">
        <v>2.2999999999999998</v>
      </c>
      <c r="J142" s="4">
        <v>2.4</v>
      </c>
    </row>
    <row r="143" spans="1:13" x14ac:dyDescent="0.4">
      <c r="A143" s="215">
        <v>3</v>
      </c>
      <c r="B143" s="228" t="s">
        <v>9</v>
      </c>
      <c r="C143" s="228" t="s">
        <v>775</v>
      </c>
      <c r="D143" s="145">
        <v>220.3</v>
      </c>
      <c r="E143">
        <v>6.6</v>
      </c>
      <c r="F143">
        <v>5.3</v>
      </c>
      <c r="G143">
        <v>4.5</v>
      </c>
      <c r="H143" s="4">
        <v>4.3</v>
      </c>
      <c r="I143" s="4">
        <v>3.8</v>
      </c>
      <c r="J143" s="4">
        <v>3.7</v>
      </c>
    </row>
    <row r="144" spans="1:13" x14ac:dyDescent="0.4">
      <c r="A144" s="215"/>
      <c r="B144" s="215" t="s">
        <v>776</v>
      </c>
      <c r="C144" s="215"/>
      <c r="D144" s="238" t="s">
        <v>6</v>
      </c>
      <c r="E144" s="238" t="str" cm="1">
        <f t="array" ref="E144:J144">IF(ISNUMBER(_xlfn.ANCHORARRAY(E$81)),"growth rate","")</f>
        <v>growth rate</v>
      </c>
      <c r="F144" s="238" t="str">
        <v>growth rate</v>
      </c>
      <c r="G144" s="238" t="str">
        <v>growth rate</v>
      </c>
      <c r="H144" s="239" t="str">
        <v>growth rate</v>
      </c>
      <c r="I144" s="239" t="str">
        <v>growth rate</v>
      </c>
      <c r="J144" s="239" t="str">
        <v>growth rate</v>
      </c>
    </row>
    <row r="145" spans="1:10" ht="14.25" x14ac:dyDescent="0.45">
      <c r="A145" s="215">
        <v>4</v>
      </c>
      <c r="B145" s="228" t="s">
        <v>777</v>
      </c>
      <c r="C145" s="228" t="s">
        <v>778</v>
      </c>
      <c r="D145" s="249"/>
      <c r="E145">
        <v>1.8</v>
      </c>
      <c r="F145">
        <v>1.7</v>
      </c>
      <c r="G145">
        <v>1.6</v>
      </c>
      <c r="H145" s="4"/>
      <c r="I145" s="4"/>
      <c r="J145" s="4"/>
    </row>
    <row r="146" spans="1:10" ht="14.25" x14ac:dyDescent="0.45">
      <c r="A146" s="215">
        <v>5</v>
      </c>
      <c r="B146" s="228" t="s">
        <v>779</v>
      </c>
      <c r="C146" s="228" t="s">
        <v>778</v>
      </c>
      <c r="D146" s="249"/>
      <c r="E146">
        <v>1.7</v>
      </c>
      <c r="F146">
        <v>0.4</v>
      </c>
      <c r="G146">
        <v>0</v>
      </c>
      <c r="H146" s="4"/>
      <c r="I146" s="4"/>
      <c r="J146" s="4"/>
    </row>
    <row r="147" spans="1:10" ht="14.25" x14ac:dyDescent="0.45">
      <c r="A147" s="215">
        <v>6</v>
      </c>
      <c r="B147" s="228" t="s">
        <v>10</v>
      </c>
      <c r="C147" s="228" t="s">
        <v>4</v>
      </c>
      <c r="D147" s="249"/>
      <c r="E147">
        <v>4</v>
      </c>
      <c r="F147">
        <v>6.7</v>
      </c>
      <c r="G147">
        <v>8.4</v>
      </c>
      <c r="H147" s="4"/>
      <c r="I147" s="4"/>
      <c r="J147" s="4"/>
    </row>
    <row r="148" spans="1:10" ht="14.25" x14ac:dyDescent="0.45">
      <c r="A148" s="215">
        <v>7</v>
      </c>
      <c r="B148" s="228" t="s">
        <v>780</v>
      </c>
      <c r="C148" s="228" t="s">
        <v>781</v>
      </c>
      <c r="D148" s="249"/>
      <c r="E148" s="250"/>
      <c r="F148" s="250"/>
      <c r="G148" s="250"/>
      <c r="H148" s="251"/>
      <c r="I148" s="251"/>
      <c r="J148" s="251"/>
    </row>
    <row r="149" spans="1:10" ht="14.25" x14ac:dyDescent="0.45">
      <c r="A149" s="215">
        <v>8</v>
      </c>
      <c r="B149" s="228" t="s">
        <v>782</v>
      </c>
      <c r="C149" s="228" t="s">
        <v>783</v>
      </c>
      <c r="D149" s="249"/>
      <c r="E149">
        <v>3.7</v>
      </c>
      <c r="F149">
        <v>4.2</v>
      </c>
      <c r="G149">
        <v>4</v>
      </c>
      <c r="H149" s="4"/>
      <c r="I149" s="4"/>
      <c r="J149" s="4"/>
    </row>
    <row r="150" spans="1:10" ht="14.25" x14ac:dyDescent="0.45">
      <c r="A150" s="215">
        <v>9</v>
      </c>
      <c r="B150" s="228" t="s">
        <v>784</v>
      </c>
      <c r="C150" s="228" t="s">
        <v>785</v>
      </c>
      <c r="D150" s="249"/>
      <c r="E150">
        <v>2.1</v>
      </c>
      <c r="F150">
        <v>3.8</v>
      </c>
      <c r="G150">
        <v>3.6</v>
      </c>
      <c r="H150" s="4"/>
      <c r="I150" s="4"/>
      <c r="J150" s="4"/>
    </row>
    <row r="151" spans="1:10" x14ac:dyDescent="0.4">
      <c r="A151" s="215"/>
      <c r="B151" s="228" t="s">
        <v>786</v>
      </c>
      <c r="C151" s="228"/>
      <c r="D151" s="228"/>
      <c r="E151" s="228"/>
      <c r="F151" s="228"/>
      <c r="G151" s="228"/>
      <c r="H151" s="245"/>
      <c r="I151" s="245"/>
      <c r="J151" s="245"/>
    </row>
    <row r="152" spans="1:10" ht="14.25" x14ac:dyDescent="0.45">
      <c r="A152" s="215">
        <v>10</v>
      </c>
      <c r="B152" s="246" t="s">
        <v>787</v>
      </c>
      <c r="C152" s="228"/>
      <c r="D152" s="249"/>
      <c r="E152">
        <v>2.2000000000000002</v>
      </c>
      <c r="F152">
        <v>2.2000000000000002</v>
      </c>
      <c r="G152">
        <v>2.2999999999999998</v>
      </c>
      <c r="H152" s="4"/>
      <c r="I152" s="4"/>
      <c r="J152" s="4"/>
    </row>
    <row r="153" spans="1:10" ht="14.25" x14ac:dyDescent="0.45">
      <c r="A153" s="215">
        <v>11</v>
      </c>
      <c r="B153" s="246" t="s">
        <v>788</v>
      </c>
      <c r="C153" s="228" t="s">
        <v>781</v>
      </c>
      <c r="D153" s="249"/>
      <c r="E153">
        <v>-0.6</v>
      </c>
      <c r="F153">
        <v>0</v>
      </c>
      <c r="G153">
        <v>-0.1</v>
      </c>
      <c r="H153" s="4"/>
      <c r="I153" s="4"/>
      <c r="J153" s="4"/>
    </row>
    <row r="154" spans="1:10" ht="14.25" x14ac:dyDescent="0.45">
      <c r="A154" s="215">
        <v>12</v>
      </c>
      <c r="B154" s="246" t="s">
        <v>789</v>
      </c>
      <c r="C154" s="228" t="s">
        <v>790</v>
      </c>
      <c r="D154" s="249"/>
      <c r="E154">
        <v>0.5</v>
      </c>
      <c r="F154">
        <v>0</v>
      </c>
      <c r="G154">
        <v>0</v>
      </c>
      <c r="H154" s="4"/>
      <c r="I154" s="4"/>
      <c r="J154" s="4"/>
    </row>
    <row r="155" spans="1:10" x14ac:dyDescent="0.4">
      <c r="A155" s="215"/>
      <c r="B155" s="215" t="s">
        <v>791</v>
      </c>
      <c r="C155" s="215"/>
      <c r="D155" s="238"/>
      <c r="E155" s="238" t="str" cm="1">
        <f t="array" ref="E155:J155">IF(ISNUMBER(_xlfn.ANCHORARRAY(E$81)),"growth rate","")</f>
        <v>growth rate</v>
      </c>
      <c r="F155" s="238" t="str">
        <v>growth rate</v>
      </c>
      <c r="G155" s="238" t="str">
        <v>growth rate</v>
      </c>
      <c r="H155" s="239" t="str">
        <v>growth rate</v>
      </c>
      <c r="I155" s="239" t="str">
        <v>growth rate</v>
      </c>
      <c r="J155" s="239" t="str">
        <v>growth rate</v>
      </c>
    </row>
    <row r="156" spans="1:10" ht="14.25" x14ac:dyDescent="0.45">
      <c r="A156" s="215">
        <v>13</v>
      </c>
      <c r="B156" s="228" t="s">
        <v>792</v>
      </c>
      <c r="C156" s="228"/>
      <c r="D156" s="249"/>
      <c r="E156">
        <v>4.5999999999999996</v>
      </c>
      <c r="F156">
        <v>2.7</v>
      </c>
      <c r="G156">
        <v>2.1</v>
      </c>
      <c r="H156" s="4"/>
      <c r="I156" s="4"/>
      <c r="J156" s="4"/>
    </row>
    <row r="157" spans="1:10" ht="14.25" x14ac:dyDescent="0.45">
      <c r="A157" s="215">
        <v>14</v>
      </c>
      <c r="B157" s="243" t="s">
        <v>793</v>
      </c>
      <c r="C157" s="228"/>
      <c r="D157" s="249"/>
      <c r="E157">
        <v>4.2</v>
      </c>
      <c r="F157">
        <v>2.8</v>
      </c>
      <c r="G157">
        <v>2.1</v>
      </c>
      <c r="H157" s="4"/>
      <c r="I157" s="4"/>
      <c r="J157" s="4"/>
    </row>
    <row r="158" spans="1:10" ht="14.25" x14ac:dyDescent="0.45">
      <c r="A158" s="215">
        <v>15</v>
      </c>
      <c r="B158" s="228" t="s">
        <v>794</v>
      </c>
      <c r="C158" s="228"/>
      <c r="D158" s="249"/>
      <c r="E158">
        <v>2.8</v>
      </c>
      <c r="F158">
        <v>3.1</v>
      </c>
      <c r="G158">
        <v>2.2000000000000002</v>
      </c>
      <c r="H158" s="4"/>
      <c r="I158" s="4"/>
      <c r="J158" s="4"/>
    </row>
    <row r="159" spans="1:10" ht="14.25" x14ac:dyDescent="0.45">
      <c r="A159" s="215">
        <v>16</v>
      </c>
      <c r="B159" s="228" t="s">
        <v>795</v>
      </c>
      <c r="C159" s="228"/>
      <c r="D159" s="249"/>
      <c r="E159">
        <v>3.9</v>
      </c>
      <c r="F159">
        <v>2.2999999999999998</v>
      </c>
      <c r="G159">
        <v>1.8</v>
      </c>
      <c r="H159" s="4"/>
      <c r="I159" s="4"/>
      <c r="J159" s="4"/>
    </row>
    <row r="160" spans="1:10" ht="14.25" x14ac:dyDescent="0.45">
      <c r="A160" s="215">
        <v>17</v>
      </c>
      <c r="B160" s="228" t="s">
        <v>796</v>
      </c>
      <c r="C160" s="228"/>
      <c r="D160" s="249"/>
      <c r="E160">
        <v>-6.1</v>
      </c>
      <c r="F160">
        <v>2.6</v>
      </c>
      <c r="G160">
        <v>1.6</v>
      </c>
      <c r="H160" s="4"/>
      <c r="I160" s="4"/>
      <c r="J160" s="4"/>
    </row>
    <row r="161" spans="1:10" ht="14.25" x14ac:dyDescent="0.45">
      <c r="A161" s="215">
        <v>18</v>
      </c>
      <c r="B161" s="228" t="s">
        <v>797</v>
      </c>
      <c r="C161" s="228"/>
      <c r="D161" s="249"/>
      <c r="E161">
        <v>-11.7</v>
      </c>
      <c r="F161">
        <v>2.5</v>
      </c>
      <c r="G161">
        <v>1.5</v>
      </c>
      <c r="H161" s="4"/>
      <c r="I161" s="4"/>
      <c r="J161" s="4"/>
    </row>
    <row r="162" spans="1:10" x14ac:dyDescent="0.4">
      <c r="A162" s="215"/>
      <c r="B162" s="215" t="s">
        <v>798</v>
      </c>
      <c r="C162" s="215" t="s">
        <v>26</v>
      </c>
      <c r="D162" s="238" t="s">
        <v>799</v>
      </c>
      <c r="E162" s="238" t="str" cm="1">
        <f t="array" ref="E162:J162">IF(ISNUMBER(_xlfn.ANCHORARRAY(E$81)),"growth rate","")</f>
        <v>growth rate</v>
      </c>
      <c r="F162" s="238" t="str">
        <v>growth rate</v>
      </c>
      <c r="G162" s="238" t="str">
        <v>growth rate</v>
      </c>
      <c r="H162" s="239" t="str">
        <v>growth rate</v>
      </c>
      <c r="I162" s="239" t="str">
        <v>growth rate</v>
      </c>
      <c r="J162" s="239" t="str">
        <v>growth rate</v>
      </c>
    </row>
    <row r="163" spans="1:10" x14ac:dyDescent="0.4">
      <c r="A163" s="215">
        <v>19</v>
      </c>
      <c r="B163" s="228" t="s">
        <v>800</v>
      </c>
      <c r="C163" s="228"/>
      <c r="D163" s="145">
        <v>3504</v>
      </c>
      <c r="E163" s="3">
        <v>0.4</v>
      </c>
      <c r="F163">
        <v>0.9</v>
      </c>
      <c r="G163" s="3">
        <v>0.7</v>
      </c>
      <c r="H163" s="65"/>
      <c r="I163" s="65"/>
      <c r="J163" s="65"/>
    </row>
    <row r="164" spans="1:10" x14ac:dyDescent="0.4">
      <c r="A164" s="215">
        <v>20</v>
      </c>
      <c r="B164" s="228" t="s">
        <v>801</v>
      </c>
      <c r="C164" s="228"/>
      <c r="D164" s="145">
        <v>1668</v>
      </c>
      <c r="E164">
        <v>1.7</v>
      </c>
      <c r="F164">
        <v>0</v>
      </c>
      <c r="G164">
        <v>0</v>
      </c>
      <c r="H164" s="4"/>
      <c r="I164" s="4"/>
      <c r="J164" s="4"/>
    </row>
    <row r="165" spans="1:10" ht="14.25" x14ac:dyDescent="0.45">
      <c r="A165" s="215">
        <v>21</v>
      </c>
      <c r="B165" s="228" t="s">
        <v>802</v>
      </c>
      <c r="C165" s="228"/>
      <c r="D165" s="249"/>
      <c r="E165">
        <v>1.6</v>
      </c>
      <c r="F165">
        <v>1.2</v>
      </c>
      <c r="G165">
        <v>1.5</v>
      </c>
      <c r="H165" s="4"/>
      <c r="I165" s="4"/>
      <c r="J165" s="4"/>
    </row>
    <row r="166" spans="1:10" ht="14.25" x14ac:dyDescent="0.45">
      <c r="A166" s="215">
        <v>22</v>
      </c>
      <c r="B166" s="228" t="s">
        <v>803</v>
      </c>
      <c r="C166" s="228"/>
      <c r="D166" s="249"/>
      <c r="E166">
        <v>-0.1</v>
      </c>
      <c r="F166">
        <v>1.2</v>
      </c>
      <c r="G166">
        <v>1.5</v>
      </c>
      <c r="H166" s="4"/>
      <c r="I166" s="4"/>
      <c r="J166" s="4"/>
    </row>
    <row r="167" spans="1:10" x14ac:dyDescent="0.4">
      <c r="A167" s="215">
        <v>23</v>
      </c>
      <c r="B167" s="228" t="s">
        <v>804</v>
      </c>
      <c r="C167" s="228" t="s">
        <v>5</v>
      </c>
      <c r="D167" s="145">
        <v>76423</v>
      </c>
      <c r="E167">
        <v>6</v>
      </c>
      <c r="F167">
        <v>5.2</v>
      </c>
      <c r="G167">
        <v>3.4</v>
      </c>
      <c r="H167" s="4"/>
      <c r="I167" s="4"/>
      <c r="J167" s="4"/>
    </row>
    <row r="168" spans="1:10" x14ac:dyDescent="0.4">
      <c r="A168" s="215">
        <v>24</v>
      </c>
      <c r="B168" s="228" t="s">
        <v>805</v>
      </c>
      <c r="C168" s="228"/>
      <c r="D168">
        <v>21810</v>
      </c>
      <c r="E168">
        <v>5.6</v>
      </c>
      <c r="F168">
        <v>4.3</v>
      </c>
      <c r="G168">
        <v>2.7</v>
      </c>
      <c r="H168" s="4"/>
      <c r="I168" s="4"/>
      <c r="J168" s="4"/>
    </row>
    <row r="169" spans="1:10" x14ac:dyDescent="0.4">
      <c r="A169" s="215"/>
      <c r="B169" s="215"/>
      <c r="C169" s="215"/>
      <c r="D169" s="238"/>
      <c r="E169" s="238" t="str" cm="1">
        <f t="array" ref="E169:J169">IF(ISNUMBER(_xlfn.ANCHORARRAY(E$81)),"%","")</f>
        <v>%</v>
      </c>
      <c r="F169" s="238" t="str">
        <v>%</v>
      </c>
      <c r="G169" s="238" t="str">
        <v>%</v>
      </c>
      <c r="H169" s="239" t="str">
        <v>%</v>
      </c>
      <c r="I169" s="239" t="str">
        <v>%</v>
      </c>
      <c r="J169" s="239" t="str">
        <v>%</v>
      </c>
    </row>
    <row r="170" spans="1:10" ht="14.25" x14ac:dyDescent="0.45">
      <c r="A170" s="215">
        <v>25</v>
      </c>
      <c r="B170" s="228" t="s">
        <v>806</v>
      </c>
      <c r="C170" s="228"/>
      <c r="D170" s="249"/>
      <c r="E170">
        <v>11.1</v>
      </c>
      <c r="F170">
        <v>10.3</v>
      </c>
      <c r="G170">
        <v>9.6999999999999993</v>
      </c>
      <c r="H170" s="4"/>
      <c r="I170" s="4"/>
      <c r="J170" s="4"/>
    </row>
    <row r="171" spans="1:10" x14ac:dyDescent="0.4">
      <c r="A171" s="215"/>
      <c r="B171" s="215" t="s">
        <v>807</v>
      </c>
      <c r="C171" s="215"/>
      <c r="D171" s="238"/>
      <c r="E171" s="238" t="str" cm="1">
        <f t="array" ref="E171:J171">IF(ISNUMBER(_xlfn.ANCHORARRAY(E$81)),"growth rate","")</f>
        <v>growth rate</v>
      </c>
      <c r="F171" s="238" t="str">
        <v>growth rate</v>
      </c>
      <c r="G171" s="238" t="str">
        <v>growth rate</v>
      </c>
      <c r="H171" s="239" t="str">
        <v>growth rate</v>
      </c>
      <c r="I171" s="239" t="str">
        <v>growth rate</v>
      </c>
      <c r="J171" s="239" t="str">
        <v>growth rate</v>
      </c>
    </row>
    <row r="172" spans="1:10" ht="14.25" x14ac:dyDescent="0.45">
      <c r="A172" s="215">
        <v>26</v>
      </c>
      <c r="B172" s="228" t="s">
        <v>808</v>
      </c>
      <c r="C172" s="228"/>
      <c r="D172" s="249"/>
      <c r="E172">
        <v>0.6</v>
      </c>
      <c r="F172">
        <v>1.2</v>
      </c>
      <c r="G172">
        <v>2.5</v>
      </c>
      <c r="H172" s="4">
        <v>2.4</v>
      </c>
      <c r="I172" s="4">
        <v>1.7</v>
      </c>
      <c r="J172" s="4">
        <v>1.5</v>
      </c>
    </row>
    <row r="173" spans="1:10" x14ac:dyDescent="0.4">
      <c r="A173" s="215"/>
      <c r="B173" s="228" t="s">
        <v>809</v>
      </c>
      <c r="C173" s="228"/>
      <c r="D173" s="228"/>
      <c r="E173" s="228"/>
      <c r="F173" s="228"/>
      <c r="G173" s="228"/>
      <c r="H173" s="245"/>
      <c r="I173" s="245"/>
      <c r="J173" s="245"/>
    </row>
    <row r="174" spans="1:10" ht="14.25" x14ac:dyDescent="0.45">
      <c r="A174" s="215">
        <v>27</v>
      </c>
      <c r="B174" s="243" t="s">
        <v>810</v>
      </c>
      <c r="C174" s="228"/>
      <c r="D174" s="249"/>
      <c r="E174">
        <v>-0.3</v>
      </c>
      <c r="F174">
        <v>0.1</v>
      </c>
      <c r="G174">
        <v>0.3</v>
      </c>
      <c r="H174" s="4">
        <v>0.3</v>
      </c>
      <c r="I174" s="4">
        <v>0.1</v>
      </c>
      <c r="J174" s="4">
        <v>0</v>
      </c>
    </row>
    <row r="175" spans="1:10" ht="14.25" x14ac:dyDescent="0.45">
      <c r="A175" s="215">
        <v>28</v>
      </c>
      <c r="B175" s="243" t="s">
        <v>811</v>
      </c>
      <c r="C175" s="228"/>
      <c r="D175" s="249"/>
      <c r="E175">
        <v>0.1</v>
      </c>
      <c r="F175">
        <v>0.1</v>
      </c>
      <c r="G175">
        <v>0.3</v>
      </c>
      <c r="H175" s="4">
        <v>0.4</v>
      </c>
      <c r="I175" s="4">
        <v>0.5</v>
      </c>
      <c r="J175" s="4">
        <v>0.4</v>
      </c>
    </row>
    <row r="176" spans="1:10" ht="14.25" x14ac:dyDescent="0.45">
      <c r="A176" s="215">
        <v>29</v>
      </c>
      <c r="B176" s="243" t="s">
        <v>812</v>
      </c>
      <c r="C176" s="228"/>
      <c r="D176" s="249"/>
      <c r="E176">
        <v>0.8</v>
      </c>
      <c r="F176">
        <v>1</v>
      </c>
      <c r="G176">
        <v>1.9</v>
      </c>
      <c r="H176" s="4">
        <v>1.7</v>
      </c>
      <c r="I176" s="4">
        <v>1.1000000000000001</v>
      </c>
      <c r="J176" s="4">
        <v>1.1000000000000001</v>
      </c>
    </row>
    <row r="177" spans="1:23" x14ac:dyDescent="0.4">
      <c r="A177" s="215"/>
      <c r="B177" s="215"/>
      <c r="C177" s="215"/>
      <c r="D177" s="238"/>
      <c r="E177" s="64" t="str" cm="1">
        <f t="array" ref="E177:J177">IF(ISNUMBER(_xlfn.ANCHORARRAY(E$81)),"% pot. GDP","")</f>
        <v>% pot. GDP</v>
      </c>
      <c r="F177" s="238" t="str">
        <v>% pot. GDP</v>
      </c>
      <c r="G177" s="238" t="str">
        <v>% pot. GDP</v>
      </c>
      <c r="H177" s="239" t="str">
        <v>% pot. GDP</v>
      </c>
      <c r="I177" s="239" t="str">
        <v>% pot. GDP</v>
      </c>
      <c r="J177" s="239" t="str">
        <v>% pot. GDP</v>
      </c>
    </row>
    <row r="178" spans="1:23" ht="14.25" x14ac:dyDescent="0.45">
      <c r="A178" s="215">
        <v>30</v>
      </c>
      <c r="B178" s="228" t="s">
        <v>89</v>
      </c>
      <c r="C178" s="228"/>
      <c r="D178" s="249"/>
      <c r="E178" s="4">
        <v>0.3</v>
      </c>
      <c r="F178">
        <v>1.2</v>
      </c>
      <c r="G178">
        <v>1</v>
      </c>
      <c r="H178" s="4">
        <v>0.6</v>
      </c>
      <c r="I178" s="4">
        <v>0.3</v>
      </c>
      <c r="J178" s="4">
        <v>0.1</v>
      </c>
    </row>
    <row r="181" spans="1:23" s="192" customFormat="1" ht="23.25" x14ac:dyDescent="0.6">
      <c r="A181" s="190" t="s">
        <v>882</v>
      </c>
      <c r="B181" s="191"/>
      <c r="C181" s="191"/>
      <c r="D181" s="191"/>
      <c r="E181" s="191"/>
      <c r="F181" s="191"/>
      <c r="G181" s="191"/>
      <c r="H181" s="191"/>
      <c r="I181" s="191"/>
    </row>
    <row r="182" spans="1:23" x14ac:dyDescent="0.4">
      <c r="A182" s="193"/>
      <c r="B182" s="194"/>
      <c r="C182" s="195" t="s">
        <v>883</v>
      </c>
      <c r="D182" s="196"/>
      <c r="E182" s="196">
        <v>2023</v>
      </c>
      <c r="F182" s="196">
        <v>2024</v>
      </c>
      <c r="G182" s="196">
        <v>2025</v>
      </c>
      <c r="H182" s="196">
        <v>2026</v>
      </c>
      <c r="I182" s="196">
        <v>2027</v>
      </c>
      <c r="J182" s="196">
        <v>2028</v>
      </c>
      <c r="K182" s="196">
        <v>2029</v>
      </c>
      <c r="L182" s="196">
        <v>2030</v>
      </c>
      <c r="M182" s="196">
        <v>2031</v>
      </c>
      <c r="N182" s="196">
        <v>2032</v>
      </c>
      <c r="O182" s="196">
        <v>2033</v>
      </c>
      <c r="P182" s="196">
        <v>2034</v>
      </c>
      <c r="Q182" s="196">
        <v>2035</v>
      </c>
      <c r="R182" s="196">
        <v>2036</v>
      </c>
      <c r="S182" s="196">
        <v>2037</v>
      </c>
      <c r="T182" s="196">
        <v>2038</v>
      </c>
      <c r="U182" s="196">
        <v>2039</v>
      </c>
      <c r="V182" s="196">
        <v>2040</v>
      </c>
      <c r="W182" s="196">
        <v>2041</v>
      </c>
    </row>
    <row r="183" spans="1:23" x14ac:dyDescent="0.4">
      <c r="A183" s="197">
        <v>1</v>
      </c>
      <c r="B183" s="198" t="s">
        <v>1</v>
      </c>
      <c r="C183" s="199" t="s">
        <v>884</v>
      </c>
      <c r="D183" s="199" t="s">
        <v>885</v>
      </c>
      <c r="E183" s="200">
        <v>161.9</v>
      </c>
      <c r="F183" s="200">
        <v>153.69999999999999</v>
      </c>
      <c r="G183" s="200">
        <v>149.1</v>
      </c>
      <c r="H183" s="200">
        <v>143.1</v>
      </c>
      <c r="I183" s="200">
        <v>138</v>
      </c>
      <c r="J183" s="200">
        <v>133.4</v>
      </c>
      <c r="K183" s="201">
        <v>130.1</v>
      </c>
      <c r="L183" s="201">
        <v>127.1</v>
      </c>
      <c r="M183" s="201">
        <v>124.3</v>
      </c>
      <c r="N183" s="201">
        <v>121.7</v>
      </c>
      <c r="O183" s="201">
        <v>120.6</v>
      </c>
      <c r="P183" s="201">
        <v>119.6</v>
      </c>
      <c r="Q183" s="201">
        <v>118.4</v>
      </c>
      <c r="R183" s="201">
        <v>117.1</v>
      </c>
      <c r="S183" s="201">
        <v>115.9</v>
      </c>
      <c r="T183" s="201">
        <v>114.9</v>
      </c>
      <c r="U183" s="201"/>
      <c r="V183" s="201"/>
      <c r="W183" s="201"/>
    </row>
    <row r="184" spans="1:23" x14ac:dyDescent="0.4">
      <c r="A184" s="197">
        <v>2</v>
      </c>
      <c r="B184" s="198" t="s">
        <v>886</v>
      </c>
      <c r="C184" s="199" t="s">
        <v>887</v>
      </c>
      <c r="D184" s="199" t="s">
        <v>885</v>
      </c>
      <c r="E184" s="200">
        <v>-1.6</v>
      </c>
      <c r="F184" s="200">
        <v>-1</v>
      </c>
      <c r="G184" s="200">
        <v>-0.6</v>
      </c>
      <c r="H184" s="200">
        <v>-0.8</v>
      </c>
      <c r="I184" s="200">
        <v>-1.1000000000000001</v>
      </c>
      <c r="J184" s="200">
        <v>-1.2</v>
      </c>
      <c r="K184" s="201">
        <v>-1.4</v>
      </c>
      <c r="L184" s="201">
        <v>-1.5</v>
      </c>
      <c r="M184" s="201">
        <v>-1.6</v>
      </c>
      <c r="N184" s="201">
        <v>-1.7</v>
      </c>
      <c r="O184" s="201">
        <v>-1.9</v>
      </c>
      <c r="P184" s="201">
        <v>-2.2000000000000002</v>
      </c>
      <c r="Q184" s="201">
        <v>-2.4</v>
      </c>
      <c r="R184" s="201">
        <v>-2.2000000000000002</v>
      </c>
      <c r="S184" s="201">
        <v>-2.4</v>
      </c>
      <c r="T184" s="201">
        <v>-2.5</v>
      </c>
      <c r="U184" s="201"/>
      <c r="V184" s="201"/>
      <c r="W184" s="201"/>
    </row>
    <row r="185" spans="1:23" x14ac:dyDescent="0.4">
      <c r="A185" s="197">
        <v>3</v>
      </c>
      <c r="B185" s="198" t="s">
        <v>3</v>
      </c>
      <c r="C185" s="199" t="s">
        <v>888</v>
      </c>
      <c r="D185" s="199" t="s">
        <v>889</v>
      </c>
      <c r="E185" s="200">
        <v>1.9</v>
      </c>
      <c r="F185" s="200">
        <v>1.9</v>
      </c>
      <c r="G185" s="200">
        <v>2</v>
      </c>
      <c r="H185" s="200">
        <v>2.1</v>
      </c>
      <c r="I185" s="200">
        <v>2.2000000000000002</v>
      </c>
      <c r="J185" s="200">
        <v>2.2999999999999998</v>
      </c>
      <c r="K185" s="201">
        <v>2.2999999999999998</v>
      </c>
      <c r="L185" s="201">
        <v>2.2999999999999998</v>
      </c>
      <c r="M185" s="201">
        <v>2.2999999999999998</v>
      </c>
      <c r="N185" s="201">
        <v>2.2999999999999998</v>
      </c>
      <c r="O185" s="201">
        <v>2.2999999999999998</v>
      </c>
      <c r="P185" s="201">
        <v>2.2999999999999998</v>
      </c>
      <c r="Q185" s="201">
        <v>2.2999999999999998</v>
      </c>
      <c r="R185" s="201">
        <v>2.2999999999999998</v>
      </c>
      <c r="S185" s="201">
        <v>2.2999999999999998</v>
      </c>
      <c r="T185" s="201">
        <v>2.2999999999999998</v>
      </c>
      <c r="U185" s="201"/>
      <c r="V185" s="201"/>
      <c r="W185" s="201"/>
    </row>
    <row r="186" spans="1:23" x14ac:dyDescent="0.4">
      <c r="A186" s="197">
        <v>4</v>
      </c>
      <c r="B186" s="198" t="s">
        <v>890</v>
      </c>
      <c r="C186" s="199"/>
      <c r="D186" s="199" t="s">
        <v>889</v>
      </c>
      <c r="E186" s="200">
        <v>-0.1</v>
      </c>
      <c r="F186" s="200">
        <v>-0.7</v>
      </c>
      <c r="G186" s="200">
        <v>-0.5</v>
      </c>
      <c r="H186" s="200">
        <v>-0.3</v>
      </c>
      <c r="I186" s="200">
        <v>-0.2</v>
      </c>
      <c r="J186" s="200">
        <v>-0.1</v>
      </c>
      <c r="K186" s="201">
        <v>0</v>
      </c>
      <c r="L186" s="201">
        <v>0</v>
      </c>
      <c r="M186" s="201">
        <v>0</v>
      </c>
      <c r="N186" s="201">
        <v>0</v>
      </c>
      <c r="O186" s="201">
        <v>0</v>
      </c>
      <c r="P186" s="201">
        <v>0</v>
      </c>
      <c r="Q186" s="201">
        <v>0</v>
      </c>
      <c r="R186" s="201">
        <v>0</v>
      </c>
      <c r="S186" s="201">
        <v>0</v>
      </c>
      <c r="T186" s="201">
        <v>0</v>
      </c>
      <c r="U186" s="201"/>
      <c r="V186" s="201"/>
      <c r="W186" s="201"/>
    </row>
    <row r="187" spans="1:23" x14ac:dyDescent="0.4">
      <c r="A187" s="197">
        <v>5</v>
      </c>
      <c r="B187" s="198" t="s">
        <v>891</v>
      </c>
      <c r="C187" s="199"/>
      <c r="D187" s="199" t="s">
        <v>885</v>
      </c>
      <c r="E187" s="200">
        <v>-0.2</v>
      </c>
      <c r="F187" s="200">
        <v>-0.2</v>
      </c>
      <c r="G187" s="200">
        <v>0</v>
      </c>
      <c r="H187" s="200">
        <v>0</v>
      </c>
      <c r="I187" s="200">
        <v>0</v>
      </c>
      <c r="J187" s="200">
        <v>0</v>
      </c>
      <c r="K187" s="200">
        <v>0</v>
      </c>
      <c r="L187" s="200">
        <v>0</v>
      </c>
      <c r="M187" s="200">
        <v>0</v>
      </c>
      <c r="N187" s="200">
        <v>0</v>
      </c>
      <c r="O187" s="200">
        <v>0</v>
      </c>
      <c r="P187" s="200">
        <v>0</v>
      </c>
      <c r="Q187" s="200">
        <v>0</v>
      </c>
      <c r="R187" s="200">
        <v>0</v>
      </c>
      <c r="S187" s="200">
        <v>0</v>
      </c>
      <c r="T187" s="200">
        <v>0</v>
      </c>
      <c r="U187" s="200"/>
      <c r="V187" s="200"/>
      <c r="W187" s="200"/>
    </row>
    <row r="188" spans="1:23" x14ac:dyDescent="0.4">
      <c r="A188" s="197">
        <v>6</v>
      </c>
      <c r="B188" s="198" t="s">
        <v>25</v>
      </c>
      <c r="C188" s="199" t="s">
        <v>892</v>
      </c>
      <c r="D188" s="199" t="s">
        <v>885</v>
      </c>
      <c r="E188" s="200">
        <v>3.5</v>
      </c>
      <c r="F188" s="200">
        <v>3.4</v>
      </c>
      <c r="G188" s="200">
        <v>3.2</v>
      </c>
      <c r="H188" s="200">
        <v>3.3</v>
      </c>
      <c r="I188" s="200">
        <v>3.5</v>
      </c>
      <c r="J188" s="200">
        <v>3.6</v>
      </c>
      <c r="K188" s="201">
        <v>3.8</v>
      </c>
      <c r="L188" s="201">
        <v>3.8</v>
      </c>
      <c r="M188" s="201">
        <v>3.8</v>
      </c>
      <c r="N188" s="201">
        <v>3.8</v>
      </c>
      <c r="O188" s="201">
        <v>3.8</v>
      </c>
      <c r="P188" s="201">
        <v>3.9</v>
      </c>
      <c r="Q188" s="201">
        <v>4</v>
      </c>
      <c r="R188" s="201">
        <v>3.9</v>
      </c>
      <c r="S188" s="201">
        <v>3.9</v>
      </c>
      <c r="T188" s="201">
        <v>4</v>
      </c>
      <c r="U188" s="201"/>
      <c r="V188" s="201"/>
      <c r="W188" s="201"/>
    </row>
    <row r="189" spans="1:23" x14ac:dyDescent="0.4">
      <c r="A189" s="197">
        <v>7</v>
      </c>
      <c r="B189" s="202" t="s">
        <v>893</v>
      </c>
      <c r="C189" s="199" t="s">
        <v>894</v>
      </c>
      <c r="D189" s="199" t="s">
        <v>895</v>
      </c>
      <c r="E189" s="200">
        <v>4</v>
      </c>
      <c r="F189" s="200">
        <v>3.5</v>
      </c>
      <c r="G189" s="200">
        <v>3.7</v>
      </c>
      <c r="H189" s="200">
        <v>3.8</v>
      </c>
      <c r="I189" s="200">
        <v>3.9</v>
      </c>
      <c r="J189" s="200">
        <v>4</v>
      </c>
      <c r="K189" s="201">
        <v>4</v>
      </c>
      <c r="L189" s="201">
        <v>4.0999999999999996</v>
      </c>
      <c r="M189" s="201">
        <v>4.2</v>
      </c>
      <c r="N189" s="201">
        <v>4.3</v>
      </c>
      <c r="O189" s="201">
        <v>4.4000000000000004</v>
      </c>
      <c r="P189" s="201">
        <v>4.3</v>
      </c>
      <c r="Q189" s="201">
        <v>4.3</v>
      </c>
      <c r="R189" s="201">
        <v>4.3</v>
      </c>
      <c r="S189" s="201">
        <v>4.3</v>
      </c>
      <c r="T189" s="201">
        <v>4.3</v>
      </c>
      <c r="U189" s="201"/>
      <c r="V189" s="201"/>
      <c r="W189" s="201"/>
    </row>
    <row r="190" spans="1:23" x14ac:dyDescent="0.4">
      <c r="A190" s="197">
        <v>8</v>
      </c>
      <c r="B190" s="202" t="s">
        <v>896</v>
      </c>
      <c r="C190" s="199" t="s">
        <v>897</v>
      </c>
      <c r="D190" s="199" t="s">
        <v>895</v>
      </c>
      <c r="E190" s="200">
        <v>3.4</v>
      </c>
      <c r="F190" s="200">
        <v>3.6</v>
      </c>
      <c r="G190" s="200">
        <v>2.8</v>
      </c>
      <c r="H190" s="200">
        <v>2.8</v>
      </c>
      <c r="I190" s="200">
        <v>2.8</v>
      </c>
      <c r="J190" s="200">
        <v>2.8</v>
      </c>
      <c r="K190" s="201">
        <v>2.8</v>
      </c>
      <c r="L190" s="201">
        <v>2.8</v>
      </c>
      <c r="M190" s="201">
        <v>2.7</v>
      </c>
      <c r="N190" s="201">
        <v>2.7</v>
      </c>
      <c r="O190" s="201">
        <v>2.7</v>
      </c>
      <c r="P190" s="201">
        <v>2.7</v>
      </c>
      <c r="Q190" s="201">
        <v>2.7</v>
      </c>
      <c r="R190" s="201">
        <v>2.6</v>
      </c>
      <c r="S190" s="201">
        <v>2.6</v>
      </c>
      <c r="T190" s="201">
        <v>2.5</v>
      </c>
      <c r="U190" s="201"/>
      <c r="V190" s="201"/>
      <c r="W190" s="201"/>
    </row>
    <row r="191" spans="1:23" x14ac:dyDescent="0.4">
      <c r="A191" s="197">
        <v>9</v>
      </c>
      <c r="B191" s="198" t="s">
        <v>898</v>
      </c>
      <c r="C191" s="199" t="s">
        <v>899</v>
      </c>
      <c r="D191" s="199" t="s">
        <v>895</v>
      </c>
      <c r="E191" s="200">
        <v>2.1</v>
      </c>
      <c r="F191" s="200">
        <v>2.2000000000000002</v>
      </c>
      <c r="G191" s="200">
        <v>2.2000000000000002</v>
      </c>
      <c r="H191" s="200">
        <v>2.2999999999999998</v>
      </c>
      <c r="I191" s="200">
        <v>2.5</v>
      </c>
      <c r="J191" s="200">
        <v>2.7</v>
      </c>
      <c r="K191" s="200">
        <v>2.9</v>
      </c>
      <c r="L191" s="200">
        <v>3</v>
      </c>
      <c r="M191" s="200">
        <v>3.1</v>
      </c>
      <c r="N191" s="200">
        <v>3.1</v>
      </c>
      <c r="O191" s="200">
        <v>3.2</v>
      </c>
      <c r="P191" s="200">
        <v>3.3</v>
      </c>
      <c r="Q191" s="200">
        <v>3.4</v>
      </c>
      <c r="R191" s="200">
        <v>3.4</v>
      </c>
      <c r="S191" s="200">
        <v>3.5</v>
      </c>
      <c r="T191" s="200">
        <v>3.5</v>
      </c>
      <c r="U191" s="200"/>
      <c r="V191" s="200"/>
      <c r="W191" s="200"/>
    </row>
    <row r="192" spans="1:23" x14ac:dyDescent="0.4">
      <c r="A192" s="197">
        <v>10</v>
      </c>
      <c r="B192" s="198" t="s">
        <v>900</v>
      </c>
      <c r="C192" s="199" t="s">
        <v>901</v>
      </c>
      <c r="D192" s="199" t="s">
        <v>885</v>
      </c>
      <c r="E192" s="200">
        <v>-1.6</v>
      </c>
      <c r="F192" s="200">
        <v>-1.1000000000000001</v>
      </c>
      <c r="G192" s="200">
        <v>1.5</v>
      </c>
      <c r="H192" s="200">
        <v>-0.8</v>
      </c>
      <c r="I192" s="200">
        <v>-0.9</v>
      </c>
      <c r="J192" s="200">
        <v>-1</v>
      </c>
      <c r="K192" s="201">
        <v>-1</v>
      </c>
      <c r="L192" s="201">
        <v>-1</v>
      </c>
      <c r="M192" s="201">
        <v>-1.1000000000000001</v>
      </c>
      <c r="N192" s="201">
        <v>-1.1000000000000001</v>
      </c>
      <c r="O192" s="201">
        <v>0.2</v>
      </c>
      <c r="P192" s="201">
        <v>0.2</v>
      </c>
      <c r="Q192" s="201">
        <v>0.2</v>
      </c>
      <c r="R192" s="201">
        <v>0.2</v>
      </c>
      <c r="S192" s="201">
        <v>0.2</v>
      </c>
      <c r="T192" s="201">
        <v>0.2</v>
      </c>
      <c r="U192" s="201"/>
      <c r="V192" s="201"/>
      <c r="W192" s="201"/>
    </row>
    <row r="193" spans="1:23" x14ac:dyDescent="0.4">
      <c r="A193" s="197">
        <v>11</v>
      </c>
      <c r="B193" s="203" t="s">
        <v>902</v>
      </c>
      <c r="C193" s="199" t="s">
        <v>903</v>
      </c>
      <c r="D193" s="199" t="s">
        <v>904</v>
      </c>
      <c r="E193" s="200">
        <v>0.6</v>
      </c>
      <c r="F193" s="200">
        <v>1.2</v>
      </c>
      <c r="G193" s="200">
        <v>2.5</v>
      </c>
      <c r="H193" s="200">
        <v>2.4</v>
      </c>
      <c r="I193" s="200">
        <v>1.7</v>
      </c>
      <c r="J193" s="200">
        <v>1.5</v>
      </c>
      <c r="K193" s="201">
        <v>0.5</v>
      </c>
      <c r="L193" s="201">
        <v>0.3</v>
      </c>
      <c r="M193" s="201">
        <v>0.2</v>
      </c>
      <c r="N193" s="201">
        <v>0.2</v>
      </c>
      <c r="O193" s="201">
        <v>0.2</v>
      </c>
      <c r="P193" s="201">
        <v>0.3</v>
      </c>
      <c r="Q193" s="201">
        <v>0.7</v>
      </c>
      <c r="R193" s="201">
        <v>0.7</v>
      </c>
      <c r="S193" s="201">
        <v>0.8</v>
      </c>
      <c r="T193" s="201">
        <v>0.9</v>
      </c>
      <c r="U193" s="201"/>
      <c r="V193" s="201"/>
      <c r="W193" s="201"/>
    </row>
    <row r="194" spans="1:23" x14ac:dyDescent="0.4">
      <c r="A194" s="197">
        <v>12</v>
      </c>
      <c r="B194" s="203" t="s">
        <v>7</v>
      </c>
      <c r="C194" s="199" t="s">
        <v>905</v>
      </c>
      <c r="D194" s="199" t="s">
        <v>904</v>
      </c>
      <c r="E194" s="200">
        <v>2</v>
      </c>
      <c r="F194" s="200">
        <v>2.2000000000000002</v>
      </c>
      <c r="G194" s="200">
        <v>2.2999999999999998</v>
      </c>
      <c r="H194" s="200">
        <v>2</v>
      </c>
      <c r="I194" s="200">
        <v>1.5</v>
      </c>
      <c r="J194" s="200">
        <v>1.3</v>
      </c>
      <c r="K194" s="201">
        <v>0.4</v>
      </c>
      <c r="L194" s="201">
        <v>0.3</v>
      </c>
      <c r="M194" s="201">
        <v>0.2</v>
      </c>
      <c r="N194" s="201">
        <v>0.2</v>
      </c>
      <c r="O194" s="201">
        <v>0.2</v>
      </c>
      <c r="P194" s="201">
        <v>0.3</v>
      </c>
      <c r="Q194" s="201">
        <v>0.7</v>
      </c>
      <c r="R194" s="201">
        <v>0.7</v>
      </c>
      <c r="S194" s="201">
        <v>0.8</v>
      </c>
      <c r="T194" s="201">
        <v>0.9</v>
      </c>
      <c r="U194" s="201"/>
      <c r="V194" s="201"/>
      <c r="W194" s="201"/>
    </row>
    <row r="195" spans="1:23" x14ac:dyDescent="0.4">
      <c r="A195" s="197">
        <v>13</v>
      </c>
      <c r="B195" s="204" t="s">
        <v>8</v>
      </c>
      <c r="C195" s="199" t="s">
        <v>906</v>
      </c>
      <c r="D195" s="199" t="s">
        <v>904</v>
      </c>
      <c r="E195" s="200">
        <v>4.5</v>
      </c>
      <c r="F195" s="200">
        <v>3</v>
      </c>
      <c r="G195" s="200">
        <v>2.2000000000000002</v>
      </c>
      <c r="H195" s="200">
        <v>2.2999999999999998</v>
      </c>
      <c r="I195" s="200">
        <v>2.2999999999999998</v>
      </c>
      <c r="J195" s="200">
        <v>2.4</v>
      </c>
      <c r="K195" s="201">
        <v>2.4</v>
      </c>
      <c r="L195" s="201">
        <v>2.4</v>
      </c>
      <c r="M195" s="201">
        <v>2.5</v>
      </c>
      <c r="N195" s="201">
        <v>2.5</v>
      </c>
      <c r="O195" s="201">
        <v>2.6</v>
      </c>
      <c r="P195" s="201">
        <v>2.5</v>
      </c>
      <c r="Q195" s="201">
        <v>2.5</v>
      </c>
      <c r="R195" s="201">
        <v>2.5</v>
      </c>
      <c r="S195" s="201">
        <v>2.4</v>
      </c>
      <c r="T195" s="201">
        <v>2.4</v>
      </c>
      <c r="U195" s="201"/>
      <c r="V195" s="201"/>
      <c r="W195" s="201"/>
    </row>
    <row r="196" spans="1:23" x14ac:dyDescent="0.4">
      <c r="A196" s="205">
        <v>14</v>
      </c>
      <c r="B196" s="206" t="s">
        <v>9</v>
      </c>
      <c r="C196" s="207" t="s">
        <v>907</v>
      </c>
      <c r="D196" s="207" t="s">
        <v>904</v>
      </c>
      <c r="E196" s="208">
        <v>6.6</v>
      </c>
      <c r="F196" s="208">
        <v>5.3</v>
      </c>
      <c r="G196" s="208">
        <v>4.5</v>
      </c>
      <c r="H196" s="208">
        <v>4.3</v>
      </c>
      <c r="I196" s="208">
        <v>3.8</v>
      </c>
      <c r="J196" s="208">
        <v>3.7</v>
      </c>
      <c r="K196" s="208">
        <v>2.8</v>
      </c>
      <c r="L196" s="208">
        <v>2.7</v>
      </c>
      <c r="M196" s="208">
        <v>2.7</v>
      </c>
      <c r="N196" s="208">
        <v>2.7</v>
      </c>
      <c r="O196" s="208">
        <v>2.7</v>
      </c>
      <c r="P196" s="208">
        <v>2.8</v>
      </c>
      <c r="Q196" s="208">
        <v>3.2</v>
      </c>
      <c r="R196" s="208">
        <v>3.2</v>
      </c>
      <c r="S196" s="208">
        <v>3.3</v>
      </c>
      <c r="T196" s="208">
        <v>3.4</v>
      </c>
      <c r="U196" s="208"/>
      <c r="V196" s="208"/>
      <c r="W196" s="208"/>
    </row>
    <row r="197" spans="1:23" x14ac:dyDescent="0.4">
      <c r="H197" s="209"/>
      <c r="I197" s="209"/>
      <c r="J197" s="210"/>
      <c r="K197" s="210"/>
      <c r="L197" s="210"/>
      <c r="M197" s="210"/>
      <c r="N197" s="210"/>
      <c r="O197" s="210"/>
      <c r="P197" s="210"/>
      <c r="Q197" s="210"/>
      <c r="R197" s="210"/>
      <c r="S197" s="210"/>
      <c r="T197" s="210"/>
      <c r="U197" s="210"/>
      <c r="V197" s="210"/>
      <c r="W197" s="210"/>
    </row>
    <row r="198" spans="1:23" ht="23.25" x14ac:dyDescent="0.4">
      <c r="A198" s="190" t="s">
        <v>908</v>
      </c>
      <c r="B198" s="209"/>
      <c r="C198" s="209"/>
      <c r="D198" s="209"/>
      <c r="E198" s="209"/>
      <c r="F198" s="209"/>
      <c r="G198" s="209"/>
      <c r="H198" s="209"/>
      <c r="I198" s="209"/>
      <c r="J198" s="210"/>
      <c r="K198" s="210"/>
      <c r="L198" s="210"/>
      <c r="M198" s="210"/>
      <c r="N198" s="210"/>
      <c r="O198" s="210"/>
      <c r="P198" s="210"/>
      <c r="Q198" s="210"/>
      <c r="R198" s="210"/>
      <c r="S198" s="210"/>
      <c r="T198" s="210"/>
      <c r="U198" s="210"/>
      <c r="V198" s="210"/>
      <c r="W198" s="210"/>
    </row>
    <row r="199" spans="1:23" x14ac:dyDescent="0.4">
      <c r="A199" s="193"/>
      <c r="B199" s="194" t="s">
        <v>207</v>
      </c>
      <c r="C199" s="194"/>
      <c r="D199" s="196"/>
      <c r="E199" s="196">
        <v>2023</v>
      </c>
      <c r="F199" s="196">
        <v>2024</v>
      </c>
      <c r="G199" s="196">
        <v>2025</v>
      </c>
      <c r="H199" s="196">
        <v>2026</v>
      </c>
      <c r="I199" s="196">
        <v>2027</v>
      </c>
      <c r="J199" s="196">
        <v>2028</v>
      </c>
      <c r="K199" s="196">
        <v>2029</v>
      </c>
      <c r="L199" s="196">
        <v>2030</v>
      </c>
      <c r="M199" s="196">
        <v>2031</v>
      </c>
      <c r="N199" s="196">
        <v>2032</v>
      </c>
      <c r="O199" s="196">
        <v>2033</v>
      </c>
      <c r="P199" s="196">
        <v>2034</v>
      </c>
      <c r="Q199" s="196">
        <v>2035</v>
      </c>
      <c r="R199" s="196">
        <v>2036</v>
      </c>
      <c r="S199" s="196">
        <v>2037</v>
      </c>
      <c r="T199" s="196">
        <v>2038</v>
      </c>
      <c r="U199" s="196">
        <v>2039</v>
      </c>
      <c r="V199" s="196">
        <v>2040</v>
      </c>
      <c r="W199" s="196">
        <v>2041</v>
      </c>
    </row>
    <row r="200" spans="1:23" x14ac:dyDescent="0.4">
      <c r="A200" s="197">
        <v>1</v>
      </c>
      <c r="B200" s="198" t="s">
        <v>1</v>
      </c>
      <c r="C200" s="199" t="s">
        <v>884</v>
      </c>
      <c r="D200" s="199" t="s">
        <v>885</v>
      </c>
      <c r="E200" s="211">
        <v>161.9</v>
      </c>
      <c r="F200" s="211">
        <v>153.69999999999999</v>
      </c>
      <c r="G200" s="211">
        <v>149.1</v>
      </c>
      <c r="H200" s="211">
        <v>143.1</v>
      </c>
      <c r="I200" s="211">
        <v>138</v>
      </c>
      <c r="J200" s="211">
        <v>133.4</v>
      </c>
      <c r="K200" s="211">
        <v>130.5</v>
      </c>
      <c r="L200" s="211">
        <v>127.7</v>
      </c>
      <c r="M200" s="211">
        <v>125.2</v>
      </c>
      <c r="N200" s="211">
        <v>122.7</v>
      </c>
      <c r="O200" s="211">
        <v>121.8</v>
      </c>
      <c r="P200" s="211">
        <v>121</v>
      </c>
      <c r="Q200" s="211">
        <v>119.9</v>
      </c>
      <c r="R200" s="211">
        <v>118.8</v>
      </c>
      <c r="S200" s="211">
        <v>117.7</v>
      </c>
      <c r="T200" s="211">
        <v>116.7</v>
      </c>
      <c r="U200" s="200"/>
      <c r="V200" s="200"/>
      <c r="W200" s="200"/>
    </row>
    <row r="201" spans="1:23" x14ac:dyDescent="0.4">
      <c r="A201" s="197">
        <v>2</v>
      </c>
      <c r="B201" s="198" t="s">
        <v>893</v>
      </c>
      <c r="C201" s="199" t="s">
        <v>894</v>
      </c>
      <c r="D201" s="199" t="s">
        <v>895</v>
      </c>
      <c r="E201" s="211">
        <v>4</v>
      </c>
      <c r="F201" s="211">
        <v>3.5</v>
      </c>
      <c r="G201" s="211">
        <v>3.7</v>
      </c>
      <c r="H201" s="211">
        <v>3.8</v>
      </c>
      <c r="I201" s="211">
        <v>3.9</v>
      </c>
      <c r="J201" s="211">
        <v>4</v>
      </c>
      <c r="K201" s="211">
        <v>7.6</v>
      </c>
      <c r="L201" s="211">
        <v>4.0999999999999996</v>
      </c>
      <c r="M201" s="211">
        <v>4.2</v>
      </c>
      <c r="N201" s="211">
        <v>4.3</v>
      </c>
      <c r="O201" s="211">
        <v>4.4000000000000004</v>
      </c>
      <c r="P201" s="211">
        <v>4.3</v>
      </c>
      <c r="Q201" s="211">
        <v>4.3</v>
      </c>
      <c r="R201" s="211">
        <v>4.3</v>
      </c>
      <c r="S201" s="211">
        <v>4.3</v>
      </c>
      <c r="T201" s="211">
        <v>4.3</v>
      </c>
      <c r="U201" s="200"/>
      <c r="V201" s="200"/>
      <c r="W201" s="200"/>
    </row>
    <row r="202" spans="1:23" x14ac:dyDescent="0.4">
      <c r="A202" s="197">
        <v>3</v>
      </c>
      <c r="B202" s="198" t="s">
        <v>896</v>
      </c>
      <c r="C202" s="199" t="s">
        <v>897</v>
      </c>
      <c r="D202" s="199" t="s">
        <v>895</v>
      </c>
      <c r="E202" s="211">
        <v>3.4</v>
      </c>
      <c r="F202" s="211">
        <v>3.6</v>
      </c>
      <c r="G202" s="211">
        <v>2.8</v>
      </c>
      <c r="H202" s="211">
        <v>2.8</v>
      </c>
      <c r="I202" s="211">
        <v>2.8</v>
      </c>
      <c r="J202" s="211">
        <v>2.8</v>
      </c>
      <c r="K202" s="211">
        <v>6.4</v>
      </c>
      <c r="L202" s="211">
        <v>2.8</v>
      </c>
      <c r="M202" s="211">
        <v>2.7</v>
      </c>
      <c r="N202" s="211">
        <v>2.7</v>
      </c>
      <c r="O202" s="211">
        <v>2.7</v>
      </c>
      <c r="P202" s="211">
        <v>2.7</v>
      </c>
      <c r="Q202" s="211">
        <v>2.7</v>
      </c>
      <c r="R202" s="211">
        <v>2.6</v>
      </c>
      <c r="S202" s="211">
        <v>2.6</v>
      </c>
      <c r="T202" s="211">
        <v>2.5</v>
      </c>
      <c r="U202" s="200"/>
      <c r="V202" s="200"/>
      <c r="W202" s="200"/>
    </row>
    <row r="203" spans="1:23" x14ac:dyDescent="0.4">
      <c r="A203" s="197"/>
      <c r="B203" s="212" t="s">
        <v>208</v>
      </c>
      <c r="C203" s="212"/>
      <c r="D203" s="213"/>
      <c r="E203" s="213">
        <v>2023</v>
      </c>
      <c r="F203" s="213">
        <v>2024</v>
      </c>
      <c r="G203" s="213">
        <v>2025</v>
      </c>
      <c r="H203" s="213">
        <v>2026</v>
      </c>
      <c r="I203" s="213">
        <v>2027</v>
      </c>
      <c r="J203" s="213">
        <v>2028</v>
      </c>
      <c r="K203" s="213">
        <v>2029</v>
      </c>
      <c r="L203" s="213">
        <v>2030</v>
      </c>
      <c r="M203" s="213">
        <v>2031</v>
      </c>
      <c r="N203" s="213">
        <v>2032</v>
      </c>
      <c r="O203" s="213">
        <v>2033</v>
      </c>
      <c r="P203" s="213">
        <v>2034</v>
      </c>
      <c r="Q203" s="213">
        <v>2035</v>
      </c>
      <c r="R203" s="213">
        <v>2036</v>
      </c>
      <c r="S203" s="213">
        <v>2037</v>
      </c>
      <c r="T203" s="213">
        <v>2038</v>
      </c>
      <c r="U203" s="213">
        <v>2039</v>
      </c>
      <c r="V203" s="213">
        <v>2040</v>
      </c>
      <c r="W203" s="213">
        <v>2041</v>
      </c>
    </row>
    <row r="204" spans="1:23" x14ac:dyDescent="0.4">
      <c r="A204" s="197">
        <v>4</v>
      </c>
      <c r="B204" s="198" t="s">
        <v>1</v>
      </c>
      <c r="C204" s="199" t="s">
        <v>884</v>
      </c>
      <c r="D204" s="199" t="s">
        <v>885</v>
      </c>
      <c r="E204" s="211">
        <v>161.9</v>
      </c>
      <c r="F204" s="211">
        <v>153.69999999999999</v>
      </c>
      <c r="G204" s="211">
        <v>149.1</v>
      </c>
      <c r="H204" s="211">
        <v>143.1</v>
      </c>
      <c r="I204" s="211">
        <v>138</v>
      </c>
      <c r="J204" s="211">
        <v>133.4</v>
      </c>
      <c r="K204" s="211">
        <v>130</v>
      </c>
      <c r="L204" s="211">
        <v>127.1</v>
      </c>
      <c r="M204" s="211">
        <v>124.8</v>
      </c>
      <c r="N204" s="211">
        <v>122.8</v>
      </c>
      <c r="O204" s="211">
        <v>122.4</v>
      </c>
      <c r="P204" s="211">
        <v>121.9</v>
      </c>
      <c r="Q204" s="211">
        <v>121.3</v>
      </c>
      <c r="R204" s="211">
        <v>120.5</v>
      </c>
      <c r="S204" s="211">
        <v>119.9</v>
      </c>
      <c r="T204" s="211">
        <v>119.3</v>
      </c>
      <c r="U204" s="200"/>
      <c r="V204" s="200"/>
      <c r="W204" s="200"/>
    </row>
    <row r="205" spans="1:23" x14ac:dyDescent="0.4">
      <c r="A205" s="197">
        <v>5</v>
      </c>
      <c r="B205" s="198" t="s">
        <v>3</v>
      </c>
      <c r="C205" s="199" t="s">
        <v>888</v>
      </c>
      <c r="D205" s="199" t="s">
        <v>889</v>
      </c>
      <c r="E205" s="211">
        <v>1.9</v>
      </c>
      <c r="F205" s="211">
        <v>1.9</v>
      </c>
      <c r="G205" s="211">
        <v>2</v>
      </c>
      <c r="H205" s="211">
        <v>2.1</v>
      </c>
      <c r="I205" s="211">
        <v>2.2000000000000002</v>
      </c>
      <c r="J205" s="211">
        <v>2.2999999999999998</v>
      </c>
      <c r="K205" s="211">
        <v>2.1</v>
      </c>
      <c r="L205" s="211">
        <v>1.8</v>
      </c>
      <c r="M205" s="211">
        <v>1.8</v>
      </c>
      <c r="N205" s="211">
        <v>1.8</v>
      </c>
      <c r="O205" s="211">
        <v>1.8</v>
      </c>
      <c r="P205" s="211">
        <v>1.8</v>
      </c>
      <c r="Q205" s="211">
        <v>1.8</v>
      </c>
      <c r="R205" s="211">
        <v>1.8</v>
      </c>
      <c r="S205" s="211">
        <v>1.8</v>
      </c>
      <c r="T205" s="211">
        <v>1.8</v>
      </c>
      <c r="U205" s="200"/>
      <c r="V205" s="200"/>
      <c r="W205" s="200"/>
    </row>
    <row r="206" spans="1:23" x14ac:dyDescent="0.4">
      <c r="A206" s="197"/>
      <c r="B206" s="212" t="s">
        <v>209</v>
      </c>
      <c r="C206" s="212"/>
      <c r="D206" s="213"/>
      <c r="E206" s="213"/>
      <c r="F206" s="213"/>
      <c r="G206" s="213"/>
      <c r="H206" s="213"/>
      <c r="I206" s="213"/>
      <c r="J206" s="213"/>
      <c r="K206" s="213"/>
      <c r="L206" s="213"/>
      <c r="M206" s="213"/>
      <c r="N206" s="213"/>
      <c r="O206" s="213"/>
      <c r="P206" s="213"/>
      <c r="Q206" s="213"/>
      <c r="R206" s="213"/>
      <c r="S206" s="213"/>
      <c r="T206" s="213"/>
      <c r="U206" s="213"/>
      <c r="V206" s="213"/>
      <c r="W206" s="213"/>
    </row>
    <row r="207" spans="1:23" x14ac:dyDescent="0.4">
      <c r="A207" s="197">
        <v>6</v>
      </c>
      <c r="B207" s="198" t="s">
        <v>1</v>
      </c>
      <c r="C207" s="199" t="s">
        <v>884</v>
      </c>
      <c r="D207" s="199" t="s">
        <v>885</v>
      </c>
      <c r="E207" s="211">
        <v>161.9</v>
      </c>
      <c r="F207" s="211">
        <v>153.69999999999999</v>
      </c>
      <c r="G207" s="211">
        <v>149.1</v>
      </c>
      <c r="H207" s="211">
        <v>143.1</v>
      </c>
      <c r="I207" s="211">
        <v>138</v>
      </c>
      <c r="J207" s="211">
        <v>133.4</v>
      </c>
      <c r="K207" s="211">
        <v>130.80000000000001</v>
      </c>
      <c r="L207" s="211">
        <v>128.5</v>
      </c>
      <c r="M207" s="211">
        <v>126.6</v>
      </c>
      <c r="N207" s="211">
        <v>124.7</v>
      </c>
      <c r="O207" s="211">
        <v>124.5</v>
      </c>
      <c r="P207" s="211">
        <v>124.4</v>
      </c>
      <c r="Q207" s="211">
        <v>124.1</v>
      </c>
      <c r="R207" s="211">
        <v>123.8</v>
      </c>
      <c r="S207" s="211">
        <v>123.5</v>
      </c>
      <c r="T207" s="211">
        <v>123.5</v>
      </c>
      <c r="U207" s="200"/>
      <c r="V207" s="200"/>
      <c r="W207" s="200"/>
    </row>
    <row r="208" spans="1:23" x14ac:dyDescent="0.4">
      <c r="A208" s="197">
        <v>7</v>
      </c>
      <c r="B208" s="198" t="s">
        <v>893</v>
      </c>
      <c r="C208" s="199" t="s">
        <v>894</v>
      </c>
      <c r="D208" s="199" t="s">
        <v>895</v>
      </c>
      <c r="E208" s="211">
        <v>4</v>
      </c>
      <c r="F208" s="211">
        <v>3.5</v>
      </c>
      <c r="G208" s="211">
        <v>3.7</v>
      </c>
      <c r="H208" s="211">
        <v>3.8</v>
      </c>
      <c r="I208" s="211">
        <v>3.9</v>
      </c>
      <c r="J208" s="211">
        <v>4</v>
      </c>
      <c r="K208" s="211">
        <v>4.5</v>
      </c>
      <c r="L208" s="211">
        <v>4.5999999999999996</v>
      </c>
      <c r="M208" s="211">
        <v>4.7</v>
      </c>
      <c r="N208" s="211">
        <v>4.8</v>
      </c>
      <c r="O208" s="211">
        <v>4.9000000000000004</v>
      </c>
      <c r="P208" s="211">
        <v>4.8</v>
      </c>
      <c r="Q208" s="211">
        <v>4.8</v>
      </c>
      <c r="R208" s="211">
        <v>4.8</v>
      </c>
      <c r="S208" s="211">
        <v>4.8</v>
      </c>
      <c r="T208" s="211">
        <v>4.8</v>
      </c>
      <c r="U208" s="200"/>
      <c r="V208" s="200"/>
      <c r="W208" s="200"/>
    </row>
    <row r="209" spans="1:23" x14ac:dyDescent="0.4">
      <c r="A209" s="197">
        <v>8</v>
      </c>
      <c r="B209" s="198" t="s">
        <v>896</v>
      </c>
      <c r="C209" s="199" t="s">
        <v>897</v>
      </c>
      <c r="D209" s="199" t="s">
        <v>895</v>
      </c>
      <c r="E209" s="211">
        <v>3.4</v>
      </c>
      <c r="F209" s="211">
        <v>3.6</v>
      </c>
      <c r="G209" s="211">
        <v>2.8</v>
      </c>
      <c r="H209" s="211">
        <v>2.8</v>
      </c>
      <c r="I209" s="211">
        <v>2.8</v>
      </c>
      <c r="J209" s="211">
        <v>2.8</v>
      </c>
      <c r="K209" s="211">
        <v>3.3</v>
      </c>
      <c r="L209" s="211">
        <v>3.3</v>
      </c>
      <c r="M209" s="211">
        <v>3.2</v>
      </c>
      <c r="N209" s="211">
        <v>3.2</v>
      </c>
      <c r="O209" s="211">
        <v>3.2</v>
      </c>
      <c r="P209" s="211">
        <v>3.2</v>
      </c>
      <c r="Q209" s="211">
        <v>3.2</v>
      </c>
      <c r="R209" s="211">
        <v>3.1</v>
      </c>
      <c r="S209" s="211">
        <v>3.1</v>
      </c>
      <c r="T209" s="211">
        <v>3</v>
      </c>
      <c r="U209" s="200"/>
      <c r="V209" s="200"/>
      <c r="W209" s="200"/>
    </row>
    <row r="210" spans="1:23" x14ac:dyDescent="0.4">
      <c r="A210" s="197">
        <v>9</v>
      </c>
      <c r="B210" s="203" t="s">
        <v>7</v>
      </c>
      <c r="C210" s="199" t="s">
        <v>905</v>
      </c>
      <c r="D210" s="199" t="s">
        <v>904</v>
      </c>
      <c r="E210" s="211">
        <v>2</v>
      </c>
      <c r="F210" s="211">
        <v>2.2000000000000002</v>
      </c>
      <c r="G210" s="211">
        <v>2.2999999999999998</v>
      </c>
      <c r="H210" s="211">
        <v>2</v>
      </c>
      <c r="I210" s="211">
        <v>1.5</v>
      </c>
      <c r="J210" s="211">
        <v>1.3</v>
      </c>
      <c r="K210" s="211">
        <v>-0.1</v>
      </c>
      <c r="L210" s="211">
        <v>-0.2</v>
      </c>
      <c r="M210" s="211">
        <v>-0.3</v>
      </c>
      <c r="N210" s="211">
        <v>-0.3</v>
      </c>
      <c r="O210" s="211">
        <v>-0.3</v>
      </c>
      <c r="P210" s="211">
        <v>-0.2</v>
      </c>
      <c r="Q210" s="211">
        <v>0.2</v>
      </c>
      <c r="R210" s="211">
        <v>0.2</v>
      </c>
      <c r="S210" s="211">
        <v>0.3</v>
      </c>
      <c r="T210" s="211">
        <v>0.4</v>
      </c>
      <c r="U210" s="200"/>
      <c r="V210" s="200"/>
      <c r="W210" s="200"/>
    </row>
    <row r="211" spans="1:23" x14ac:dyDescent="0.4">
      <c r="A211" s="197">
        <v>10</v>
      </c>
      <c r="B211" s="203" t="s">
        <v>902</v>
      </c>
      <c r="C211" s="199" t="s">
        <v>903</v>
      </c>
      <c r="D211" s="199" t="s">
        <v>904</v>
      </c>
      <c r="E211" s="211">
        <v>0.6</v>
      </c>
      <c r="F211" s="211">
        <v>1.2</v>
      </c>
      <c r="G211" s="211">
        <v>2.5</v>
      </c>
      <c r="H211" s="211">
        <v>2.4</v>
      </c>
      <c r="I211" s="211">
        <v>1.7</v>
      </c>
      <c r="J211" s="211">
        <v>1.5</v>
      </c>
      <c r="K211" s="211">
        <v>0</v>
      </c>
      <c r="L211" s="211">
        <v>-0.2</v>
      </c>
      <c r="M211" s="211">
        <v>-0.3</v>
      </c>
      <c r="N211" s="211">
        <v>-0.3</v>
      </c>
      <c r="O211" s="211">
        <v>-0.3</v>
      </c>
      <c r="P211" s="211">
        <v>-0.2</v>
      </c>
      <c r="Q211" s="211">
        <v>0.2</v>
      </c>
      <c r="R211" s="211">
        <v>0.2</v>
      </c>
      <c r="S211" s="211">
        <v>0.3</v>
      </c>
      <c r="T211" s="211">
        <v>0.4</v>
      </c>
      <c r="U211" s="200"/>
      <c r="V211" s="200"/>
      <c r="W211" s="200"/>
    </row>
    <row r="212" spans="1:23" x14ac:dyDescent="0.4">
      <c r="A212" s="197"/>
      <c r="B212" s="212" t="s">
        <v>210</v>
      </c>
      <c r="C212" s="212"/>
      <c r="D212" s="213"/>
      <c r="E212" s="214">
        <f>StochasticLastYear</f>
        <v>2033</v>
      </c>
      <c r="F212" s="215"/>
      <c r="G212" s="215"/>
      <c r="H212" s="215"/>
      <c r="I212" s="215"/>
      <c r="J212" s="215"/>
      <c r="K212" s="215"/>
      <c r="L212" s="215"/>
      <c r="M212" s="215"/>
      <c r="N212" s="215"/>
      <c r="O212" s="215"/>
      <c r="P212" s="215"/>
      <c r="Q212" s="215"/>
      <c r="R212" s="215"/>
      <c r="S212" s="215"/>
      <c r="T212" s="215"/>
      <c r="U212" s="215"/>
      <c r="V212" s="215"/>
      <c r="W212" s="215"/>
    </row>
    <row r="213" spans="1:23" x14ac:dyDescent="0.4">
      <c r="A213" s="205">
        <v>11</v>
      </c>
      <c r="B213" s="216" t="s">
        <v>909</v>
      </c>
      <c r="C213" s="207"/>
      <c r="D213" s="207" t="s">
        <v>895</v>
      </c>
      <c r="E213" s="217">
        <v>71.8</v>
      </c>
      <c r="F213" s="218"/>
      <c r="G213" s="217"/>
      <c r="H213" s="219"/>
      <c r="I213" s="219"/>
      <c r="J213" s="217"/>
      <c r="K213" s="219"/>
      <c r="L213" s="217"/>
      <c r="M213" s="217"/>
      <c r="N213" s="219"/>
      <c r="O213" s="219"/>
      <c r="P213" s="217"/>
      <c r="Q213" s="219"/>
      <c r="R213" s="217"/>
      <c r="S213" s="220"/>
      <c r="T213" s="218"/>
      <c r="U213" s="221"/>
      <c r="V213" s="222"/>
      <c r="W213" s="221"/>
    </row>
    <row r="214" spans="1:23" x14ac:dyDescent="0.4">
      <c r="A214" s="223"/>
      <c r="B214" s="209"/>
      <c r="C214" s="209"/>
      <c r="D214" s="209"/>
      <c r="E214" s="209"/>
      <c r="F214" s="209"/>
      <c r="G214" s="209"/>
      <c r="H214" s="209"/>
      <c r="I214" s="209"/>
      <c r="J214" s="210"/>
      <c r="K214" s="210"/>
      <c r="L214" s="210"/>
      <c r="M214" s="210"/>
      <c r="N214" s="210"/>
      <c r="O214" s="210"/>
      <c r="P214" s="224"/>
      <c r="Q214" s="224"/>
      <c r="R214" s="224"/>
      <c r="S214" s="224"/>
      <c r="T214" s="224"/>
      <c r="U214" s="224"/>
      <c r="V214" s="210"/>
      <c r="W214" s="210"/>
    </row>
    <row r="215" spans="1:23" ht="23.25" x14ac:dyDescent="0.4">
      <c r="A215" s="190" t="s">
        <v>910</v>
      </c>
      <c r="B215" s="209"/>
      <c r="C215" s="209"/>
      <c r="D215" s="209"/>
      <c r="E215" s="209"/>
      <c r="F215" s="209"/>
      <c r="G215" s="209"/>
      <c r="H215" s="209"/>
      <c r="I215" s="209"/>
      <c r="J215" s="210"/>
      <c r="K215" s="210"/>
      <c r="L215" s="210"/>
      <c r="M215" s="210"/>
      <c r="N215" s="210"/>
      <c r="O215" s="210"/>
      <c r="P215" s="210"/>
      <c r="Q215" s="210"/>
      <c r="R215" s="210"/>
      <c r="S215" s="210"/>
      <c r="T215" s="210"/>
      <c r="U215" s="210"/>
      <c r="V215" s="210"/>
      <c r="W215" s="210"/>
    </row>
    <row r="216" spans="1:23" x14ac:dyDescent="0.4">
      <c r="A216" s="225"/>
      <c r="B216" s="226"/>
      <c r="C216" s="226"/>
      <c r="D216" s="226"/>
      <c r="E216" s="226">
        <v>2023</v>
      </c>
      <c r="F216" s="226">
        <v>2024</v>
      </c>
      <c r="G216" s="226">
        <v>2025</v>
      </c>
      <c r="H216" s="226">
        <v>2026</v>
      </c>
      <c r="I216" s="226">
        <v>2027</v>
      </c>
      <c r="J216" s="226">
        <v>2028</v>
      </c>
      <c r="K216" s="226">
        <v>2029</v>
      </c>
      <c r="L216" s="226">
        <v>2030</v>
      </c>
      <c r="M216" s="226">
        <v>2031</v>
      </c>
      <c r="N216" s="226">
        <v>2032</v>
      </c>
      <c r="O216" s="226">
        <v>2033</v>
      </c>
      <c r="P216" s="226">
        <v>2034</v>
      </c>
      <c r="Q216" s="226">
        <v>2035</v>
      </c>
      <c r="R216" s="226">
        <v>2036</v>
      </c>
      <c r="S216" s="226">
        <v>2037</v>
      </c>
      <c r="T216" s="226">
        <v>2038</v>
      </c>
      <c r="U216" s="226">
        <v>2039</v>
      </c>
      <c r="V216" s="226">
        <v>2040</v>
      </c>
      <c r="W216" s="226">
        <v>2041</v>
      </c>
    </row>
    <row r="217" spans="1:23" x14ac:dyDescent="0.4">
      <c r="A217" s="227">
        <v>1</v>
      </c>
      <c r="B217" s="228" t="s">
        <v>1</v>
      </c>
      <c r="C217" s="228" t="s">
        <v>884</v>
      </c>
      <c r="D217" s="228" t="s">
        <v>885</v>
      </c>
      <c r="E217">
        <v>161.9</v>
      </c>
      <c r="F217">
        <v>153.69999999999999</v>
      </c>
      <c r="G217">
        <v>148.80000000000001</v>
      </c>
      <c r="H217">
        <v>142.4</v>
      </c>
      <c r="I217">
        <v>137.19999999999999</v>
      </c>
      <c r="J217">
        <v>132.5</v>
      </c>
      <c r="K217">
        <v>128.80000000000001</v>
      </c>
      <c r="L217">
        <v>125.4</v>
      </c>
      <c r="M217">
        <v>122.2</v>
      </c>
      <c r="N217">
        <v>119.3</v>
      </c>
      <c r="O217">
        <v>117.8</v>
      </c>
      <c r="P217">
        <v>116.5</v>
      </c>
      <c r="Q217">
        <v>114.9</v>
      </c>
      <c r="R217">
        <v>113.3</v>
      </c>
      <c r="S217">
        <v>111.7</v>
      </c>
      <c r="T217">
        <v>110.3</v>
      </c>
    </row>
    <row r="218" spans="1:23" x14ac:dyDescent="0.4">
      <c r="A218" s="227">
        <v>2</v>
      </c>
      <c r="B218" s="228" t="s">
        <v>886</v>
      </c>
      <c r="C218" s="228" t="s">
        <v>887</v>
      </c>
      <c r="D218" s="228" t="s">
        <v>885</v>
      </c>
      <c r="E218">
        <v>-1.6</v>
      </c>
      <c r="F218">
        <v>-1</v>
      </c>
      <c r="G218">
        <v>-0.5</v>
      </c>
      <c r="H218">
        <v>-0.5</v>
      </c>
      <c r="I218">
        <v>-0.7</v>
      </c>
      <c r="J218">
        <v>-0.9</v>
      </c>
      <c r="K218">
        <v>-1.1000000000000001</v>
      </c>
      <c r="L218">
        <v>-1.1000000000000001</v>
      </c>
      <c r="M218">
        <v>-1.2</v>
      </c>
      <c r="N218">
        <v>-1.3</v>
      </c>
      <c r="O218">
        <v>-1.5</v>
      </c>
      <c r="P218">
        <v>-1.7</v>
      </c>
      <c r="Q218">
        <v>-1.9</v>
      </c>
      <c r="R218">
        <v>-1.8</v>
      </c>
      <c r="S218">
        <v>1</v>
      </c>
      <c r="T218">
        <v>-2</v>
      </c>
    </row>
    <row r="219" spans="1:23" x14ac:dyDescent="0.4">
      <c r="A219" s="227">
        <v>3</v>
      </c>
      <c r="B219" s="228" t="s">
        <v>3</v>
      </c>
      <c r="C219" s="228" t="s">
        <v>888</v>
      </c>
      <c r="D219" s="228" t="s">
        <v>889</v>
      </c>
      <c r="E219">
        <v>1.9</v>
      </c>
      <c r="F219">
        <v>1.9</v>
      </c>
      <c r="G219">
        <v>1.9</v>
      </c>
      <c r="H219">
        <v>1.9</v>
      </c>
      <c r="I219">
        <v>1.9</v>
      </c>
      <c r="J219">
        <v>1.9</v>
      </c>
      <c r="K219">
        <v>1.9</v>
      </c>
      <c r="L219">
        <v>1.9</v>
      </c>
      <c r="M219">
        <v>1.9</v>
      </c>
      <c r="N219">
        <v>1.9</v>
      </c>
      <c r="O219">
        <v>1.9</v>
      </c>
      <c r="P219">
        <v>1.9</v>
      </c>
      <c r="Q219">
        <v>1.9</v>
      </c>
      <c r="R219">
        <v>1.9</v>
      </c>
      <c r="S219">
        <v>-1.9</v>
      </c>
      <c r="T219">
        <v>1.9</v>
      </c>
    </row>
    <row r="220" spans="1:23" x14ac:dyDescent="0.4">
      <c r="A220" s="227">
        <v>4</v>
      </c>
      <c r="B220" s="228" t="s">
        <v>890</v>
      </c>
      <c r="C220" s="228"/>
      <c r="D220" s="228" t="s">
        <v>889</v>
      </c>
      <c r="E220">
        <v>-0.1</v>
      </c>
      <c r="F220">
        <v>-0.7</v>
      </c>
      <c r="G220">
        <v>-0.5</v>
      </c>
      <c r="H220">
        <v>-0.4</v>
      </c>
      <c r="I220">
        <v>-0.2</v>
      </c>
      <c r="J220">
        <v>0</v>
      </c>
      <c r="K220">
        <v>0</v>
      </c>
      <c r="L220">
        <v>0</v>
      </c>
      <c r="M220">
        <v>0</v>
      </c>
      <c r="N220">
        <v>0</v>
      </c>
      <c r="O220">
        <v>0</v>
      </c>
      <c r="P220">
        <v>0</v>
      </c>
      <c r="Q220">
        <v>0</v>
      </c>
      <c r="R220">
        <v>0</v>
      </c>
      <c r="S220">
        <v>1.9</v>
      </c>
      <c r="T220">
        <v>0</v>
      </c>
    </row>
    <row r="221" spans="1:23" x14ac:dyDescent="0.4">
      <c r="A221" s="227">
        <v>5</v>
      </c>
      <c r="B221" s="228" t="s">
        <v>25</v>
      </c>
      <c r="C221" s="228" t="s">
        <v>892</v>
      </c>
      <c r="D221" s="228" t="s">
        <v>885</v>
      </c>
      <c r="E221">
        <v>3.5</v>
      </c>
      <c r="F221">
        <v>3.4</v>
      </c>
      <c r="G221">
        <v>3.2</v>
      </c>
      <c r="H221">
        <v>3.2</v>
      </c>
      <c r="I221">
        <v>3.5</v>
      </c>
      <c r="J221">
        <v>3.6</v>
      </c>
      <c r="K221">
        <v>3.8</v>
      </c>
      <c r="L221">
        <v>3.7</v>
      </c>
      <c r="M221">
        <v>3.7</v>
      </c>
      <c r="N221">
        <v>3.7</v>
      </c>
      <c r="O221">
        <v>3.7</v>
      </c>
      <c r="P221">
        <v>3.8</v>
      </c>
      <c r="Q221">
        <v>3.8</v>
      </c>
      <c r="R221">
        <v>3.8</v>
      </c>
      <c r="S221">
        <v>0</v>
      </c>
      <c r="T221">
        <v>3.8</v>
      </c>
    </row>
    <row r="222" spans="1:23" x14ac:dyDescent="0.4">
      <c r="A222" s="227">
        <v>6</v>
      </c>
      <c r="B222" s="228" t="s">
        <v>893</v>
      </c>
      <c r="C222" s="228" t="s">
        <v>894</v>
      </c>
      <c r="D222" s="228" t="s">
        <v>895</v>
      </c>
      <c r="E222">
        <v>4</v>
      </c>
      <c r="F222">
        <v>3.5</v>
      </c>
      <c r="G222">
        <v>3.7</v>
      </c>
      <c r="H222">
        <v>3.8</v>
      </c>
      <c r="I222">
        <v>3.9</v>
      </c>
      <c r="J222">
        <v>4</v>
      </c>
      <c r="K222">
        <v>4</v>
      </c>
      <c r="L222">
        <v>4.0999999999999996</v>
      </c>
      <c r="M222">
        <v>4.2</v>
      </c>
      <c r="N222">
        <v>4.3</v>
      </c>
      <c r="O222">
        <v>4.4000000000000004</v>
      </c>
      <c r="P222">
        <v>4.3</v>
      </c>
      <c r="Q222">
        <v>4.3</v>
      </c>
      <c r="R222">
        <v>4.3</v>
      </c>
      <c r="S222">
        <v>3.8</v>
      </c>
      <c r="T222">
        <v>4.3</v>
      </c>
    </row>
    <row r="223" spans="1:23" x14ac:dyDescent="0.4">
      <c r="A223" s="227">
        <v>7</v>
      </c>
      <c r="B223" s="228" t="s">
        <v>896</v>
      </c>
      <c r="C223" s="228" t="s">
        <v>897</v>
      </c>
      <c r="D223" s="228" t="s">
        <v>895</v>
      </c>
      <c r="E223">
        <v>3.4</v>
      </c>
      <c r="F223">
        <v>3.6</v>
      </c>
      <c r="G223">
        <v>2.8</v>
      </c>
      <c r="H223">
        <v>2.8</v>
      </c>
      <c r="I223">
        <v>2.8</v>
      </c>
      <c r="J223">
        <v>2.8</v>
      </c>
      <c r="K223">
        <v>2.8</v>
      </c>
      <c r="L223">
        <v>2.8</v>
      </c>
      <c r="M223">
        <v>2.7</v>
      </c>
      <c r="N223">
        <v>2.7</v>
      </c>
      <c r="O223">
        <v>2.7</v>
      </c>
      <c r="P223">
        <v>2.7</v>
      </c>
      <c r="Q223">
        <v>2.7</v>
      </c>
      <c r="R223">
        <v>2.6</v>
      </c>
      <c r="S223">
        <v>4.3</v>
      </c>
      <c r="T223">
        <v>2.5</v>
      </c>
    </row>
    <row r="224" spans="1:23" x14ac:dyDescent="0.4">
      <c r="A224" s="227">
        <v>8</v>
      </c>
      <c r="B224" s="228" t="s">
        <v>898</v>
      </c>
      <c r="C224" s="228" t="s">
        <v>899</v>
      </c>
      <c r="D224" s="228" t="s">
        <v>895</v>
      </c>
      <c r="E224">
        <v>2.1</v>
      </c>
      <c r="F224">
        <v>2.2000000000000002</v>
      </c>
      <c r="G224">
        <v>2.2000000000000002</v>
      </c>
      <c r="H224">
        <v>2.2999999999999998</v>
      </c>
      <c r="I224">
        <v>2.5</v>
      </c>
      <c r="J224">
        <v>2.7</v>
      </c>
      <c r="K224">
        <v>2.9</v>
      </c>
      <c r="L224">
        <v>3</v>
      </c>
      <c r="M224">
        <v>3.1</v>
      </c>
      <c r="N224">
        <v>3.1</v>
      </c>
      <c r="O224">
        <v>3.2</v>
      </c>
      <c r="P224">
        <v>3.3</v>
      </c>
      <c r="Q224">
        <v>3.4</v>
      </c>
      <c r="R224">
        <v>3.4</v>
      </c>
      <c r="S224">
        <v>2.6</v>
      </c>
      <c r="T224">
        <v>3.5</v>
      </c>
    </row>
    <row r="225" spans="1:23" x14ac:dyDescent="0.4">
      <c r="A225" s="227">
        <v>9</v>
      </c>
      <c r="B225" s="228" t="s">
        <v>902</v>
      </c>
      <c r="C225" s="228" t="s">
        <v>903</v>
      </c>
      <c r="D225" s="228" t="s">
        <v>904</v>
      </c>
      <c r="E225">
        <v>0.6</v>
      </c>
      <c r="F225">
        <v>1.2</v>
      </c>
      <c r="G225">
        <v>2.5</v>
      </c>
      <c r="H225">
        <v>2.4</v>
      </c>
      <c r="I225">
        <v>1.7</v>
      </c>
      <c r="J225">
        <v>1.5</v>
      </c>
      <c r="K225">
        <v>0.5</v>
      </c>
      <c r="L225">
        <v>0.3</v>
      </c>
      <c r="M225">
        <v>0.2</v>
      </c>
      <c r="N225">
        <v>0.2</v>
      </c>
      <c r="O225">
        <v>0.2</v>
      </c>
      <c r="P225">
        <v>0.3</v>
      </c>
      <c r="Q225">
        <v>0.7</v>
      </c>
      <c r="R225">
        <v>0.7</v>
      </c>
      <c r="S225">
        <v>3.5</v>
      </c>
      <c r="T225">
        <v>0.9</v>
      </c>
    </row>
    <row r="226" spans="1:23" x14ac:dyDescent="0.4">
      <c r="A226" s="227">
        <v>10</v>
      </c>
      <c r="B226" s="228" t="s">
        <v>7</v>
      </c>
      <c r="C226" s="228" t="s">
        <v>905</v>
      </c>
      <c r="D226" s="228" t="s">
        <v>904</v>
      </c>
      <c r="E226">
        <v>2</v>
      </c>
      <c r="F226">
        <v>2.2000000000000002</v>
      </c>
      <c r="G226">
        <v>2.2999999999999998</v>
      </c>
      <c r="H226">
        <v>2</v>
      </c>
      <c r="I226">
        <v>1.4</v>
      </c>
      <c r="J226">
        <v>1.1000000000000001</v>
      </c>
      <c r="K226">
        <v>0.5</v>
      </c>
      <c r="L226">
        <v>0.3</v>
      </c>
      <c r="M226">
        <v>0.2</v>
      </c>
      <c r="N226">
        <v>0.2</v>
      </c>
      <c r="O226">
        <v>0.2</v>
      </c>
      <c r="P226">
        <v>0.3</v>
      </c>
      <c r="Q226">
        <v>0.7</v>
      </c>
      <c r="R226">
        <v>0.7</v>
      </c>
      <c r="S226">
        <v>0.8</v>
      </c>
      <c r="T226">
        <v>0.9</v>
      </c>
    </row>
    <row r="227" spans="1:23" x14ac:dyDescent="0.4">
      <c r="A227" s="227">
        <v>11</v>
      </c>
      <c r="B227" s="228" t="s">
        <v>8</v>
      </c>
      <c r="C227" s="228" t="s">
        <v>906</v>
      </c>
      <c r="D227" s="228" t="s">
        <v>904</v>
      </c>
      <c r="E227">
        <v>4.5</v>
      </c>
      <c r="F227">
        <v>3</v>
      </c>
      <c r="G227">
        <v>2.2000000000000002</v>
      </c>
      <c r="H227">
        <v>2.2999999999999998</v>
      </c>
      <c r="I227">
        <v>2.2999999999999998</v>
      </c>
      <c r="J227">
        <v>2.4</v>
      </c>
      <c r="K227">
        <v>2.4</v>
      </c>
      <c r="L227">
        <v>2.4</v>
      </c>
      <c r="M227">
        <v>2.5</v>
      </c>
      <c r="N227">
        <v>2.5</v>
      </c>
      <c r="O227">
        <v>2.6</v>
      </c>
      <c r="P227">
        <v>2.5</v>
      </c>
      <c r="Q227">
        <v>2.5</v>
      </c>
      <c r="R227">
        <v>2.5</v>
      </c>
      <c r="S227">
        <v>0.8</v>
      </c>
      <c r="T227">
        <v>2.4</v>
      </c>
    </row>
    <row r="228" spans="1:23" x14ac:dyDescent="0.4">
      <c r="A228" s="227">
        <v>12</v>
      </c>
      <c r="B228" s="228" t="s">
        <v>9</v>
      </c>
      <c r="C228" s="228" t="s">
        <v>907</v>
      </c>
      <c r="D228" s="228" t="s">
        <v>904</v>
      </c>
      <c r="E228">
        <v>6.6</v>
      </c>
      <c r="F228">
        <v>5.3</v>
      </c>
      <c r="G228">
        <v>4.5999999999999996</v>
      </c>
      <c r="H228">
        <v>4.3</v>
      </c>
      <c r="I228">
        <v>3.7</v>
      </c>
      <c r="J228">
        <v>3.5</v>
      </c>
      <c r="K228">
        <v>2.9</v>
      </c>
      <c r="L228">
        <v>2.8</v>
      </c>
      <c r="M228">
        <v>2.7</v>
      </c>
      <c r="N228">
        <v>2.7</v>
      </c>
      <c r="O228">
        <v>2.7</v>
      </c>
      <c r="P228">
        <v>2.8</v>
      </c>
      <c r="Q228">
        <v>3.2</v>
      </c>
      <c r="R228">
        <v>3.2</v>
      </c>
      <c r="S228">
        <v>2.4</v>
      </c>
      <c r="T228">
        <v>3.4</v>
      </c>
    </row>
    <row r="229" spans="1:23" x14ac:dyDescent="0.4">
      <c r="A229" s="229">
        <v>13</v>
      </c>
      <c r="B229" s="230" t="s">
        <v>911</v>
      </c>
      <c r="C229" s="230"/>
      <c r="D229" s="230" t="s">
        <v>895</v>
      </c>
      <c r="E229" s="231">
        <v>0.75</v>
      </c>
      <c r="F229" s="231"/>
      <c r="G229" s="231"/>
      <c r="H229" s="231"/>
      <c r="I229" s="231"/>
      <c r="J229" s="231"/>
      <c r="K229" s="231"/>
      <c r="L229" s="231"/>
      <c r="M229" s="231"/>
      <c r="N229" s="231"/>
      <c r="O229" s="231"/>
      <c r="P229" s="231"/>
      <c r="Q229" s="231"/>
      <c r="R229" s="231"/>
      <c r="S229" s="231">
        <v>3.3</v>
      </c>
      <c r="T229" s="231"/>
      <c r="U229" s="231"/>
      <c r="V229" s="231"/>
      <c r="W229" s="231"/>
    </row>
    <row r="230" spans="1:23" x14ac:dyDescent="0.4">
      <c r="A230" s="223"/>
      <c r="B230" s="209"/>
      <c r="C230" s="209"/>
      <c r="D230" s="209"/>
      <c r="E230" s="209"/>
      <c r="F230" s="209"/>
      <c r="G230" s="209"/>
      <c r="H230" s="209"/>
      <c r="I230" s="209"/>
      <c r="J230" s="210"/>
      <c r="K230" s="210"/>
      <c r="L230" s="210"/>
      <c r="M230" s="210"/>
      <c r="N230" s="210"/>
      <c r="O230" s="210"/>
      <c r="P230" s="210"/>
      <c r="Q230" s="210"/>
      <c r="R230" s="210"/>
      <c r="S230" s="210"/>
      <c r="T230" s="210"/>
      <c r="U230" s="210"/>
      <c r="V230" s="210"/>
      <c r="W230" s="210"/>
    </row>
    <row r="231" spans="1:23" ht="23.25" x14ac:dyDescent="0.4">
      <c r="A231" s="190" t="s">
        <v>912</v>
      </c>
      <c r="B231" s="209"/>
      <c r="C231" s="209"/>
      <c r="D231" s="209"/>
      <c r="E231" s="209"/>
      <c r="F231" s="209"/>
      <c r="G231" s="209"/>
      <c r="H231" s="209"/>
      <c r="I231" s="209"/>
      <c r="J231" s="210"/>
      <c r="K231" s="210"/>
      <c r="L231" s="210"/>
      <c r="M231" s="210"/>
      <c r="N231" s="210"/>
      <c r="O231" s="210"/>
      <c r="P231" s="210"/>
      <c r="Q231" s="210"/>
      <c r="R231" s="210"/>
      <c r="S231" s="210"/>
      <c r="T231" s="210"/>
      <c r="U231" s="210"/>
      <c r="V231" s="210"/>
      <c r="W231" s="210"/>
    </row>
    <row r="232" spans="1:23" x14ac:dyDescent="0.4">
      <c r="A232" s="193"/>
      <c r="B232" s="194"/>
      <c r="C232" s="194"/>
      <c r="D232" s="196"/>
      <c r="E232" s="196">
        <v>2023</v>
      </c>
      <c r="F232" s="196">
        <v>2024</v>
      </c>
      <c r="G232" s="196">
        <v>2025</v>
      </c>
      <c r="H232" s="196">
        <v>2026</v>
      </c>
      <c r="I232" s="196">
        <v>2027</v>
      </c>
      <c r="J232" s="196">
        <v>2028</v>
      </c>
      <c r="K232" s="196">
        <v>2029</v>
      </c>
      <c r="L232" s="196">
        <v>2030</v>
      </c>
      <c r="M232" s="196">
        <v>2031</v>
      </c>
      <c r="N232" s="196">
        <v>2032</v>
      </c>
      <c r="O232" s="196">
        <v>2033</v>
      </c>
      <c r="P232" s="196">
        <v>2034</v>
      </c>
      <c r="Q232" s="196">
        <v>2035</v>
      </c>
      <c r="R232" s="196">
        <v>2036</v>
      </c>
      <c r="S232" s="196">
        <v>2037</v>
      </c>
      <c r="T232" s="196">
        <v>2038</v>
      </c>
      <c r="U232" s="196">
        <v>2039</v>
      </c>
      <c r="V232" s="196">
        <v>2040</v>
      </c>
      <c r="W232" s="196">
        <v>2041</v>
      </c>
    </row>
    <row r="233" spans="1:23" x14ac:dyDescent="0.4">
      <c r="A233" s="197">
        <v>1</v>
      </c>
      <c r="B233" s="198" t="s">
        <v>1</v>
      </c>
      <c r="C233" s="199" t="s">
        <v>884</v>
      </c>
      <c r="D233" s="199" t="s">
        <v>885</v>
      </c>
      <c r="E233" s="200">
        <v>161.9</v>
      </c>
      <c r="F233" s="200">
        <v>153.69999999999999</v>
      </c>
      <c r="G233" s="200">
        <v>149.1</v>
      </c>
      <c r="H233" s="200">
        <v>143.1</v>
      </c>
      <c r="I233" s="200">
        <v>138</v>
      </c>
      <c r="J233" s="200">
        <v>133.4</v>
      </c>
      <c r="K233" s="201">
        <v>130.1</v>
      </c>
      <c r="L233" s="201">
        <v>127.1</v>
      </c>
      <c r="M233" s="201">
        <v>124.3</v>
      </c>
      <c r="N233" s="201">
        <v>121.7</v>
      </c>
      <c r="O233" s="201">
        <v>120.6</v>
      </c>
      <c r="P233" s="201">
        <v>119.6</v>
      </c>
      <c r="Q233" s="201">
        <v>118.4</v>
      </c>
      <c r="R233" s="201">
        <v>117.1</v>
      </c>
      <c r="S233" s="201">
        <v>115.9</v>
      </c>
      <c r="T233" s="201">
        <v>114.9</v>
      </c>
      <c r="U233" s="201"/>
      <c r="V233" s="201"/>
      <c r="W233" s="201"/>
    </row>
    <row r="234" spans="1:23" x14ac:dyDescent="0.4">
      <c r="A234" s="197">
        <v>2</v>
      </c>
      <c r="B234" s="232" t="s">
        <v>913</v>
      </c>
      <c r="C234" s="233"/>
      <c r="D234" s="199" t="s">
        <v>885</v>
      </c>
      <c r="E234" s="200">
        <v>6.3</v>
      </c>
      <c r="F234" s="200">
        <v>2.2999999999999998</v>
      </c>
      <c r="G234" s="200">
        <v>2.2000000000000002</v>
      </c>
      <c r="H234" s="200">
        <v>5.0999999999999996</v>
      </c>
      <c r="I234" s="200">
        <v>4.4000000000000004</v>
      </c>
      <c r="J234" s="200">
        <v>6</v>
      </c>
      <c r="K234" s="201">
        <v>5.4</v>
      </c>
      <c r="L234" s="201">
        <v>6.1</v>
      </c>
      <c r="M234" s="201">
        <v>7.7</v>
      </c>
      <c r="N234" s="201">
        <v>6.9</v>
      </c>
      <c r="O234" s="201">
        <v>10.1</v>
      </c>
      <c r="P234" s="201">
        <v>8.1</v>
      </c>
      <c r="Q234" s="201">
        <v>8.5</v>
      </c>
      <c r="R234" s="201">
        <v>9.9</v>
      </c>
      <c r="S234" s="201">
        <v>10.7</v>
      </c>
      <c r="T234" s="201">
        <v>11.6</v>
      </c>
      <c r="U234" s="201"/>
      <c r="V234" s="201"/>
      <c r="W234" s="201"/>
    </row>
    <row r="235" spans="1:23" x14ac:dyDescent="0.4">
      <c r="A235" s="197">
        <v>3</v>
      </c>
      <c r="B235" s="232" t="s">
        <v>914</v>
      </c>
      <c r="C235" s="233"/>
      <c r="D235" s="199" t="s">
        <v>885</v>
      </c>
      <c r="E235" s="200">
        <v>8.9</v>
      </c>
      <c r="F235" s="200">
        <v>8.4</v>
      </c>
      <c r="G235" s="200">
        <v>8</v>
      </c>
      <c r="H235" s="200">
        <v>7.8</v>
      </c>
      <c r="I235" s="200">
        <v>7.5</v>
      </c>
      <c r="J235" s="200">
        <v>7.3</v>
      </c>
      <c r="K235" s="201">
        <v>7.1</v>
      </c>
      <c r="L235" s="201">
        <v>6.9</v>
      </c>
      <c r="M235" s="201">
        <v>6.8</v>
      </c>
      <c r="N235" s="201">
        <v>6.6</v>
      </c>
      <c r="O235" s="201">
        <v>6.5</v>
      </c>
      <c r="P235" s="201">
        <v>6.4</v>
      </c>
      <c r="Q235" s="201">
        <v>6.3</v>
      </c>
      <c r="R235" s="201">
        <v>6.3</v>
      </c>
      <c r="S235" s="201">
        <v>6.2</v>
      </c>
      <c r="T235" s="201">
        <v>6.2</v>
      </c>
      <c r="U235" s="201"/>
      <c r="V235" s="201"/>
      <c r="W235" s="201"/>
    </row>
    <row r="236" spans="1:23" x14ac:dyDescent="0.4">
      <c r="A236" s="197">
        <v>4</v>
      </c>
      <c r="B236" s="232" t="s">
        <v>915</v>
      </c>
      <c r="C236" s="233"/>
      <c r="D236" s="199" t="s">
        <v>885</v>
      </c>
      <c r="E236" s="200">
        <v>0</v>
      </c>
      <c r="F236" s="200">
        <v>0</v>
      </c>
      <c r="G236" s="200">
        <v>2</v>
      </c>
      <c r="H236" s="200">
        <v>0</v>
      </c>
      <c r="I236" s="200">
        <v>0.2</v>
      </c>
      <c r="J236" s="200">
        <v>0.2</v>
      </c>
      <c r="K236" s="201">
        <v>0.4</v>
      </c>
      <c r="L236" s="201">
        <v>0.4</v>
      </c>
      <c r="M236" s="201">
        <v>0.5</v>
      </c>
      <c r="N236" s="201">
        <v>0.6</v>
      </c>
      <c r="O236" s="201">
        <v>2</v>
      </c>
      <c r="P236" s="201">
        <v>2.2000000000000002</v>
      </c>
      <c r="Q236" s="201">
        <v>2.4</v>
      </c>
      <c r="R236" s="201">
        <v>2.2999999999999998</v>
      </c>
      <c r="S236" s="201">
        <v>2.4</v>
      </c>
      <c r="T236" s="201">
        <v>2.6</v>
      </c>
      <c r="U236" s="201"/>
      <c r="V236" s="201"/>
      <c r="W236" s="201"/>
    </row>
    <row r="237" spans="1:23" x14ac:dyDescent="0.4">
      <c r="A237" s="205">
        <v>5</v>
      </c>
      <c r="B237" s="234" t="s">
        <v>916</v>
      </c>
      <c r="C237" s="235"/>
      <c r="D237" s="207" t="s">
        <v>885</v>
      </c>
      <c r="E237" s="208">
        <v>0</v>
      </c>
      <c r="F237" s="208">
        <v>0</v>
      </c>
      <c r="G237" s="208">
        <v>0.1</v>
      </c>
      <c r="H237" s="208">
        <v>0</v>
      </c>
      <c r="I237" s="208">
        <v>0</v>
      </c>
      <c r="J237" s="208">
        <v>0</v>
      </c>
      <c r="K237" s="236">
        <v>0</v>
      </c>
      <c r="L237" s="236">
        <v>0</v>
      </c>
      <c r="M237" s="236">
        <v>0</v>
      </c>
      <c r="N237" s="236">
        <v>0</v>
      </c>
      <c r="O237" s="236">
        <v>0.1</v>
      </c>
      <c r="P237" s="236">
        <v>0.1</v>
      </c>
      <c r="Q237" s="236">
        <v>0.1</v>
      </c>
      <c r="R237" s="236">
        <v>0.1</v>
      </c>
      <c r="S237" s="236">
        <v>0.1</v>
      </c>
      <c r="T237" s="236">
        <v>0.2</v>
      </c>
      <c r="U237" s="236"/>
      <c r="V237" s="236"/>
      <c r="W237" s="236"/>
    </row>
  </sheetData>
  <dataConsolidate/>
  <conditionalFormatting sqref="D15:N16">
    <cfRule type="expression" dxfId="66" priority="19">
      <formula>ISNUMBER(D14)</formula>
    </cfRule>
  </conditionalFormatting>
  <conditionalFormatting sqref="D14:N14">
    <cfRule type="expression" dxfId="65" priority="18">
      <formula>ISNUMBER(D14)</formula>
    </cfRule>
  </conditionalFormatting>
  <conditionalFormatting sqref="D29:K29">
    <cfRule type="expression" dxfId="64" priority="17">
      <formula>ISNUMBER(D$14)</formula>
    </cfRule>
  </conditionalFormatting>
  <conditionalFormatting sqref="D74:W74">
    <cfRule type="expression" dxfId="63" priority="16">
      <formula>ISNUMBER(D48)</formula>
    </cfRule>
  </conditionalFormatting>
  <conditionalFormatting sqref="D48:W48">
    <cfRule type="expression" dxfId="62" priority="15">
      <formula>ISNUMBER(D48)</formula>
    </cfRule>
  </conditionalFormatting>
  <conditionalFormatting sqref="D32:W32 D49:W49">
    <cfRule type="expression" dxfId="61" priority="14">
      <formula>ISNUMBER(D31)</formula>
    </cfRule>
  </conditionalFormatting>
  <conditionalFormatting sqref="D31:W31">
    <cfRule type="expression" dxfId="60" priority="13">
      <formula>ISNUMBER(D31)</formula>
    </cfRule>
  </conditionalFormatting>
  <conditionalFormatting sqref="D44:W44">
    <cfRule type="expression" dxfId="59" priority="12">
      <formula>ISNUMBER(D$57)</formula>
    </cfRule>
  </conditionalFormatting>
  <conditionalFormatting sqref="D51:Z52">
    <cfRule type="expression" dxfId="58" priority="11">
      <formula>AND(D$48=AdjustmentPeriodEnd, Receives_reference_trajectory=FALSE)</formula>
    </cfRule>
  </conditionalFormatting>
  <conditionalFormatting sqref="D35:Z35 D38:Z38 D55:Z58">
    <cfRule type="expression" dxfId="57" priority="10">
      <formula>AND(D$48&lt;&gt;"", Receives_reference_trajectory=FALSE)</formula>
    </cfRule>
  </conditionalFormatting>
  <conditionalFormatting sqref="D44">
    <cfRule type="expression" dxfId="56" priority="7">
      <formula>AND(Receives_reference_trajectory=TRUE,D$31&lt;&gt;"")</formula>
    </cfRule>
  </conditionalFormatting>
  <conditionalFormatting sqref="D35:Z35 D40:Z43 D37:Z38">
    <cfRule type="expression" dxfId="55" priority="6">
      <formula>AND(Receives_reference_trajectory=TRUE,D$31&lt;&gt;"")</formula>
    </cfRule>
  </conditionalFormatting>
  <conditionalFormatting sqref="D60:Z63 D40:S43 D55:Z58">
    <cfRule type="expression" dxfId="54" priority="5">
      <formula>AND(Receives_reference_trajectory,D$48&lt;&gt;"")</formula>
    </cfRule>
  </conditionalFormatting>
  <conditionalFormatting sqref="F50:L50">
    <cfRule type="expression" dxfId="53" priority="4">
      <formula>AND(Receives_reference_trajectory,F$49&lt;&gt;"")</formula>
    </cfRule>
  </conditionalFormatting>
  <conditionalFormatting sqref="D65:Z73">
    <cfRule type="expression" dxfId="52" priority="3">
      <formula>AND(D$48&gt;AdjustmentPeriodEnd,D$48&lt;=StochasticLastYear,Receives_reference_trajectory)</formula>
    </cfRule>
  </conditionalFormatting>
  <conditionalFormatting sqref="D74:Z74">
    <cfRule type="expression" dxfId="51" priority="2">
      <formula>AND(D$48&gt;AdjustmentPeriodEnd,D$48&lt;=StochasticLastYear,Receives_reference_trajectory)</formula>
    </cfRule>
  </conditionalFormatting>
  <conditionalFormatting sqref="O16">
    <cfRule type="expression" dxfId="50" priority="758">
      <formula>ISNUMBER(AA14)</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928CA9E6-032F-418D-890F-0AA1ED5A018B}">
          <x14:formula1>
            <xm:f>Validation!$B$3:$B$5</xm:f>
          </x14:formula1>
          <xm:sqref>C5</xm:sqref>
        </x14:dataValidation>
        <x14:dataValidation type="list" allowBlank="1" showInputMessage="1" showErrorMessage="1" xr:uid="{6BF57C4E-3C0A-49E7-85E5-5AAA5EB6A32E}">
          <x14:formula1>
            <xm:f>Validation!$C$3:$C$4</xm:f>
          </x14:formula1>
          <xm:sqref>C6</xm:sqref>
        </x14:dataValidation>
        <x14:dataValidation type="list" allowBlank="1" showInputMessage="1" showErrorMessage="1" xr:uid="{414610F3-EEFC-4688-A2D4-63E1DEE92F35}">
          <x14:formula1>
            <xm:f>Validation!$A$3:$A$32</xm:f>
          </x14:formula1>
          <xm:sqref>C3</xm:sqref>
        </x14:dataValidation>
        <x14:dataValidation type="list" allowBlank="1" showInputMessage="1" showErrorMessage="1" xr:uid="{713B6A27-143F-4DB2-9B70-D9AD4D994E5C}">
          <x14:formula1>
            <xm:f>Validation!$A$4:$A$31</xm:f>
          </x14:formula1>
          <xm:sqref>C4</xm:sqref>
        </x14:dataValidation>
        <x14:dataValidation type="list" allowBlank="1" showInputMessage="1" showErrorMessage="1" xr:uid="{4063DD47-253F-4570-96F7-A406EF578100}">
          <x14:formula1>
            <xm:f>Validation!$F$3:$F$4</xm:f>
          </x14:formula1>
          <xm:sqref>C7:C9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E46"/>
  <sheetViews>
    <sheetView showGridLines="0" zoomScale="115" zoomScaleNormal="115" workbookViewId="0"/>
  </sheetViews>
  <sheetFormatPr defaultRowHeight="13.15" outlineLevelCol="1" x14ac:dyDescent="0.4"/>
  <cols>
    <col min="1" max="1" width="5.28515625" customWidth="1"/>
    <col min="2" max="2" width="214.140625" customWidth="1"/>
    <col min="3" max="3" width="33.85546875" bestFit="1" customWidth="1" outlineLevel="1"/>
    <col min="4" max="4" width="12.42578125" customWidth="1"/>
    <col min="5" max="5" width="4" customWidth="1"/>
  </cols>
  <sheetData>
    <row r="2" spans="2:5" ht="18" x14ac:dyDescent="0.55000000000000004">
      <c r="B2" s="51" t="s">
        <v>654</v>
      </c>
      <c r="D2" s="3"/>
    </row>
    <row r="3" spans="2:5" ht="15" customHeight="1" x14ac:dyDescent="0.4">
      <c r="B3" t="s">
        <v>328</v>
      </c>
      <c r="C3" t="s">
        <v>329</v>
      </c>
      <c r="D3" s="53" t="s">
        <v>23</v>
      </c>
      <c r="E3" s="10" t="str">
        <f t="shared" ref="E3:E5" si="0">HYPERLINK("#"&amp;ADDRESS(ROW(),COLUMN()-1),CHAR(128))</f>
        <v>€</v>
      </c>
    </row>
    <row r="4" spans="2:5" x14ac:dyDescent="0.4">
      <c r="B4" t="s">
        <v>942</v>
      </c>
      <c r="D4" s="53" t="s">
        <v>23</v>
      </c>
      <c r="E4" s="10" t="str">
        <f t="shared" si="0"/>
        <v>€</v>
      </c>
    </row>
    <row r="5" spans="2:5" x14ac:dyDescent="0.4">
      <c r="B5" t="s">
        <v>949</v>
      </c>
      <c r="D5" s="53" t="s">
        <v>23</v>
      </c>
      <c r="E5" s="10" t="str">
        <f t="shared" si="0"/>
        <v>€</v>
      </c>
    </row>
    <row r="6" spans="2:5" x14ac:dyDescent="0.4">
      <c r="D6" s="54"/>
    </row>
    <row r="7" spans="2:5" ht="18" x14ac:dyDescent="0.55000000000000004">
      <c r="B7" s="51" t="s">
        <v>655</v>
      </c>
      <c r="D7" s="54"/>
    </row>
    <row r="8" spans="2:5" ht="15" customHeight="1" x14ac:dyDescent="0.4">
      <c r="B8" t="s">
        <v>178</v>
      </c>
      <c r="C8" t="s">
        <v>179</v>
      </c>
      <c r="D8" s="53" t="b">
        <v>1</v>
      </c>
      <c r="E8" s="10" t="str">
        <f t="shared" ref="E8:E28" si="1">HYPERLINK("#"&amp;ADDRESS(ROW(),COLUMN()-1),CHAR(128))</f>
        <v>€</v>
      </c>
    </row>
    <row r="9" spans="2:5" x14ac:dyDescent="0.4">
      <c r="B9" s="13" t="s">
        <v>180</v>
      </c>
      <c r="C9" t="s">
        <v>181</v>
      </c>
      <c r="D9" s="53" t="b">
        <v>1</v>
      </c>
      <c r="E9" s="10" t="str">
        <f t="shared" si="1"/>
        <v>€</v>
      </c>
    </row>
    <row r="10" spans="2:5" x14ac:dyDescent="0.4">
      <c r="B10" s="13" t="s">
        <v>182</v>
      </c>
      <c r="C10" t="s">
        <v>181</v>
      </c>
      <c r="D10" s="53" t="b">
        <v>1</v>
      </c>
      <c r="E10" s="10" t="str">
        <f t="shared" si="1"/>
        <v>€</v>
      </c>
    </row>
    <row r="11" spans="2:5" x14ac:dyDescent="0.4">
      <c r="B11" t="s">
        <v>183</v>
      </c>
      <c r="C11" t="s">
        <v>184</v>
      </c>
      <c r="D11" s="53" t="b">
        <v>1</v>
      </c>
      <c r="E11" s="10" t="str">
        <f t="shared" si="1"/>
        <v>€</v>
      </c>
    </row>
    <row r="12" spans="2:5" x14ac:dyDescent="0.4">
      <c r="B12" t="s">
        <v>185</v>
      </c>
      <c r="C12" t="s">
        <v>184</v>
      </c>
      <c r="D12" s="53" t="b">
        <v>1</v>
      </c>
      <c r="E12" s="10" t="str">
        <f t="shared" si="1"/>
        <v>€</v>
      </c>
    </row>
    <row r="13" spans="2:5" x14ac:dyDescent="0.4">
      <c r="B13" t="s">
        <v>186</v>
      </c>
      <c r="C13" t="s">
        <v>187</v>
      </c>
      <c r="D13" s="53" t="b">
        <v>1</v>
      </c>
      <c r="E13" s="10" t="str">
        <f t="shared" si="1"/>
        <v>€</v>
      </c>
    </row>
    <row r="14" spans="2:5" x14ac:dyDescent="0.4">
      <c r="B14" t="s">
        <v>188</v>
      </c>
      <c r="C14" t="s">
        <v>189</v>
      </c>
      <c r="D14" s="53" t="b">
        <v>1</v>
      </c>
      <c r="E14" s="10" t="str">
        <f t="shared" si="1"/>
        <v>€</v>
      </c>
    </row>
    <row r="15" spans="2:5" x14ac:dyDescent="0.4">
      <c r="B15" t="s">
        <v>190</v>
      </c>
      <c r="C15" t="s">
        <v>191</v>
      </c>
      <c r="D15" s="53" t="b">
        <v>1</v>
      </c>
      <c r="E15" s="10" t="str">
        <f t="shared" si="1"/>
        <v>€</v>
      </c>
    </row>
    <row r="16" spans="2:5" x14ac:dyDescent="0.4">
      <c r="B16" t="s">
        <v>192</v>
      </c>
      <c r="C16" t="s">
        <v>341</v>
      </c>
      <c r="D16" s="53" t="b">
        <v>1</v>
      </c>
      <c r="E16" s="10" t="str">
        <f t="shared" si="1"/>
        <v>€</v>
      </c>
    </row>
    <row r="17" spans="2:5" x14ac:dyDescent="0.4">
      <c r="B17" s="2" t="s">
        <v>193</v>
      </c>
      <c r="C17" t="s">
        <v>342</v>
      </c>
      <c r="D17" s="53" t="b">
        <v>1</v>
      </c>
      <c r="E17" s="10" t="str">
        <f t="shared" si="1"/>
        <v>€</v>
      </c>
    </row>
    <row r="18" spans="2:5" x14ac:dyDescent="0.4">
      <c r="B18" s="2" t="s">
        <v>336</v>
      </c>
      <c r="C18" t="s">
        <v>343</v>
      </c>
      <c r="D18" s="53" t="s">
        <v>271</v>
      </c>
      <c r="E18" s="10" t="str">
        <f t="shared" si="1"/>
        <v>€</v>
      </c>
    </row>
    <row r="19" spans="2:5" x14ac:dyDescent="0.4">
      <c r="B19" s="2" t="s">
        <v>337</v>
      </c>
      <c r="C19" t="s">
        <v>344</v>
      </c>
      <c r="D19" s="53" t="b">
        <v>1</v>
      </c>
      <c r="E19" s="10" t="str">
        <f t="shared" si="1"/>
        <v>€</v>
      </c>
    </row>
    <row r="20" spans="2:5" x14ac:dyDescent="0.4">
      <c r="B20" s="2" t="s">
        <v>338</v>
      </c>
      <c r="C20" t="s">
        <v>345</v>
      </c>
      <c r="D20" s="53" t="b">
        <v>1</v>
      </c>
      <c r="E20" s="10" t="str">
        <f t="shared" si="1"/>
        <v>€</v>
      </c>
    </row>
    <row r="21" spans="2:5" x14ac:dyDescent="0.4">
      <c r="B21" s="2" t="s">
        <v>334</v>
      </c>
      <c r="C21" t="s">
        <v>335</v>
      </c>
      <c r="D21" s="53" t="b">
        <v>1</v>
      </c>
      <c r="E21" s="10" t="str">
        <f t="shared" si="1"/>
        <v>€</v>
      </c>
    </row>
    <row r="22" spans="2:5" x14ac:dyDescent="0.4">
      <c r="B22" s="2" t="s">
        <v>339</v>
      </c>
      <c r="C22" t="s">
        <v>340</v>
      </c>
      <c r="D22" s="53" t="b">
        <v>1</v>
      </c>
      <c r="E22" s="10" t="str">
        <f t="shared" si="1"/>
        <v>€</v>
      </c>
    </row>
    <row r="23" spans="2:5" x14ac:dyDescent="0.4">
      <c r="B23" t="s">
        <v>194</v>
      </c>
      <c r="C23" t="s">
        <v>195</v>
      </c>
      <c r="D23" s="53" t="b">
        <v>1</v>
      </c>
      <c r="E23" s="10" t="str">
        <f t="shared" si="1"/>
        <v>€</v>
      </c>
    </row>
    <row r="24" spans="2:5" x14ac:dyDescent="0.4">
      <c r="B24" t="s">
        <v>196</v>
      </c>
      <c r="C24" t="s">
        <v>197</v>
      </c>
      <c r="D24" s="53" t="b">
        <v>1</v>
      </c>
      <c r="E24" s="10" t="str">
        <f t="shared" si="1"/>
        <v>€</v>
      </c>
    </row>
    <row r="25" spans="2:5" x14ac:dyDescent="0.4">
      <c r="B25" s="2" t="s">
        <v>198</v>
      </c>
      <c r="C25" t="s">
        <v>205</v>
      </c>
      <c r="D25" s="53" t="b">
        <v>1</v>
      </c>
      <c r="E25" s="10" t="str">
        <f t="shared" si="1"/>
        <v>€</v>
      </c>
    </row>
    <row r="26" spans="2:5" x14ac:dyDescent="0.4">
      <c r="B26" t="s">
        <v>199</v>
      </c>
      <c r="C26" t="s">
        <v>200</v>
      </c>
      <c r="D26" s="53" t="b">
        <v>1</v>
      </c>
      <c r="E26" s="10" t="str">
        <f t="shared" si="1"/>
        <v>€</v>
      </c>
    </row>
    <row r="27" spans="2:5" x14ac:dyDescent="0.4">
      <c r="B27" t="s">
        <v>201</v>
      </c>
      <c r="C27" t="s">
        <v>202</v>
      </c>
      <c r="D27" s="53" t="b">
        <v>1</v>
      </c>
      <c r="E27" s="10" t="str">
        <f t="shared" si="1"/>
        <v>€</v>
      </c>
    </row>
    <row r="28" spans="2:5" x14ac:dyDescent="0.4">
      <c r="B28" t="s">
        <v>203</v>
      </c>
      <c r="C28" t="s">
        <v>204</v>
      </c>
      <c r="D28" s="53" t="b">
        <v>1</v>
      </c>
      <c r="E28" s="10" t="str">
        <f t="shared" si="1"/>
        <v>€</v>
      </c>
    </row>
    <row r="30" spans="2:5" ht="18" x14ac:dyDescent="0.55000000000000004">
      <c r="B30" s="51" t="s">
        <v>656</v>
      </c>
    </row>
    <row r="31" spans="2:5" ht="15" customHeight="1" x14ac:dyDescent="0.4">
      <c r="B31" s="134" t="s">
        <v>531</v>
      </c>
      <c r="C31" s="134" t="s">
        <v>532</v>
      </c>
      <c r="D31" s="53" t="b">
        <v>0</v>
      </c>
      <c r="E31" s="10" t="str">
        <f t="shared" ref="E31:E43" si="2">HYPERLINK("#"&amp;ADDRESS(ROW(),COLUMN()-1),CHAR(128))</f>
        <v>€</v>
      </c>
    </row>
    <row r="32" spans="2:5" x14ac:dyDescent="0.4">
      <c r="B32" s="134" t="s">
        <v>533</v>
      </c>
      <c r="C32" s="134" t="s">
        <v>534</v>
      </c>
      <c r="D32" s="53" t="s">
        <v>271</v>
      </c>
      <c r="E32" s="10" t="str">
        <f t="shared" si="2"/>
        <v>€</v>
      </c>
    </row>
    <row r="33" spans="2:5" x14ac:dyDescent="0.4">
      <c r="B33" s="134" t="s">
        <v>535</v>
      </c>
      <c r="C33" s="134" t="s">
        <v>536</v>
      </c>
      <c r="D33" s="53" t="s">
        <v>271</v>
      </c>
      <c r="E33" s="10" t="str">
        <f t="shared" si="2"/>
        <v>€</v>
      </c>
    </row>
    <row r="34" spans="2:5" x14ac:dyDescent="0.4">
      <c r="B34" s="134" t="s">
        <v>537</v>
      </c>
      <c r="C34" s="134" t="s">
        <v>538</v>
      </c>
      <c r="D34" s="53" t="s">
        <v>271</v>
      </c>
      <c r="E34" s="10" t="str">
        <f t="shared" si="2"/>
        <v>€</v>
      </c>
    </row>
    <row r="35" spans="2:5" x14ac:dyDescent="0.4">
      <c r="B35" s="134" t="s">
        <v>539</v>
      </c>
      <c r="C35" s="134" t="s">
        <v>540</v>
      </c>
      <c r="D35" s="53" t="s">
        <v>271</v>
      </c>
      <c r="E35" s="10" t="str">
        <f t="shared" si="2"/>
        <v>€</v>
      </c>
    </row>
    <row r="36" spans="2:5" x14ac:dyDescent="0.4">
      <c r="B36" s="134" t="s">
        <v>541</v>
      </c>
      <c r="C36" s="134" t="s">
        <v>542</v>
      </c>
      <c r="D36" s="53" t="s">
        <v>271</v>
      </c>
      <c r="E36" s="10" t="str">
        <f t="shared" si="2"/>
        <v>€</v>
      </c>
    </row>
    <row r="37" spans="2:5" x14ac:dyDescent="0.4">
      <c r="B37" s="134" t="s">
        <v>543</v>
      </c>
      <c r="C37" s="134" t="s">
        <v>544</v>
      </c>
      <c r="D37" s="53" t="s">
        <v>271</v>
      </c>
      <c r="E37" s="10" t="str">
        <f t="shared" si="2"/>
        <v>€</v>
      </c>
    </row>
    <row r="38" spans="2:5" x14ac:dyDescent="0.4">
      <c r="B38" s="134" t="s">
        <v>545</v>
      </c>
      <c r="C38" s="134" t="s">
        <v>546</v>
      </c>
      <c r="D38" s="53" t="s">
        <v>271</v>
      </c>
      <c r="E38" s="10" t="str">
        <f t="shared" si="2"/>
        <v>€</v>
      </c>
    </row>
    <row r="39" spans="2:5" x14ac:dyDescent="0.4">
      <c r="B39" s="134" t="s">
        <v>547</v>
      </c>
      <c r="C39" s="134" t="s">
        <v>548</v>
      </c>
      <c r="D39" s="53" t="s">
        <v>271</v>
      </c>
      <c r="E39" s="10" t="str">
        <f t="shared" si="2"/>
        <v>€</v>
      </c>
    </row>
    <row r="40" spans="2:5" x14ac:dyDescent="0.4">
      <c r="B40" s="134" t="s">
        <v>549</v>
      </c>
      <c r="C40" s="134" t="s">
        <v>550</v>
      </c>
      <c r="D40" s="53" t="s">
        <v>271</v>
      </c>
      <c r="E40" s="10" t="str">
        <f t="shared" si="2"/>
        <v>€</v>
      </c>
    </row>
    <row r="41" spans="2:5" x14ac:dyDescent="0.4">
      <c r="B41" s="134" t="s">
        <v>551</v>
      </c>
      <c r="C41" s="134" t="s">
        <v>552</v>
      </c>
      <c r="D41" s="53" t="s">
        <v>271</v>
      </c>
      <c r="E41" s="10" t="str">
        <f t="shared" si="2"/>
        <v>€</v>
      </c>
    </row>
    <row r="42" spans="2:5" x14ac:dyDescent="0.4">
      <c r="B42" s="134" t="s">
        <v>553</v>
      </c>
      <c r="C42" s="134" t="s">
        <v>552</v>
      </c>
      <c r="D42" s="53" t="s">
        <v>271</v>
      </c>
      <c r="E42" s="10" t="str">
        <f t="shared" si="2"/>
        <v>€</v>
      </c>
    </row>
    <row r="43" spans="2:5" x14ac:dyDescent="0.4">
      <c r="B43" s="134" t="s">
        <v>554</v>
      </c>
      <c r="C43" s="134" t="s">
        <v>555</v>
      </c>
      <c r="D43" s="53" t="s">
        <v>271</v>
      </c>
      <c r="E43" s="10" t="str">
        <f t="shared" si="2"/>
        <v>€</v>
      </c>
    </row>
    <row r="44" spans="2:5" ht="18" x14ac:dyDescent="0.55000000000000004">
      <c r="B44" s="51"/>
    </row>
    <row r="45" spans="2:5" ht="18" x14ac:dyDescent="0.55000000000000004">
      <c r="B45" s="51" t="s">
        <v>657</v>
      </c>
    </row>
    <row r="46" spans="2:5" x14ac:dyDescent="0.4">
      <c r="B46" s="138" t="s">
        <v>460</v>
      </c>
      <c r="D46" s="53" t="s">
        <v>23</v>
      </c>
      <c r="E46" s="10" t="str">
        <f t="shared" ref="E46" si="3">HYPERLINK("#"&amp;ADDRESS(ROW(),COLUMN()-1),CHAR(128))</f>
        <v>€</v>
      </c>
    </row>
  </sheetData>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D46 D3:D5</xm:sqref>
        </x14:dataValidation>
        <x14:dataValidation type="list" allowBlank="1" showInputMessage="1" showErrorMessage="1" xr:uid="{84432622-41E7-4A98-B45C-0CE41F521885}">
          <x14:formula1>
            <xm:f>Validation!$F$3:$F$4</xm:f>
          </x14:formula1>
          <xm:sqref>D31 D8:D17 D19:D28</xm:sqref>
        </x14:dataValidation>
        <x14:dataValidation type="list" allowBlank="1" showInputMessage="1" showErrorMessage="1" xr:uid="{DC58A366-AE19-438B-9E43-813774766B98}">
          <x14:formula1>
            <xm:f>Validation!$F$3:$F$5</xm:f>
          </x14:formula1>
          <xm:sqref>D32:D43 D18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H42"/>
  <sheetViews>
    <sheetView showGridLines="0" zoomScaleNormal="100" zoomScalePageLayoutView="55" workbookViewId="0"/>
  </sheetViews>
  <sheetFormatPr defaultColWidth="9" defaultRowHeight="14.25" x14ac:dyDescent="0.45"/>
  <cols>
    <col min="1" max="1" width="7.42578125" style="23" customWidth="1"/>
    <col min="2" max="2" width="68.7109375" style="23" customWidth="1"/>
    <col min="3" max="3" width="19.0703125" style="23" customWidth="1"/>
    <col min="4" max="4" width="5.640625" style="23" customWidth="1"/>
    <col min="5" max="5" width="15.140625" style="23" customWidth="1"/>
    <col min="6" max="7" width="10.5703125" style="23" customWidth="1"/>
    <col min="8" max="8" width="12.42578125" style="23" customWidth="1"/>
    <col min="9" max="10" width="12" style="23" customWidth="1"/>
    <col min="11" max="11" width="15.28515625" style="23" customWidth="1"/>
    <col min="12" max="12" width="60" style="23" customWidth="1"/>
    <col min="13" max="20" width="9.7109375" style="23" customWidth="1"/>
    <col min="21" max="16384" width="9" style="23"/>
  </cols>
  <sheetData>
    <row r="1" spans="1:27" ht="48.75" customHeight="1" x14ac:dyDescent="1">
      <c r="A1" s="21"/>
      <c r="B1" s="78" t="str">
        <f>Country&amp;"'s adherence to Regulation (EU) 2024/1263 and associated guidance"</f>
        <v>Greece's adherence to Regulation (EU) 2024/1263 and associated guidance</v>
      </c>
      <c r="C1" s="78"/>
      <c r="D1" s="35"/>
      <c r="F1" s="35"/>
      <c r="G1" s="114"/>
      <c r="H1" s="35"/>
      <c r="I1"/>
      <c r="J1"/>
      <c r="K1"/>
      <c r="L1"/>
      <c r="M1"/>
      <c r="N1"/>
      <c r="O1"/>
      <c r="P1"/>
      <c r="Q1"/>
      <c r="R1"/>
      <c r="S1"/>
      <c r="T1"/>
      <c r="U1"/>
      <c r="V1"/>
      <c r="W1"/>
      <c r="X1"/>
      <c r="Y1"/>
      <c r="Z1"/>
      <c r="AA1" s="3"/>
    </row>
    <row r="2" spans="1:27" ht="18" x14ac:dyDescent="0.55000000000000004">
      <c r="A2" s="26"/>
      <c r="Q2" s="24"/>
      <c r="R2" s="24"/>
      <c r="S2" s="24"/>
      <c r="T2" s="24"/>
      <c r="U2" s="24"/>
      <c r="V2" s="22"/>
      <c r="W2" s="22"/>
      <c r="X2" s="22"/>
      <c r="Y2" s="22"/>
      <c r="Z2"/>
      <c r="AA2" s="3"/>
    </row>
    <row r="3" spans="1:27" ht="23.25" x14ac:dyDescent="0.7">
      <c r="A3" s="21"/>
      <c r="B3" s="14" t="str">
        <f>"Assessing a new or revised MTP"&amp;IF(Receives_reference_trajectory," under Article 5 pathway (receiving a reference trajectory)","under Article 9(3) pathway (receiving technical information)")</f>
        <v>Assessing a new or revised MTP under Article 5 pathway (receiving a reference trajectory)</v>
      </c>
      <c r="C3" s="14"/>
      <c r="L3" s="175"/>
      <c r="M3" s="26"/>
      <c r="Q3" s="27"/>
      <c r="R3" s="27"/>
      <c r="S3" s="27"/>
      <c r="T3" s="27"/>
      <c r="U3" s="27"/>
      <c r="V3" s="29"/>
      <c r="W3" s="29"/>
      <c r="X3" s="29"/>
    </row>
    <row r="4" spans="1:27" x14ac:dyDescent="0.45">
      <c r="A4" s="22"/>
      <c r="B4" s="135" t="str">
        <f>CHAR(149)&amp;IF(AssessmentRound="Implementation of an endorsed MTP"," The net expenditure path in the Medium-Term Plan under assessment was endorsed by the European Council; the below is for information only"," A new or revised MTP has been submitted for assessment")</f>
        <v>• The net expenditure path in the Medium-Term Plan under assessment was endorsed by the European Council; the below is for information only</v>
      </c>
      <c r="C4" s="135"/>
      <c r="L4" s="159"/>
      <c r="M4" s="158"/>
    </row>
    <row r="5" spans="1:27" x14ac:dyDescent="0.45">
      <c r="A5" s="21"/>
      <c r="B5" s="135" t="str">
        <f>CHAR(149)&amp;" "&amp;MTP_Requirement</f>
        <v>• Greece's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Greece must provide sound and data-driven economic arguments explaining the difference.</v>
      </c>
      <c r="C5" s="135"/>
      <c r="D5" s="32"/>
      <c r="E5" s="32"/>
      <c r="F5" s="32"/>
      <c r="G5" s="32"/>
      <c r="H5" s="32"/>
      <c r="I5" s="32"/>
      <c r="J5" s="32"/>
      <c r="K5" s="32"/>
      <c r="L5" s="175"/>
      <c r="M5" s="21"/>
      <c r="Q5" s="27"/>
      <c r="R5" s="27"/>
      <c r="S5" s="27"/>
      <c r="T5" s="27"/>
      <c r="U5" s="27"/>
      <c r="V5" s="27"/>
      <c r="W5" s="27"/>
      <c r="X5" s="27"/>
      <c r="Y5" s="22"/>
      <c r="Z5" s="22"/>
    </row>
    <row r="6" spans="1:27" x14ac:dyDescent="0.45">
      <c r="A6" s="21"/>
      <c r="B6" s="135" t="str">
        <f>CHAR(149)&amp;" "&amp;Country&amp;IF(AdjustmentPeriod=4," has not requested an extension of the adjustment period; the adjustment period is the four years "&amp;MTP_YearT+1&amp;" to "&amp;AdjustmentPeriodEnd&amp;"."," has requested an extension of the adjustment period; the adjustment period is the seven years "&amp;MTP_YearT+1&amp;" to "&amp;AdjustmentPeriodEnd&amp;".")</f>
        <v>• Greece has not requested an extension of the adjustment period; the adjustment period is the four years 2025 to 2028.</v>
      </c>
      <c r="C6" s="135"/>
      <c r="D6" s="32"/>
      <c r="E6" s="32"/>
      <c r="F6" s="32"/>
      <c r="G6" s="32"/>
      <c r="H6" s="32"/>
      <c r="I6" s="32"/>
      <c r="J6" s="32"/>
      <c r="K6" s="32"/>
      <c r="L6" s="175"/>
      <c r="M6" s="21"/>
      <c r="Q6" s="27"/>
      <c r="R6" s="27"/>
      <c r="S6" s="27"/>
      <c r="T6" s="27"/>
      <c r="U6" s="27"/>
      <c r="V6" s="27"/>
      <c r="W6" s="27"/>
      <c r="X6" s="27"/>
      <c r="Y6" s="22"/>
      <c r="Z6" s="22"/>
    </row>
    <row r="7" spans="1:27" x14ac:dyDescent="0.45">
      <c r="A7" s="21"/>
      <c r="B7" s="135" t="str" cm="1">
        <f t="array" ref="B7">CHAR(149)&amp;" "&amp;
_xlfn.LET(
  _xlpm.rng, 'Step 1 - Set global parameters'!B13:H13,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C7" s="135"/>
      <c r="D7" s="32"/>
      <c r="E7" s="32"/>
      <c r="F7" s="32"/>
      <c r="G7" s="32"/>
      <c r="H7" s="32"/>
      <c r="I7" s="32"/>
      <c r="J7" s="32"/>
      <c r="K7" s="32"/>
      <c r="L7" s="175"/>
      <c r="M7" s="21"/>
      <c r="Q7" s="27"/>
      <c r="R7" s="27"/>
      <c r="S7" s="27"/>
      <c r="T7" s="27"/>
      <c r="U7" s="27"/>
      <c r="V7" s="27"/>
      <c r="W7" s="27"/>
      <c r="X7" s="27"/>
      <c r="Y7" s="22"/>
      <c r="Z7" s="22"/>
    </row>
    <row r="8" spans="1:27" x14ac:dyDescent="0.45">
      <c r="A8" s="22"/>
      <c r="B8" s="135" t="str">
        <f>CHAR(149)&amp;" "&amp;IF('Step 1 - Set global parameters'!B21,
  IF('Step 1 - Set global parameters'!B23,
    Country&amp;" is subject to both an excessive deficit procedure and an excessive debt procedure.",
    Country&amp;" is subject to an excessive deficit procedure."),
  IF('Step 1 - Set global parameters'!B23,
    Country&amp;" is subject to an excessive debt procedure.",
    Country&amp;" is not currently subject to any excessive deficit or debt procedure."))</f>
        <v>• Greece is not currently subject to any excessive deficit or debt procedure.</v>
      </c>
    </row>
    <row r="9" spans="1:27" ht="25.9" customHeight="1" x14ac:dyDescent="0.7">
      <c r="A9" s="113"/>
      <c r="B9" s="51" t="s">
        <v>959</v>
      </c>
      <c r="C9" s="51"/>
      <c r="D9" s="76"/>
      <c r="E9" s="28"/>
    </row>
    <row r="10" spans="1:27" ht="19.149999999999999" customHeight="1" x14ac:dyDescent="0.7">
      <c r="A10" s="113" t="s">
        <v>394</v>
      </c>
      <c r="B10" s="79" t="s">
        <v>940</v>
      </c>
      <c r="C10" s="79" t="s">
        <v>956</v>
      </c>
      <c r="D10" s="76" t="str">
        <f>IF(E10="At risk","⚠",IF(E10="Compliant","☑",IF(E10="Breach","⮽","☐")))</f>
        <v>☑</v>
      </c>
      <c r="E10" s="28" t="str">
        <f>IF(Assessment!$C$212,"Compliant","Breach")</f>
        <v>Compliant</v>
      </c>
      <c r="F10" s="23" t="str">
        <f>Assessment!C213</f>
        <v>The Hellenic Fiscal Council has concluded that the MTP's alternative macroeconomic assumptions are based on sound and data-driven arguments and are plausible.</v>
      </c>
    </row>
    <row r="11" spans="1:27" ht="19.149999999999999" customHeight="1" x14ac:dyDescent="0.7">
      <c r="A11" s="113" t="s">
        <v>395</v>
      </c>
      <c r="B11" s="79" t="s">
        <v>518</v>
      </c>
      <c r="C11" s="79" t="s">
        <v>954</v>
      </c>
      <c r="D11" s="76" t="str">
        <f>IF(E11="At risk","⚠",IF(E11="Compliant","☑",IF(E11="Breach","⮽","☐")))</f>
        <v>☑</v>
      </c>
      <c r="E11" s="28" t="str">
        <f>IF(Assessment!$C$216,"Compliant","Breach")</f>
        <v>Compliant</v>
      </c>
      <c r="F11" s="23" t="str">
        <f>Assessment!C217</f>
        <v>The Hellenic Fiscal Council has concluded that the plan contains all information required by Article 13 of Regulation (EU) 2024/1263.</v>
      </c>
    </row>
    <row r="12" spans="1:27" ht="19.149999999999999" customHeight="1" x14ac:dyDescent="0.7">
      <c r="A12" s="113" t="s">
        <v>396</v>
      </c>
      <c r="B12" s="79" t="s">
        <v>530</v>
      </c>
      <c r="C12" s="79" t="s">
        <v>955</v>
      </c>
      <c r="D12" s="76" t="str">
        <f>IF(E12="At risk","⚠",IF(E12="Compliant","☑",IF(E12="Breach","⮽","☐")))</f>
        <v>☐</v>
      </c>
      <c r="E12" s="28" t="str">
        <f>IF(
  AdjustmentPeriod=7,
  IF(Assessment!C221, "Compliant", "Breach"),
  "N/A"
)</f>
        <v>N/A</v>
      </c>
      <c r="F12" s="23" t="str">
        <f>Assessment!C222</f>
        <v>Not applicable. Greece has not requested an extension of the adjustment period.</v>
      </c>
    </row>
    <row r="13" spans="1:27" ht="19.149999999999999" customHeight="1" x14ac:dyDescent="0.7">
      <c r="A13" s="113"/>
      <c r="B13" s="254" t="s">
        <v>974</v>
      </c>
      <c r="D13" s="76"/>
      <c r="E13" s="28"/>
    </row>
    <row r="14" spans="1:27" ht="19.149999999999999" customHeight="1" x14ac:dyDescent="0.7">
      <c r="A14" s="113" t="s">
        <v>397</v>
      </c>
      <c r="B14" s="79" t="s">
        <v>517</v>
      </c>
      <c r="C14" s="79" t="s">
        <v>975</v>
      </c>
      <c r="D14" s="76" t="str">
        <f>IF(E14="At risk","⚠",IF(E14="Compliant","☑",IF(E14="Breach","⮽","☐")))</f>
        <v>☑</v>
      </c>
      <c r="E14" s="28" t="str">
        <f>IF(
  NOT(Receives_reference_trajectory),
  "N/A",
  IF(
    NOT(Assessment!$C$230),
    "Compliant",
    IF(
      Assessment!$C$231,
      "Compliant",
      "Breach"
    )
  )
)</f>
        <v>Compliant</v>
      </c>
      <c r="F14" s="23" t="str">
        <f>Assessment!C232</f>
        <v>The average net expenditure growth reported in Greece's plan over the adjustment period (2025–2028) is higher than the reference trajectory transmitted by the Commission on 30 June 2024, but the Hellenic Fiscal Council deems the explanation and alternative assumptions to be satisfactory.</v>
      </c>
    </row>
    <row r="15" spans="1:27" ht="19.149999999999999" customHeight="1" x14ac:dyDescent="0.7">
      <c r="A15" s="113" t="s">
        <v>398</v>
      </c>
      <c r="B15" s="79" t="s">
        <v>969</v>
      </c>
      <c r="C15" s="79" t="s">
        <v>975</v>
      </c>
      <c r="D15" s="76" t="str">
        <f>IF(E15="At risk","⚠",IF(E15="Compliant","☑",IF(E15="Breach","⮽","☐")))</f>
        <v>☑</v>
      </c>
      <c r="E15" s="28" t="str">
        <f>IF(Receives_reference_trajectory,IF(Assessment!C238,"Compliant","Breach"),IF(Assessment!C248,"Compliant","Breach"))</f>
        <v>Compliant</v>
      </c>
      <c r="F15" s="23" t="str">
        <f>IF(Receives_reference_trajectory,Assessment!C239,Assessment!C249)</f>
        <v>The net expenditure path in Greece's latest MTP exceeds the Commission's reference trajectory but the Hellenic Fiscal Council deems the explanation and alternative assumptions to be satisfactory.</v>
      </c>
    </row>
    <row r="16" spans="1:27" ht="19.149999999999999" customHeight="1" x14ac:dyDescent="0.7">
      <c r="A16" s="113" t="s">
        <v>399</v>
      </c>
      <c r="B16" s="79" t="s">
        <v>594</v>
      </c>
      <c r="C16" s="79" t="s">
        <v>970</v>
      </c>
      <c r="D16" s="76" t="str">
        <f t="shared" ref="D16:D19" si="0">IF(E16="At risk","⚠",IF(E16="Compliant","☑",IF(E16="Breach","⮽","☐")))</f>
        <v>☑</v>
      </c>
      <c r="E16" s="28" t="str">
        <f>IF(Receives_reference_trajectory,IF(Assessment!C261,"Compliant","Breach"),IF(Assessment!C265,"Compliant","Breach"))</f>
        <v>Compliant</v>
      </c>
      <c r="F16" s="23" t="str">
        <f>IF(Receives_reference_trajectory,Assessment!$C$262,Assessment!$C$266)</f>
        <v>Greece's planned net expenditure ensures gross government debt meets all risk-based debt requirements for a plausible downward path.</v>
      </c>
    </row>
    <row r="17" spans="1:34" ht="19.149999999999999" customHeight="1" x14ac:dyDescent="0.7">
      <c r="A17" s="113" t="s">
        <v>400</v>
      </c>
      <c r="B17" s="79" t="s">
        <v>595</v>
      </c>
      <c r="C17" s="79" t="s">
        <v>970</v>
      </c>
      <c r="D17" s="76" t="str">
        <f t="shared" si="0"/>
        <v>☑</v>
      </c>
      <c r="E17" s="28" t="str">
        <f>IF(Receives_reference_trajectory,IF(Assessment!C271,"Compliant","Breach"),IF(Assessment!C275,"Compliant","Breach"))</f>
        <v>Compliant</v>
      </c>
      <c r="F17" s="23" t="str">
        <f>IF(Receives_reference_trajectory,Assessment!$C$272,Assessment!$C$279)</f>
        <v>Greece's net expenditure path maintains the government deficit below 3% of GDP throughout the adjustment period and over the medium term.</v>
      </c>
    </row>
    <row r="18" spans="1:34" ht="19.149999999999999" customHeight="1" x14ac:dyDescent="0.7">
      <c r="A18" s="113" t="s">
        <v>401</v>
      </c>
      <c r="B18" s="79" t="s">
        <v>500</v>
      </c>
      <c r="C18" s="79" t="s">
        <v>976</v>
      </c>
      <c r="D18" s="76" t="str">
        <f t="shared" si="0"/>
        <v>☑</v>
      </c>
      <c r="E18" s="28" t="str">
        <f>IF(Receives_reference_trajectory,IF(Assessment!C290,"Compliant","Breach"),"N/A")</f>
        <v>Compliant</v>
      </c>
      <c r="F18" s="23" t="str">
        <f>Assessment!C292</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Greece's latest MTP is consistent with the no backloading safeguard clause.</v>
      </c>
    </row>
    <row r="19" spans="1:34" ht="19.149999999999999" customHeight="1" x14ac:dyDescent="0.7">
      <c r="A19" s="113" t="s">
        <v>402</v>
      </c>
      <c r="B19" s="79" t="s">
        <v>290</v>
      </c>
      <c r="C19" s="79" t="s">
        <v>971</v>
      </c>
      <c r="D19" s="76" t="str">
        <f t="shared" si="0"/>
        <v>☐</v>
      </c>
      <c r="E19" s="79" t="str">
        <f>_xlfn.IFNA(IF(Assessment!C303,"Compliant",IF(NOT(Assessment!C312),"Breach")),"N/A")</f>
        <v>N/A</v>
      </c>
      <c r="F19" s="23" t="str">
        <f>Assessment!C304</f>
        <v>The Council has not opened an excessive deficit procedure against Greece.</v>
      </c>
    </row>
    <row r="20" spans="1:34" ht="19.149999999999999" customHeight="1" x14ac:dyDescent="0.7">
      <c r="A20" s="113"/>
      <c r="B20" s="254" t="s">
        <v>941</v>
      </c>
      <c r="C20" s="254"/>
      <c r="D20" s="76"/>
      <c r="E20" s="79"/>
    </row>
    <row r="21" spans="1:34" ht="19.149999999999999" customHeight="1" x14ac:dyDescent="0.7">
      <c r="A21" s="113" t="s">
        <v>403</v>
      </c>
      <c r="B21" s="79" t="s">
        <v>459</v>
      </c>
      <c r="C21" s="79" t="s">
        <v>972</v>
      </c>
      <c r="D21" s="76" t="str">
        <f t="shared" ref="D21:D22" si="1">IF(E21="At risk","⚠",IF(E21="Compliant","☑",IF(E21="Breach","⮽","☐")))</f>
        <v>☑</v>
      </c>
      <c r="E21" s="28" t="str">
        <f>IF(
  NOT(Receives_reference_trajectory),
  "N/A",
  IF(
    OR(Assessment!C309, Assessment!C310),
    IF(
      OR(
        IF(Assessment!C309,NOT(Assessment!C311), FALSE),
        IF(Assessment!C310,NOT(Assessment!C312), FALSE)
      ),
      "Breach",
      "Compliant"
    ),
    "The debt sustainability safeguard does not apply."
  )
)</f>
        <v>Compliant</v>
      </c>
      <c r="F21" s="23" t="str">
        <f>Assessment!C315</f>
        <v>The debt sustainability safeguard applies and Greece's fiscal path is compliant.</v>
      </c>
    </row>
    <row r="22" spans="1:34" ht="19.149999999999999" customHeight="1" x14ac:dyDescent="0.7">
      <c r="A22" s="113" t="s">
        <v>404</v>
      </c>
      <c r="B22" s="79" t="s">
        <v>603</v>
      </c>
      <c r="C22" s="79" t="s">
        <v>973</v>
      </c>
      <c r="D22" s="76" t="str">
        <f t="shared" si="1"/>
        <v>☐</v>
      </c>
      <c r="E22" s="28" t="str">
        <f>IF(
  NOT(Receives_reference_trajectory),
  "N/A",
  IF(
    OR(Assessment!C324=FALSE, ISNA(Assessment!C326)),
    "N/A",
    IF(Assessment!C326, "Compliant", "Breach")
  )
)</f>
        <v>N/A</v>
      </c>
      <c r="F22" s="23" t="str">
        <f>Assessment!C328</f>
        <v>The deficit resilience safeguard does not apply, as the structural deficit does not exceed 1.5% of GDP during the adjustment period.</v>
      </c>
    </row>
    <row r="23" spans="1:34" ht="19.149999999999999" customHeight="1" x14ac:dyDescent="0.7">
      <c r="A23" s="113" t="s">
        <v>461</v>
      </c>
      <c r="B23" s="79" t="s">
        <v>716</v>
      </c>
      <c r="C23" s="79" t="s">
        <v>977</v>
      </c>
      <c r="D23" s="76" t="str">
        <f>IF(E23="At risk","⚠",IF(E23="Compliant","☑",IF(E23="Breach","⮽","☐")))</f>
        <v>☑</v>
      </c>
      <c r="E23" s="79" t="str">
        <f>IF(
  Receives_reference_trajectory,
  IF(
    OR(ISNA(Assessment!C332), ISNA(Assessment!C333)),
    "N/A",
    IF(
      Assessment!C333 &gt;= Assessment!C332,
      "Compliant",
      IF(
        EscapeClauseActivated,
        "At risk",
        "At risk"
      )
    )
  ),
  IF(
    ISNA(Assessment!$C$344),
    "N/A",
    IF(
      Assessment!$C$344,
      "Compliant",
      "Breach"
    )
  )
)</f>
        <v>Compliant</v>
      </c>
      <c r="F23" s="23" t="str">
        <f>IF(Receives_reference_trajectory,Assessment!C338,Assessment!C347)</f>
        <v>Greece's total SPB adjustment required over the adjustment period is 0.9 pp of GDP. The planned average annual consolidation of 0.4 pp exceeds the required 0.2 pp, indicating that the plan appears consistent with achieving the target SPB implied by the reference trajectory by the end of the horizon.</v>
      </c>
    </row>
    <row r="24" spans="1:34" ht="19.149999999999999" customHeight="1" x14ac:dyDescent="0.7">
      <c r="A24" s="113"/>
      <c r="B24" s="254" t="s">
        <v>950</v>
      </c>
      <c r="C24" s="254"/>
      <c r="D24" s="76"/>
      <c r="E24" s="79"/>
    </row>
    <row r="25" spans="1:34" ht="23.65" thickBot="1" x14ac:dyDescent="0.75">
      <c r="A25" s="113"/>
      <c r="B25" s="74" t="s">
        <v>509</v>
      </c>
      <c r="C25" s="74"/>
      <c r="D25" s="75" t="str">
        <f>IF(E23="At risk","⚠",IF(E23="Compliant","☑",IF(E23="Breach","⮽","☐")))</f>
        <v>☑</v>
      </c>
      <c r="E25" s="74" t="str">
        <f>IF(COUNTIF(E11:E22,"Breach")&gt;0,"Breach",IF(COUNTIF(E14:E22,"At risk")&gt;0,"At risk","Compliant"))</f>
        <v>Compliant</v>
      </c>
      <c r="F25" s="74" t="str">
        <f>IF(Receives_reference_trajectory,Assessment!C352,Assessment!C356)</f>
        <v>The net expenditure path in Greece's latest MTP exceeds the Commission's reference trajectory but the Hellenic Fiscal Council deems the explanation and alternative assumptions to be satisfactory, and it meets all requirements of Regulation (EU) 2024/1263.</v>
      </c>
      <c r="G25" s="74"/>
      <c r="H25" s="74"/>
      <c r="I25" s="74"/>
      <c r="J25" s="74"/>
      <c r="K25" s="74"/>
      <c r="L25" s="74"/>
      <c r="M25" s="74"/>
      <c r="N25" s="74"/>
      <c r="O25" s="74"/>
      <c r="P25" s="74"/>
      <c r="Q25" s="74"/>
      <c r="R25" s="74"/>
      <c r="S25" s="74"/>
      <c r="T25" s="74"/>
      <c r="U25" s="74"/>
      <c r="V25" s="74"/>
      <c r="W25" s="74"/>
      <c r="X25" s="74"/>
      <c r="Y25" s="74"/>
      <c r="Z25" s="74"/>
      <c r="AA25" s="74"/>
      <c r="AB25" s="74"/>
      <c r="AC25" s="74"/>
      <c r="AD25" s="74"/>
      <c r="AE25" s="74"/>
      <c r="AF25" s="74"/>
      <c r="AG25" s="74"/>
      <c r="AH25" s="74"/>
    </row>
    <row r="26" spans="1:34" customFormat="1" ht="19.149999999999999" customHeight="1" thickTop="1" x14ac:dyDescent="0.4"/>
    <row r="27" spans="1:34" customFormat="1" ht="19.149999999999999" customHeight="1" x14ac:dyDescent="0.45">
      <c r="J27" s="23"/>
      <c r="K27" s="23"/>
      <c r="L27" s="23"/>
      <c r="M27" s="23"/>
      <c r="N27" s="23"/>
      <c r="O27" s="23"/>
      <c r="P27" s="23"/>
      <c r="Q27" s="23"/>
      <c r="R27" s="23"/>
      <c r="S27" s="23"/>
      <c r="T27" s="23"/>
      <c r="U27" s="23"/>
      <c r="V27" s="23"/>
    </row>
    <row r="28" spans="1:34" customFormat="1" ht="19.149999999999999" customHeight="1" x14ac:dyDescent="0.45">
      <c r="B28" s="23"/>
      <c r="C28" s="23"/>
      <c r="J28" s="23"/>
      <c r="K28" s="23"/>
      <c r="L28" s="23"/>
      <c r="M28" s="23"/>
      <c r="N28" s="23"/>
      <c r="O28" s="23"/>
      <c r="P28" s="23"/>
      <c r="Q28" s="23"/>
      <c r="R28" s="23"/>
      <c r="S28" s="23"/>
      <c r="T28" s="23"/>
      <c r="U28" s="23"/>
      <c r="V28" s="23"/>
    </row>
    <row r="29" spans="1:34" customFormat="1" ht="19.149999999999999" customHeight="1" x14ac:dyDescent="0.45">
      <c r="J29" s="23"/>
      <c r="K29" s="23"/>
      <c r="L29" s="23"/>
      <c r="M29" s="23"/>
      <c r="N29" s="23"/>
      <c r="O29" s="23"/>
      <c r="P29" s="23"/>
      <c r="Q29" s="23"/>
      <c r="R29" s="23"/>
      <c r="S29" s="23"/>
      <c r="T29" s="23"/>
      <c r="U29" s="23"/>
      <c r="V29" s="23"/>
    </row>
    <row r="30" spans="1:34" customFormat="1" ht="19.149999999999999" customHeight="1" x14ac:dyDescent="0.45">
      <c r="J30" s="23"/>
      <c r="K30" s="23"/>
      <c r="L30" s="23"/>
      <c r="M30" s="23"/>
      <c r="N30" s="23"/>
      <c r="O30" s="23"/>
      <c r="P30" s="23"/>
      <c r="Q30" s="23"/>
      <c r="R30" s="23"/>
      <c r="S30" s="23"/>
      <c r="T30" s="23"/>
      <c r="U30" s="23"/>
      <c r="V30" s="23"/>
    </row>
    <row r="31" spans="1:34" customFormat="1" ht="19.149999999999999" customHeight="1" x14ac:dyDescent="0.45">
      <c r="J31" s="23"/>
      <c r="K31" s="23"/>
      <c r="L31" s="23"/>
      <c r="M31" s="23"/>
      <c r="N31" s="23"/>
      <c r="O31" s="23"/>
      <c r="P31" s="23"/>
      <c r="Q31" s="23"/>
      <c r="R31" s="23"/>
      <c r="S31" s="23"/>
      <c r="T31" s="23"/>
      <c r="U31" s="23"/>
      <c r="V31" s="23"/>
    </row>
    <row r="32" spans="1:34" customFormat="1" ht="19.149999999999999" customHeight="1" x14ac:dyDescent="0.45">
      <c r="J32" s="23"/>
      <c r="K32" s="23"/>
      <c r="L32" s="23"/>
      <c r="M32" s="23"/>
      <c r="N32" s="23"/>
      <c r="O32" s="23"/>
      <c r="P32" s="23"/>
      <c r="Q32" s="23"/>
      <c r="R32" s="23"/>
      <c r="S32" s="23"/>
      <c r="T32" s="23"/>
      <c r="U32" s="23"/>
      <c r="V32" s="23"/>
    </row>
    <row r="33" spans="2:22" customFormat="1" ht="19.149999999999999" customHeight="1" x14ac:dyDescent="0.45">
      <c r="J33" s="23"/>
      <c r="K33" s="23"/>
      <c r="L33" s="23"/>
      <c r="M33" s="23"/>
      <c r="N33" s="23"/>
      <c r="O33" s="23"/>
      <c r="P33" s="23"/>
      <c r="Q33" s="23"/>
      <c r="R33" s="23"/>
      <c r="S33" s="23"/>
      <c r="T33" s="23"/>
      <c r="U33" s="23"/>
      <c r="V33" s="23"/>
    </row>
    <row r="34" spans="2:22" customFormat="1" ht="19.350000000000001" customHeight="1" x14ac:dyDescent="0.45">
      <c r="J34" s="23"/>
      <c r="K34" s="23"/>
      <c r="L34" s="23"/>
      <c r="M34" s="23"/>
      <c r="N34" s="23"/>
      <c r="O34" s="23"/>
      <c r="P34" s="23"/>
      <c r="Q34" s="23"/>
      <c r="R34" s="23"/>
      <c r="S34" s="23"/>
      <c r="T34" s="23"/>
      <c r="U34" s="23"/>
      <c r="V34" s="23"/>
    </row>
    <row r="35" spans="2:22" customFormat="1" x14ac:dyDescent="0.45">
      <c r="J35" s="23"/>
      <c r="K35" s="23"/>
      <c r="L35" s="23"/>
      <c r="M35" s="23"/>
      <c r="N35" s="23"/>
      <c r="O35" s="23"/>
      <c r="P35" s="23"/>
      <c r="Q35" s="23"/>
      <c r="R35" s="23"/>
      <c r="S35" s="23"/>
      <c r="T35" s="23"/>
      <c r="U35" s="23"/>
      <c r="V35" s="23"/>
    </row>
    <row r="36" spans="2:22" customFormat="1" ht="19.350000000000001" customHeight="1" x14ac:dyDescent="0.45">
      <c r="B36" s="23"/>
      <c r="C36" s="23"/>
      <c r="D36" s="23"/>
      <c r="E36" s="23"/>
      <c r="F36" s="23"/>
      <c r="G36" s="23"/>
      <c r="H36" s="23"/>
      <c r="I36" s="23"/>
      <c r="J36" s="23"/>
      <c r="K36" s="23"/>
      <c r="L36" s="23"/>
      <c r="M36" s="23"/>
      <c r="N36" s="23"/>
      <c r="O36" s="23"/>
      <c r="P36" s="23"/>
      <c r="Q36" s="23"/>
      <c r="R36" s="23"/>
      <c r="S36" s="23"/>
      <c r="T36" s="23"/>
      <c r="U36" s="23"/>
      <c r="V36" s="23"/>
    </row>
    <row r="37" spans="2:22" customFormat="1" ht="14.65" customHeight="1" x14ac:dyDescent="0.45">
      <c r="B37" s="23"/>
      <c r="C37" s="23"/>
      <c r="D37" s="23"/>
      <c r="E37" s="23"/>
      <c r="F37" s="23"/>
      <c r="G37" s="23"/>
      <c r="H37" s="23"/>
      <c r="I37" s="23"/>
      <c r="J37" s="23"/>
      <c r="K37" s="23"/>
      <c r="L37" s="23"/>
      <c r="M37" s="23"/>
      <c r="N37" s="23"/>
      <c r="O37" s="23"/>
      <c r="P37" s="23"/>
      <c r="Q37" s="23"/>
      <c r="R37" s="23"/>
      <c r="S37" s="23"/>
      <c r="T37" s="23"/>
      <c r="U37" s="23"/>
      <c r="V37" s="23"/>
    </row>
    <row r="38" spans="2:22" customFormat="1" ht="14.65" customHeight="1" x14ac:dyDescent="0.45">
      <c r="B38" s="23"/>
      <c r="C38" s="23"/>
      <c r="D38" s="23"/>
      <c r="E38" s="23"/>
      <c r="F38" s="23"/>
      <c r="G38" s="23"/>
      <c r="H38" s="23"/>
      <c r="I38" s="23"/>
      <c r="J38" s="23"/>
      <c r="K38" s="23"/>
      <c r="L38" s="23"/>
      <c r="M38" s="23"/>
      <c r="N38" s="23"/>
      <c r="O38" s="23"/>
      <c r="P38" s="23"/>
      <c r="Q38" s="23"/>
      <c r="R38" s="23"/>
      <c r="S38" s="23"/>
      <c r="T38" s="23"/>
      <c r="U38" s="23"/>
      <c r="V38" s="23"/>
    </row>
    <row r="39" spans="2:22" customFormat="1" ht="16.149999999999999" customHeight="1" x14ac:dyDescent="0.45">
      <c r="B39" s="23"/>
      <c r="C39" s="23"/>
      <c r="D39" s="23"/>
      <c r="E39" s="23"/>
      <c r="F39" s="23"/>
      <c r="G39" s="23"/>
      <c r="H39" s="23"/>
      <c r="I39" s="23"/>
      <c r="J39" s="23"/>
      <c r="K39" s="23"/>
      <c r="L39" s="23"/>
      <c r="M39" s="23"/>
      <c r="N39" s="23"/>
      <c r="O39" s="23"/>
      <c r="P39" s="23"/>
      <c r="Q39" s="23"/>
      <c r="R39" s="23"/>
      <c r="S39" s="23"/>
      <c r="T39" s="23"/>
      <c r="U39" s="23"/>
      <c r="V39" s="23"/>
    </row>
    <row r="40" spans="2:22" customFormat="1" ht="14.65" customHeight="1" x14ac:dyDescent="0.45">
      <c r="B40" s="23"/>
      <c r="C40" s="23"/>
      <c r="D40" s="23"/>
      <c r="E40" s="23"/>
      <c r="F40" s="23"/>
      <c r="G40" s="23"/>
      <c r="H40" s="23"/>
      <c r="I40" s="23"/>
      <c r="J40" s="23"/>
      <c r="K40" s="23"/>
      <c r="L40" s="23"/>
      <c r="M40" s="23"/>
      <c r="N40" s="23"/>
      <c r="O40" s="23"/>
      <c r="P40" s="23"/>
      <c r="Q40" s="23"/>
      <c r="R40" s="23"/>
      <c r="S40" s="23"/>
      <c r="T40" s="23"/>
      <c r="U40" s="23"/>
      <c r="V40" s="23"/>
    </row>
    <row r="41" spans="2:22" customFormat="1" ht="14.65" customHeight="1" x14ac:dyDescent="0.45">
      <c r="B41" s="23"/>
      <c r="C41" s="23"/>
      <c r="D41" s="23"/>
      <c r="E41" s="23"/>
      <c r="F41" s="23"/>
      <c r="G41" s="23"/>
      <c r="H41" s="23"/>
      <c r="I41" s="23"/>
      <c r="J41" s="23"/>
      <c r="K41" s="23"/>
      <c r="L41" s="23"/>
      <c r="M41" s="23"/>
      <c r="N41" s="23"/>
      <c r="O41" s="23"/>
      <c r="P41" s="23"/>
      <c r="Q41" s="23"/>
      <c r="R41" s="23"/>
      <c r="S41" s="23"/>
      <c r="T41" s="23"/>
      <c r="U41" s="23"/>
      <c r="V41" s="23"/>
    </row>
    <row r="42" spans="2:22" customFormat="1" ht="26.25" customHeight="1" x14ac:dyDescent="0.45">
      <c r="B42" s="23"/>
      <c r="C42" s="23"/>
      <c r="D42" s="23"/>
      <c r="E42" s="23"/>
      <c r="F42" s="23"/>
      <c r="G42" s="23"/>
      <c r="H42" s="23"/>
      <c r="I42" s="23"/>
      <c r="J42" s="23"/>
      <c r="K42" s="23"/>
      <c r="L42" s="23"/>
      <c r="M42" s="23"/>
      <c r="N42" s="23"/>
      <c r="O42" s="23"/>
      <c r="P42" s="23"/>
      <c r="Q42" s="23"/>
      <c r="R42" s="23"/>
      <c r="S42" s="23"/>
      <c r="T42" s="23"/>
      <c r="U42" s="23"/>
      <c r="V42" s="23"/>
    </row>
  </sheetData>
  <phoneticPr fontId="5" type="noConversion"/>
  <conditionalFormatting sqref="D10:D24">
    <cfRule type="expression" dxfId="49" priority="782">
      <formula>E10="Caution"</formula>
    </cfRule>
    <cfRule type="expression" dxfId="48" priority="783">
      <formula>E10="Breach"</formula>
    </cfRule>
    <cfRule type="expression" dxfId="47" priority="784">
      <formula>E10="Compliant"</formula>
    </cfRule>
    <cfRule type="expression" dxfId="46" priority="785">
      <formula>AND(E10&lt;&gt;"Compliant", E10&lt;&gt;"Caution", E10&lt;&gt;"Breach")</formula>
    </cfRule>
  </conditionalFormatting>
  <conditionalFormatting sqref="B25:AH25">
    <cfRule type="expression" dxfId="45" priority="790">
      <formula>$E$25="Compliant"</formula>
    </cfRule>
    <cfRule type="expression" dxfId="44" priority="791">
      <formula>$E$25="Caution"</formula>
    </cfRule>
    <cfRule type="expression" dxfId="43" priority="792">
      <formula>$E$25="Breach"</formula>
    </cfRule>
  </conditionalFormatting>
  <conditionalFormatting sqref="D9:D10">
    <cfRule type="expression" dxfId="42" priority="848">
      <formula>#REF!="No"</formula>
    </cfRule>
    <cfRule type="expression" dxfId="41" priority="849">
      <formula>#REF!="Yes"</formula>
    </cfRule>
  </conditionalFormatting>
  <pageMargins left="0.23622047244094491" right="0.23622047244094491" top="0" bottom="0" header="0.31496062992125984" footer="0.31496062992125984"/>
  <pageSetup paperSize="9" scale="45" fitToHeight="0" orientation="landscape" r:id="rId1"/>
  <colBreaks count="1" manualBreakCount="1">
    <brk id="24" max="1048575" man="1"/>
  </colBreak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350817A-5979-4925-8F46-2D925947F111}">
          <x14:formula1>
            <xm:f>Validation!$H$3:$H$4</xm:f>
          </x14:formula1>
          <xm:sqref>M4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56"/>
  <sheetViews>
    <sheetView showGridLines="0" zoomScaleNormal="100" workbookViewId="0"/>
  </sheetViews>
  <sheetFormatPr defaultColWidth="9" defaultRowHeight="13.15" x14ac:dyDescent="0.4"/>
  <cols>
    <col min="1" max="1" width="5.7109375" customWidth="1"/>
    <col min="2" max="2" width="70.5703125" style="15" customWidth="1"/>
    <col min="3" max="3" width="30.28515625" style="15" customWidth="1"/>
    <col min="4" max="4" width="9" style="15" customWidth="1"/>
    <col min="5" max="5" width="9.5703125" style="15" bestFit="1" customWidth="1"/>
    <col min="6" max="16384" width="9" style="15"/>
  </cols>
  <sheetData>
    <row r="1" spans="2:23" customFormat="1" ht="28.5" customHeight="1" x14ac:dyDescent="0.4">
      <c r="B1" s="99" t="s">
        <v>872</v>
      </c>
    </row>
    <row r="2" spans="2:23" customFormat="1" ht="23.25" x14ac:dyDescent="0.7">
      <c r="B2" s="14" t="str">
        <f>"Latest outturn data to "&amp;OutturnThrough&amp;IF(OutturnThrough=AssessmentEnd,""," and "&amp;ScenarioName)</f>
        <v>Latest outturn data to 2025 and Annual Progress Report 2026</v>
      </c>
    </row>
    <row r="3" spans="2:23" customFormat="1" ht="15.75" x14ac:dyDescent="0.5">
      <c r="B3" s="80"/>
    </row>
    <row r="4" spans="2:23" customFormat="1" ht="14.65" customHeight="1" x14ac:dyDescent="0.4">
      <c r="B4" s="40" t="s">
        <v>251</v>
      </c>
      <c r="C4" s="95"/>
      <c r="D4" s="45" cm="1">
        <f t="array" ref="D4:G4">_xlfn.SEQUENCE(1, AssessmentEnd-MTP_BaseYear+1, MTP_BaseYear)</f>
        <v>2023</v>
      </c>
      <c r="E4" s="45">
        <v>2024</v>
      </c>
      <c r="F4" s="45">
        <v>2025</v>
      </c>
      <c r="G4" s="45">
        <v>2026</v>
      </c>
      <c r="H4" s="45"/>
      <c r="I4" s="45"/>
      <c r="J4" s="45"/>
      <c r="K4" s="45"/>
      <c r="L4" s="45"/>
      <c r="M4" s="45"/>
      <c r="N4" s="45"/>
      <c r="O4" s="45"/>
      <c r="P4" s="45"/>
      <c r="Q4" s="45"/>
      <c r="R4" s="45"/>
      <c r="S4" s="45"/>
      <c r="T4" s="45"/>
      <c r="U4" s="45"/>
      <c r="V4" s="45"/>
      <c r="W4" s="45"/>
    </row>
    <row r="5" spans="2:23" customFormat="1" ht="14.65" customHeight="1" x14ac:dyDescent="0.4">
      <c r="B5" s="42" t="s">
        <v>274</v>
      </c>
      <c r="C5" s="20"/>
      <c r="D5" s="48" t="str" cm="1">
        <f t="array" ref="D5:G5">IF(
  AND(_xlfn.ANCHORARRAY(D4)&gt;=MTP_YearT-1,_xlfn.ANCHORARRAY( D4)&lt;=MTP_EndYear),
  CHOOSE(SIGN(_xlfn.ANCHORARRAY(D4)-MTP_YearT)+2, "T-1", "T", "T+"&amp;(_xlfn.ANCHORARRAY(D4)-MTP_YearT)),
  ""
)</f>
        <v>T-1</v>
      </c>
      <c r="E5" s="48" t="str">
        <v>T</v>
      </c>
      <c r="F5" s="48" t="str">
        <v>T+1</v>
      </c>
      <c r="G5" s="48" t="str">
        <v>T+2</v>
      </c>
      <c r="H5" s="48"/>
      <c r="I5" s="48"/>
      <c r="J5" s="48"/>
      <c r="K5" s="48"/>
      <c r="L5" s="48"/>
      <c r="M5" s="48"/>
      <c r="N5" s="48"/>
      <c r="O5" s="48"/>
      <c r="P5" s="48"/>
      <c r="Q5" s="48"/>
      <c r="R5" s="48"/>
      <c r="S5" s="48"/>
      <c r="T5" s="48"/>
      <c r="U5" s="48"/>
      <c r="V5" s="48"/>
      <c r="W5" s="48"/>
    </row>
    <row r="6" spans="2:23" customFormat="1" ht="14.65" customHeight="1" x14ac:dyDescent="0.4">
      <c r="B6" s="60" t="s">
        <v>257</v>
      </c>
      <c r="C6" s="45" t="s">
        <v>6</v>
      </c>
      <c r="D6" s="156">
        <f>IF(D$4&lt;=OutturnThrough,IF(ISNUMBER('Step 2 - Update outturn data'!E6),'Step 2 - Update outturn data'!E6,""),IF(ISNUMBER('Step 3 (IMPL) - Enter outlook'!D8),'Step 3 (IMPL) - Enter outlook'!D8,""))</f>
        <v>111.255</v>
      </c>
      <c r="E6" s="156">
        <f>IF(E$4&lt;=OutturnThrough,IF(ISNUMBER('Step 2 - Update outturn data'!F6),'Step 2 - Update outturn data'!F6,""),IF(ISNUMBER('Step 3 (IMPL) - Enter outlook'!E8),'Step 3 (IMPL) - Enter outlook'!E8,""))</f>
        <v>113.87</v>
      </c>
      <c r="F6" s="156">
        <f>IF(F$4&lt;=OutturnThrough,IF(ISNUMBER('Step 2 - Update outturn data'!G6),'Step 2 - Update outturn data'!G6,""),IF(ISNUMBER('Step 3 (IMPL) - Enter outlook'!F8),'Step 3 (IMPL) - Enter outlook'!F8,""))</f>
        <v>119.875</v>
      </c>
      <c r="G6" s="156">
        <f>IF(G$4&lt;=OutturnThrough,IF(ISNUMBER('Step 2 - Update outturn data'!H6),'Step 2 - Update outturn data'!H6,""),IF(ISNUMBER('Step 3 (IMPL) - Enter outlook'!G8),'Step 3 (IMPL) - Enter outlook'!G8,""))</f>
        <v>131.1565823848</v>
      </c>
      <c r="H6" s="156" t="str">
        <f>IF(H$4&lt;=OutturnThrough,IF(ISNUMBER('Step 2 - Update outturn data'!I6),'Step 2 - Update outturn data'!I6,""),IF(ISNUMBER('Step 3 (IMPL) - Enter outlook'!H8),'Step 3 (IMPL) - Enter outlook'!H8,""))</f>
        <v/>
      </c>
      <c r="I6" s="156" t="str">
        <f>IF(I$4&lt;=OutturnThrough,IF(ISNUMBER('Step 2 - Update outturn data'!J6),'Step 2 - Update outturn data'!J6,""),IF(ISNUMBER('Step 3 (IMPL) - Enter outlook'!I8),'Step 3 (IMPL) - Enter outlook'!I8,""))</f>
        <v/>
      </c>
      <c r="J6" s="156" t="str">
        <f>IF(J$4&lt;=OutturnThrough,IF(ISNUMBER('Step 2 - Update outturn data'!K6),'Step 2 - Update outturn data'!K6,""),IF(ISNUMBER('Step 3 (IMPL) - Enter outlook'!J8),'Step 3 (IMPL) - Enter outlook'!J8,""))</f>
        <v/>
      </c>
      <c r="K6" s="156" t="str">
        <f>IF(K$4&lt;=OutturnThrough,IF(ISNUMBER('Step 2 - Update outturn data'!L6),'Step 2 - Update outturn data'!L6,""),IF(ISNUMBER('Step 3 (IMPL) - Enter outlook'!K8),'Step 3 (IMPL) - Enter outlook'!K8,""))</f>
        <v/>
      </c>
      <c r="L6" s="70"/>
      <c r="M6" s="70"/>
      <c r="N6" s="63"/>
      <c r="O6" s="63"/>
      <c r="P6" s="63"/>
      <c r="Q6" s="63"/>
      <c r="R6" s="63"/>
      <c r="S6" s="63"/>
      <c r="T6" s="63"/>
      <c r="U6" s="63"/>
      <c r="V6" s="63"/>
      <c r="W6" s="63"/>
    </row>
    <row r="7" spans="2:23" customFormat="1" ht="14.65" customHeight="1" x14ac:dyDescent="0.4">
      <c r="B7" s="60" t="s">
        <v>25</v>
      </c>
      <c r="C7" s="45" t="s">
        <v>6</v>
      </c>
      <c r="D7" s="156">
        <f>IF(D$4&lt;=OutturnThrough,IF(ISNUMBER('Step 2 - Update outturn data'!E7),'Step 2 - Update outturn data'!E7,""),IF(ISNUMBER('Step 3 (IMPL) - Enter outlook'!D9),'Step 3 (IMPL) - Enter outlook'!D9,""))</f>
        <v>7.6120000000000001</v>
      </c>
      <c r="E7" s="156">
        <f>IF(E$4&lt;=OutturnThrough,IF(ISNUMBER('Step 2 - Update outturn data'!F7),'Step 2 - Update outturn data'!F7,""),IF(ISNUMBER('Step 3 (IMPL) - Enter outlook'!E9),'Step 3 (IMPL) - Enter outlook'!E9,""))</f>
        <v>8.2249999999999996</v>
      </c>
      <c r="F7" s="156">
        <f>IF(F$4&lt;=OutturnThrough,IF(ISNUMBER('Step 2 - Update outturn data'!G7),'Step 2 - Update outturn data'!G7,""),IF(ISNUMBER('Step 3 (IMPL) - Enter outlook'!F9),'Step 3 (IMPL) - Enter outlook'!F9,""))</f>
        <v>7.8410000000000002</v>
      </c>
      <c r="G7" s="156">
        <f>IF(G$4&lt;=OutturnThrough,IF(ISNUMBER('Step 2 - Update outturn data'!H7),'Step 2 - Update outturn data'!H7,""),IF(ISNUMBER('Step 3 (IMPL) - Enter outlook'!G9),'Step 3 (IMPL) - Enter outlook'!G9,""))</f>
        <v>7.8380427719999997</v>
      </c>
      <c r="H7" s="156" t="str">
        <f>IF(H$4&lt;=OutturnThrough,IF(ISNUMBER('Step 2 - Update outturn data'!I7),'Step 2 - Update outturn data'!I7,""),IF(ISNUMBER('Step 3 (IMPL) - Enter outlook'!H9),'Step 3 (IMPL) - Enter outlook'!H9,""))</f>
        <v/>
      </c>
      <c r="I7" s="156" t="str">
        <f>IF(I$4&lt;=OutturnThrough,IF(ISNUMBER('Step 2 - Update outturn data'!J7),'Step 2 - Update outturn data'!J7,""),IF(ISNUMBER('Step 3 (IMPL) - Enter outlook'!I9),'Step 3 (IMPL) - Enter outlook'!I9,""))</f>
        <v/>
      </c>
      <c r="J7" s="156" t="str">
        <f>IF(J$4&lt;=OutturnThrough,IF(ISNUMBER('Step 2 - Update outturn data'!K7),'Step 2 - Update outturn data'!K7,""),IF(ISNUMBER('Step 3 (IMPL) - Enter outlook'!J9),'Step 3 (IMPL) - Enter outlook'!J9,""))</f>
        <v/>
      </c>
      <c r="K7" s="156" t="str">
        <f>IF(K$4&lt;=OutturnThrough,IF(ISNUMBER('Step 2 - Update outturn data'!L7),'Step 2 - Update outturn data'!L7,""),IF(ISNUMBER('Step 3 (IMPL) - Enter outlook'!K9),'Step 3 (IMPL) - Enter outlook'!K9,""))</f>
        <v/>
      </c>
      <c r="L7" s="70"/>
      <c r="M7" s="70"/>
      <c r="N7" s="63"/>
      <c r="O7" s="63"/>
      <c r="P7" s="63"/>
      <c r="Q7" s="63"/>
      <c r="R7" s="63"/>
      <c r="S7" s="63"/>
      <c r="T7" s="63"/>
      <c r="U7" s="63"/>
      <c r="V7" s="63"/>
      <c r="W7" s="63"/>
    </row>
    <row r="8" spans="2:23" customFormat="1" ht="14.65" customHeight="1" x14ac:dyDescent="0.4">
      <c r="B8" s="60" t="s">
        <v>276</v>
      </c>
      <c r="C8" s="45" t="s">
        <v>6</v>
      </c>
      <c r="D8" s="156">
        <f>IF(D$4&lt;=OutturnThrough,IF(ISNUMBER('Step 2 - Update outturn data'!E8),'Step 2 - Update outturn data'!E8,""),IF(ISNUMBER('Step 3 (IMPL) - Enter outlook'!D10),'Step 3 (IMPL) - Enter outlook'!D10,""))</f>
        <v>0.3</v>
      </c>
      <c r="E8" s="156">
        <f>IF(E$4&lt;=OutturnThrough,IF(ISNUMBER('Step 2 - Update outturn data'!F8),'Step 2 - Update outturn data'!F8,""),IF(ISNUMBER('Step 3 (IMPL) - Enter outlook'!E10),'Step 3 (IMPL) - Enter outlook'!E10,""))</f>
        <v>0.1</v>
      </c>
      <c r="F8" s="156">
        <f>IF(F$4&lt;=OutturnThrough,IF(ISNUMBER('Step 2 - Update outturn data'!G8),'Step 2 - Update outturn data'!G8,""),IF(ISNUMBER('Step 3 (IMPL) - Enter outlook'!F10),'Step 3 (IMPL) - Enter outlook'!F10,""))</f>
        <v>-0.1</v>
      </c>
      <c r="G8" s="156">
        <f>IF(G$4&lt;=OutturnThrough,IF(ISNUMBER('Step 2 - Update outturn data'!H8),'Step 2 - Update outturn data'!H8,""),IF(ISNUMBER('Step 3 (IMPL) - Enter outlook'!G10),'Step 3 (IMPL) - Enter outlook'!G10,""))</f>
        <v>-0.26126809239999998</v>
      </c>
      <c r="H8" s="156" t="str">
        <f>IF(H$4&lt;=OutturnThrough,IF(ISNUMBER('Step 2 - Update outturn data'!I8),'Step 2 - Update outturn data'!I8,""),IF(ISNUMBER('Step 3 (IMPL) - Enter outlook'!H10),'Step 3 (IMPL) - Enter outlook'!H10,""))</f>
        <v/>
      </c>
      <c r="I8" s="156" t="str">
        <f>IF(I$4&lt;=OutturnThrough,IF(ISNUMBER('Step 2 - Update outturn data'!J8),'Step 2 - Update outturn data'!J8,""),IF(ISNUMBER('Step 3 (IMPL) - Enter outlook'!I10),'Step 3 (IMPL) - Enter outlook'!I10,""))</f>
        <v/>
      </c>
      <c r="J8" s="156" t="str">
        <f>IF(J$4&lt;=OutturnThrough,IF(ISNUMBER('Step 2 - Update outturn data'!K8),'Step 2 - Update outturn data'!K8,""),IF(ISNUMBER('Step 3 (IMPL) - Enter outlook'!J10),'Step 3 (IMPL) - Enter outlook'!J10,""))</f>
        <v/>
      </c>
      <c r="K8" s="156" t="str">
        <f>IF(K$4&lt;=OutturnThrough,IF(ISNUMBER('Step 2 - Update outturn data'!L8),'Step 2 - Update outturn data'!L8,""),IF(ISNUMBER('Step 3 (IMPL) - Enter outlook'!K10),'Step 3 (IMPL) - Enter outlook'!K10,""))</f>
        <v/>
      </c>
      <c r="L8" s="70"/>
      <c r="M8" s="70"/>
      <c r="N8" s="63"/>
      <c r="O8" s="63"/>
      <c r="P8" s="63"/>
      <c r="Q8" s="63"/>
      <c r="R8" s="63"/>
      <c r="S8" s="63"/>
      <c r="T8" s="63"/>
      <c r="U8" s="63"/>
      <c r="V8" s="63"/>
      <c r="W8" s="63"/>
    </row>
    <row r="9" spans="2:23" customFormat="1" ht="14.65" customHeight="1" x14ac:dyDescent="0.4">
      <c r="B9" s="60" t="s">
        <v>277</v>
      </c>
      <c r="C9" s="45" t="s">
        <v>6</v>
      </c>
      <c r="D9" s="156">
        <f>IF(D$4&lt;=OutturnThrough,IF(ISNUMBER('Step 2 - Update outturn data'!E9),'Step 2 - Update outturn data'!E9,""),IF(ISNUMBER('Step 3 (IMPL) - Enter outlook'!D11),'Step 3 (IMPL) - Enter outlook'!D11,""))</f>
        <v>5.6639999999999997</v>
      </c>
      <c r="E9" s="156">
        <f>IF(E$4&lt;=OutturnThrough,IF(ISNUMBER('Step 2 - Update outturn data'!F9),'Step 2 - Update outturn data'!F9,""),IF(ISNUMBER('Step 3 (IMPL) - Enter outlook'!E11),'Step 3 (IMPL) - Enter outlook'!E11,""))</f>
        <v>5.8730000000000002</v>
      </c>
      <c r="F9" s="156">
        <f>IF(F$4&lt;=OutturnThrough,IF(ISNUMBER('Step 2 - Update outturn data'!G9),'Step 2 - Update outturn data'!G9,""),IF(ISNUMBER('Step 3 (IMPL) - Enter outlook'!F11),'Step 3 (IMPL) - Enter outlook'!F11,""))</f>
        <v>8.43</v>
      </c>
      <c r="G9" s="156">
        <f>IF(G$4&lt;=OutturnThrough,IF(ISNUMBER('Step 2 - Update outturn data'!H9),'Step 2 - Update outturn data'!H9,""),IF(ISNUMBER('Step 3 (IMPL) - Enter outlook'!G11),'Step 3 (IMPL) - Enter outlook'!G11,""))</f>
        <v>12.5408684352</v>
      </c>
      <c r="H9" s="156" t="str">
        <f>IF(H$4&lt;=OutturnThrough,IF(ISNUMBER('Step 2 - Update outturn data'!I9),'Step 2 - Update outturn data'!I9,""),IF(ISNUMBER('Step 3 (IMPL) - Enter outlook'!H11),'Step 3 (IMPL) - Enter outlook'!H11,""))</f>
        <v/>
      </c>
      <c r="I9" s="156" t="str">
        <f>IF(I$4&lt;=OutturnThrough,IF(ISNUMBER('Step 2 - Update outturn data'!J9),'Step 2 - Update outturn data'!J9,""),IF(ISNUMBER('Step 3 (IMPL) - Enter outlook'!I11),'Step 3 (IMPL) - Enter outlook'!I11,""))</f>
        <v/>
      </c>
      <c r="J9" s="156" t="str">
        <f>IF(J$4&lt;=OutturnThrough,IF(ISNUMBER('Step 2 - Update outturn data'!K9),'Step 2 - Update outturn data'!K9,""),IF(ISNUMBER('Step 3 (IMPL) - Enter outlook'!J11),'Step 3 (IMPL) - Enter outlook'!J11,""))</f>
        <v/>
      </c>
      <c r="K9" s="156" t="str">
        <f>IF(K$4&lt;=OutturnThrough,IF(ISNUMBER('Step 2 - Update outturn data'!L9),'Step 2 - Update outturn data'!L9,""),IF(ISNUMBER('Step 3 (IMPL) - Enter outlook'!K11),'Step 3 (IMPL) - Enter outlook'!K11,""))</f>
        <v/>
      </c>
      <c r="L9" s="70"/>
      <c r="M9" s="70"/>
      <c r="N9" s="63"/>
      <c r="O9" s="63"/>
      <c r="P9" s="63"/>
      <c r="Q9" s="63"/>
      <c r="R9" s="63"/>
      <c r="S9" s="63"/>
      <c r="T9" s="63"/>
      <c r="U9" s="63"/>
      <c r="V9" s="63"/>
      <c r="W9" s="63"/>
    </row>
    <row r="10" spans="2:23" customFormat="1" ht="14.65" customHeight="1" x14ac:dyDescent="0.4">
      <c r="B10" s="60" t="s">
        <v>278</v>
      </c>
      <c r="C10" s="45" t="s">
        <v>6</v>
      </c>
      <c r="D10" s="156">
        <f>IF(D$4&lt;=OutturnThrough,IF(ISNUMBER('Step 2 - Update outturn data'!E10),'Step 2 - Update outturn data'!E10,""),IF(ISNUMBER('Step 3 (IMPL) - Enter outlook'!D12),'Step 3 (IMPL) - Enter outlook'!D12,""))</f>
        <v>0.73899999999999999</v>
      </c>
      <c r="E10" s="156">
        <f>IF(E$4&lt;=OutturnThrough,IF(ISNUMBER('Step 2 - Update outturn data'!F10),'Step 2 - Update outturn data'!F10,""),IF(ISNUMBER('Step 3 (IMPL) - Enter outlook'!E12),'Step 3 (IMPL) - Enter outlook'!E12,""))</f>
        <v>0.70499999999999996</v>
      </c>
      <c r="F10" s="156">
        <f>IF(F$4&lt;=OutturnThrough,IF(ISNUMBER('Step 2 - Update outturn data'!G10),'Step 2 - Update outturn data'!G10,""),IF(ISNUMBER('Step 3 (IMPL) - Enter outlook'!F12),'Step 3 (IMPL) - Enter outlook'!F12,""))</f>
        <v>0.78</v>
      </c>
      <c r="G10" s="156">
        <f>IF(G$4&lt;=OutturnThrough,IF(ISNUMBER('Step 2 - Update outturn data'!H10),'Step 2 - Update outturn data'!H10,""),IF(ISNUMBER('Step 3 (IMPL) - Enter outlook'!G12),'Step 3 (IMPL) - Enter outlook'!G12,""))</f>
        <v>1.3063404620000001</v>
      </c>
      <c r="H10" s="156" t="str">
        <f>IF(H$4&lt;=OutturnThrough,IF(ISNUMBER('Step 2 - Update outturn data'!I10),'Step 2 - Update outturn data'!I10,""),IF(ISNUMBER('Step 3 (IMPL) - Enter outlook'!H12),'Step 3 (IMPL) - Enter outlook'!H12,""))</f>
        <v/>
      </c>
      <c r="I10" s="156" t="str">
        <f>IF(I$4&lt;=OutturnThrough,IF(ISNUMBER('Step 2 - Update outturn data'!J10),'Step 2 - Update outturn data'!J10,""),IF(ISNUMBER('Step 3 (IMPL) - Enter outlook'!I12),'Step 3 (IMPL) - Enter outlook'!I12,""))</f>
        <v/>
      </c>
      <c r="J10" s="156" t="str">
        <f>IF(J$4&lt;=OutturnThrough,IF(ISNUMBER('Step 2 - Update outturn data'!K10),'Step 2 - Update outturn data'!K10,""),IF(ISNUMBER('Step 3 (IMPL) - Enter outlook'!J12),'Step 3 (IMPL) - Enter outlook'!J12,""))</f>
        <v/>
      </c>
      <c r="K10" s="156" t="str">
        <f>IF(K$4&lt;=OutturnThrough,IF(ISNUMBER('Step 2 - Update outturn data'!L10),'Step 2 - Update outturn data'!L10,""),IF(ISNUMBER('Step 3 (IMPL) - Enter outlook'!K12),'Step 3 (IMPL) - Enter outlook'!K12,""))</f>
        <v/>
      </c>
      <c r="L10" s="70"/>
      <c r="M10" s="70"/>
      <c r="N10" s="63"/>
      <c r="O10" s="63"/>
      <c r="P10" s="63"/>
      <c r="Q10" s="63"/>
      <c r="R10" s="63"/>
      <c r="S10" s="63"/>
      <c r="T10" s="63"/>
      <c r="U10" s="63"/>
      <c r="V10" s="63"/>
      <c r="W10" s="63"/>
    </row>
    <row r="11" spans="2:23" customFormat="1" ht="14.65" customHeight="1" x14ac:dyDescent="0.4">
      <c r="B11" s="60" t="s">
        <v>386</v>
      </c>
      <c r="C11" s="45" t="s">
        <v>6</v>
      </c>
      <c r="D11" s="156">
        <f>IF(D$4&lt;=OutturnThrough,IF(ISNUMBER('Step 2 - Update outturn data'!E11),'Step 2 - Update outturn data'!E11,""),IF(ISNUMBER('Step 3 (IMPL) - Enter outlook'!D13),'Step 3 (IMPL) - Enter outlook'!D13,""))</f>
        <v>0.30199999999999999</v>
      </c>
      <c r="E11" s="156">
        <f>IF(E$4&lt;=OutturnThrough,IF(ISNUMBER('Step 2 - Update outturn data'!F11),'Step 2 - Update outturn data'!F11,""),IF(ISNUMBER('Step 3 (IMPL) - Enter outlook'!E13),'Step 3 (IMPL) - Enter outlook'!E13,""))</f>
        <v>0.4</v>
      </c>
      <c r="F11" s="156">
        <f>IF(F$4&lt;=OutturnThrough,IF(ISNUMBER('Step 2 - Update outturn data'!G11),'Step 2 - Update outturn data'!G11,""),IF(ISNUMBER('Step 3 (IMPL) - Enter outlook'!F13),'Step 3 (IMPL) - Enter outlook'!F13,""))</f>
        <v>0.436</v>
      </c>
      <c r="G11" s="156">
        <f>IF(G$4&lt;=OutturnThrough,IF(ISNUMBER('Step 2 - Update outturn data'!H11),'Step 2 - Update outturn data'!H11,""),IF(ISNUMBER('Step 3 (IMPL) - Enter outlook'!G13),'Step 3 (IMPL) - Enter outlook'!G13,""))</f>
        <v>0</v>
      </c>
      <c r="H11" s="156" t="str">
        <f>IF(H$4&lt;=OutturnThrough,IF(ISNUMBER('Step 2 - Update outturn data'!I11),'Step 2 - Update outturn data'!I11,""),IF(ISNUMBER('Step 3 (IMPL) - Enter outlook'!H13),'Step 3 (IMPL) - Enter outlook'!H13,""))</f>
        <v/>
      </c>
      <c r="I11" s="156" t="str">
        <f>IF(I$4&lt;=OutturnThrough,IF(ISNUMBER('Step 2 - Update outturn data'!J11),'Step 2 - Update outturn data'!J11,""),IF(ISNUMBER('Step 3 (IMPL) - Enter outlook'!I13),'Step 3 (IMPL) - Enter outlook'!I13,""))</f>
        <v/>
      </c>
      <c r="J11" s="156" t="str">
        <f>IF(J$4&lt;=OutturnThrough,IF(ISNUMBER('Step 2 - Update outturn data'!K11),'Step 2 - Update outturn data'!K11,""),IF(ISNUMBER('Step 3 (IMPL) - Enter outlook'!J13),'Step 3 (IMPL) - Enter outlook'!J13,""))</f>
        <v/>
      </c>
      <c r="K11" s="156" t="str">
        <f>IF(K$4&lt;=OutturnThrough,IF(ISNUMBER('Step 2 - Update outturn data'!L11),'Step 2 - Update outturn data'!L11,""),IF(ISNUMBER('Step 3 (IMPL) - Enter outlook'!K13),'Step 3 (IMPL) - Enter outlook'!K13,""))</f>
        <v/>
      </c>
      <c r="L11" s="70"/>
      <c r="M11" s="70"/>
      <c r="N11" s="63"/>
      <c r="O11" s="63"/>
      <c r="P11" s="63"/>
      <c r="Q11" s="63"/>
      <c r="R11" s="63"/>
      <c r="S11" s="63"/>
      <c r="T11" s="63"/>
      <c r="U11" s="63"/>
      <c r="V11" s="63"/>
      <c r="W11" s="63"/>
    </row>
    <row r="12" spans="2:23" customFormat="1" ht="14.65" customHeight="1" x14ac:dyDescent="0.4">
      <c r="B12" s="60" t="s">
        <v>307</v>
      </c>
      <c r="C12" s="45" t="s">
        <v>6</v>
      </c>
      <c r="D12" s="156">
        <f>IF(D$4&lt;=OutturnThrough,IF(ISNUMBER('Step 2 - Update outturn data'!E12),'Step 2 - Update outturn data'!E12,""),IF(ISNUMBER('Step 3 (IMPL) - Enter outlook'!D14),'Step 3 (IMPL) - Enter outlook'!D14,""))</f>
        <v>96.642539999999997</v>
      </c>
      <c r="E12" s="156">
        <f>IF(E$4&lt;=OutturnThrough,IF(ISNUMBER('Step 2 - Update outturn data'!F12),'Step 2 - Update outturn data'!F12,""),IF(ISNUMBER('Step 3 (IMPL) - Enter outlook'!E14),'Step 3 (IMPL) - Enter outlook'!E14,""))</f>
        <v>98.517420000000001</v>
      </c>
      <c r="F12" s="156">
        <f>IF(F$4&lt;=OutturnThrough,IF(ISNUMBER('Step 2 - Update outturn data'!G12),'Step 2 - Update outturn data'!G12,""),IF(ISNUMBER('Step 3 (IMPL) - Enter outlook'!F14),'Step 3 (IMPL) - Enter outlook'!F14,""))</f>
        <v>102.40949000000001</v>
      </c>
      <c r="G12" s="156">
        <f>IF(G$4&lt;=OutturnThrough,IF(ISNUMBER('Step 2 - Update outturn data'!H12),'Step 2 - Update outturn data'!H12,""),IF(ISNUMBER('Step 3 (IMPL) - Enter outlook'!G14),'Step 3 (IMPL) - Enter outlook'!G14,""))</f>
        <v>109.73259880799999</v>
      </c>
      <c r="H12" s="156" t="str">
        <f>IF(H$4&lt;=OutturnThrough,IF(ISNUMBER('Step 2 - Update outturn data'!I12),'Step 2 - Update outturn data'!I12,""),IF(ISNUMBER('Step 3 (IMPL) - Enter outlook'!H14),'Step 3 (IMPL) - Enter outlook'!H14,""))</f>
        <v/>
      </c>
      <c r="I12" s="156" t="str">
        <f>IF(I$4&lt;=OutturnThrough,IF(ISNUMBER('Step 2 - Update outturn data'!J12),'Step 2 - Update outturn data'!J12,""),IF(ISNUMBER('Step 3 (IMPL) - Enter outlook'!I14),'Step 3 (IMPL) - Enter outlook'!I14,""))</f>
        <v/>
      </c>
      <c r="J12" s="156" t="str">
        <f>IF(J$4&lt;=OutturnThrough,IF(ISNUMBER('Step 2 - Update outturn data'!K12),'Step 2 - Update outturn data'!K12,""),IF(ISNUMBER('Step 3 (IMPL) - Enter outlook'!J14),'Step 3 (IMPL) - Enter outlook'!J14,""))</f>
        <v/>
      </c>
      <c r="K12" s="156" t="str">
        <f>IF(K$4&lt;=OutturnThrough,IF(ISNUMBER('Step 2 - Update outturn data'!L12),'Step 2 - Update outturn data'!L12,""),IF(ISNUMBER('Step 3 (IMPL) - Enter outlook'!K14),'Step 3 (IMPL) - Enter outlook'!K14,""))</f>
        <v/>
      </c>
      <c r="L12" s="70"/>
      <c r="M12" s="70"/>
      <c r="N12" s="63"/>
      <c r="O12" s="63"/>
      <c r="P12" s="63"/>
      <c r="Q12" s="63"/>
      <c r="R12" s="63"/>
      <c r="S12" s="63"/>
      <c r="T12" s="63"/>
      <c r="U12" s="63"/>
      <c r="V12" s="63"/>
      <c r="W12" s="63"/>
    </row>
    <row r="13" spans="2:23" customFormat="1" ht="14.65" customHeight="1" x14ac:dyDescent="0.4">
      <c r="B13" s="60" t="s">
        <v>607</v>
      </c>
      <c r="C13" s="45" t="s">
        <v>6</v>
      </c>
      <c r="D13" s="156">
        <f>IF(D$4&lt;=OutturnThrough,IF(ISNUMBER('Step 2 - Update outturn data'!E13),'Step 2 - Update outturn data'!E13,""),IF(ISNUMBER('Step 3 (IMPL) - Enter outlook'!D15),'Step 3 (IMPL) - Enter outlook'!D15,""))</f>
        <v>0</v>
      </c>
      <c r="E13" s="156">
        <f>IF(E$4&lt;=OutturnThrough,IF(ISNUMBER('Step 2 - Update outturn data'!F13),'Step 2 - Update outturn data'!F13,""),IF(ISNUMBER('Step 3 (IMPL) - Enter outlook'!E15),'Step 3 (IMPL) - Enter outlook'!E15,""))</f>
        <v>2</v>
      </c>
      <c r="F13" s="156">
        <f>IF(F$4&lt;=OutturnThrough,IF(ISNUMBER('Step 2 - Update outturn data'!G13),'Step 2 - Update outturn data'!G13,""),IF(ISNUMBER('Step 3 (IMPL) - Enter outlook'!F15),'Step 3 (IMPL) - Enter outlook'!F15,""))</f>
        <v>1.1000000000000001</v>
      </c>
      <c r="G13" s="156">
        <f>IF(G$4&lt;=OutturnThrough,IF(ISNUMBER('Step 2 - Update outturn data'!H13),'Step 2 - Update outturn data'!H13,""),IF(ISNUMBER('Step 3 (IMPL) - Enter outlook'!G15),'Step 3 (IMPL) - Enter outlook'!G15,""))</f>
        <v>-0.52253618479999997</v>
      </c>
      <c r="H13" s="156" t="str">
        <f>IF(H$4&lt;=OutturnThrough,IF(ISNUMBER('Step 2 - Update outturn data'!I13),'Step 2 - Update outturn data'!I13,""),IF(ISNUMBER('Step 3 (IMPL) - Enter outlook'!H15),'Step 3 (IMPL) - Enter outlook'!H15,""))</f>
        <v/>
      </c>
      <c r="I13" s="156" t="str">
        <f>IF(I$4&lt;=OutturnThrough,IF(ISNUMBER('Step 2 - Update outturn data'!J13),'Step 2 - Update outturn data'!J13,""),IF(ISNUMBER('Step 3 (IMPL) - Enter outlook'!I15),'Step 3 (IMPL) - Enter outlook'!I15,""))</f>
        <v/>
      </c>
      <c r="J13" s="156" t="str">
        <f>IF(J$4&lt;=OutturnThrough,IF(ISNUMBER('Step 2 - Update outturn data'!K13),'Step 2 - Update outturn data'!K13,""),IF(ISNUMBER('Step 3 (IMPL) - Enter outlook'!J15),'Step 3 (IMPL) - Enter outlook'!J15,""))</f>
        <v/>
      </c>
      <c r="K13" s="156" t="str">
        <f>IF(K$4&lt;=OutturnThrough,IF(ISNUMBER('Step 2 - Update outturn data'!L13),'Step 2 - Update outturn data'!L13,""),IF(ISNUMBER('Step 3 (IMPL) - Enter outlook'!K15),'Step 3 (IMPL) - Enter outlook'!K15,""))</f>
        <v/>
      </c>
      <c r="L13" s="70"/>
      <c r="M13" s="70"/>
      <c r="N13" s="63"/>
      <c r="O13" s="63"/>
      <c r="P13" s="63"/>
      <c r="Q13" s="63"/>
      <c r="R13" s="63"/>
      <c r="S13" s="63"/>
      <c r="T13" s="63"/>
      <c r="U13" s="63"/>
      <c r="V13" s="63"/>
      <c r="W13" s="63"/>
    </row>
    <row r="14" spans="2:23" customFormat="1" ht="14.65" customHeight="1" x14ac:dyDescent="0.4">
      <c r="B14" s="60" t="s">
        <v>609</v>
      </c>
      <c r="C14" s="45" t="s">
        <v>6</v>
      </c>
      <c r="D14" s="156">
        <f>IF(D$4&lt;=OutturnThrough,IF(ISNUMBER('Step 2 - Update outturn data'!E14),'Step 2 - Update outturn data'!E14,""),IF(ISNUMBER('Step 3 (IMPL) - Enter outlook'!D16),'Step 3 (IMPL) - Enter outlook'!D16,""))</f>
        <v>5.2</v>
      </c>
      <c r="E14" s="156">
        <f>IF(E$4&lt;=OutturnThrough,IF(ISNUMBER('Step 2 - Update outturn data'!F14),'Step 2 - Update outturn data'!F14,""),IF(ISNUMBER('Step 3 (IMPL) - Enter outlook'!E16),'Step 3 (IMPL) - Enter outlook'!E16,""))</f>
        <v>5.2880000000000003</v>
      </c>
      <c r="F14" s="156">
        <f>IF(F$4&lt;=OutturnThrough,IF(ISNUMBER('Step 2 - Update outturn data'!G14),'Step 2 - Update outturn data'!G14,""),IF(ISNUMBER('Step 3 (IMPL) - Enter outlook'!F16),'Step 3 (IMPL) - Enter outlook'!F16,""))</f>
        <v>5.9859999999999998</v>
      </c>
      <c r="G14" s="156">
        <f>IF(G$4&lt;=OutturnThrough,IF(ISNUMBER('Step 2 - Update outturn data'!H14),'Step 2 - Update outturn data'!H14,""),IF(ISNUMBER('Step 3 (IMPL) - Enter outlook'!G16),'Step 3 (IMPL) - Enter outlook'!G16,""))</f>
        <v>6.7929704024000008</v>
      </c>
      <c r="H14" s="156" t="str">
        <f>IF(H$4&lt;=OutturnThrough,IF(ISNUMBER('Step 2 - Update outturn data'!I14),'Step 2 - Update outturn data'!I14,""),IF(ISNUMBER('Step 3 (IMPL) - Enter outlook'!H16),'Step 3 (IMPL) - Enter outlook'!H16,""))</f>
        <v/>
      </c>
      <c r="I14" s="156" t="str">
        <f>IF(I$4&lt;=OutturnThrough,IF(ISNUMBER('Step 2 - Update outturn data'!J14),'Step 2 - Update outturn data'!J14,""),IF(ISNUMBER('Step 3 (IMPL) - Enter outlook'!I16),'Step 3 (IMPL) - Enter outlook'!I16,""))</f>
        <v/>
      </c>
      <c r="J14" s="156" t="str">
        <f>IF(J$4&lt;=OutturnThrough,IF(ISNUMBER('Step 2 - Update outturn data'!K14),'Step 2 - Update outturn data'!K14,""),IF(ISNUMBER('Step 3 (IMPL) - Enter outlook'!J16),'Step 3 (IMPL) - Enter outlook'!J16,""))</f>
        <v/>
      </c>
      <c r="K14" s="156" t="str">
        <f>IF(K$4&lt;=OutturnThrough,IF(ISNUMBER('Step 2 - Update outturn data'!L14),'Step 2 - Update outturn data'!L14,""),IF(ISNUMBER('Step 3 (IMPL) - Enter outlook'!K16),'Step 3 (IMPL) - Enter outlook'!K16,""))</f>
        <v/>
      </c>
      <c r="L14" s="70"/>
      <c r="M14" s="70"/>
      <c r="N14" s="63"/>
      <c r="O14" s="63"/>
      <c r="P14" s="63"/>
      <c r="Q14" s="63"/>
      <c r="R14" s="63"/>
      <c r="S14" s="63"/>
      <c r="T14" s="63"/>
      <c r="U14" s="63"/>
      <c r="V14" s="63"/>
      <c r="W14" s="63"/>
    </row>
    <row r="15" spans="2:23" customFormat="1" ht="20.25" customHeight="1" x14ac:dyDescent="0.4">
      <c r="B15" s="60" t="s">
        <v>309</v>
      </c>
      <c r="C15" s="45" t="s">
        <v>645</v>
      </c>
      <c r="D15" s="156" t="str">
        <f>IF(D$4&lt;=OutturnThrough,IF(ISNUMBER('Step 2 - Update outturn data'!E15),'Step 2 - Update outturn data'!E15,""),IF(ISNUMBER('Step 3 (IMPL) - Enter outlook'!D17),'Step 3 (IMPL) - Enter outlook'!D17,""))</f>
        <v/>
      </c>
      <c r="E15" s="156">
        <f>IF(E$4&lt;=OutturnThrough,IF(ISNUMBER('Step 2 - Update outturn data'!F15),'Step 2 - Update outturn data'!F15,""),IF(ISNUMBER('Step 3 (IMPL) - Enter outlook'!E17),'Step 3 (IMPL) - Enter outlook'!E17,""))</f>
        <v>-0.12946679588512477</v>
      </c>
      <c r="F15" s="156">
        <f>IF(F$4&lt;=OutturnThrough,IF(ISNUMBER('Step 2 - Update outturn data'!G15),'Step 2 - Update outturn data'!G15,""),IF(ISNUMBER('Step 3 (IMPL) - Enter outlook'!F17),'Step 3 (IMPL) - Enter outlook'!F17,""))</f>
        <v>2.8340876161799811</v>
      </c>
      <c r="G15" s="156">
        <f>IF(G$4&lt;=OutturnThrough,IF(ISNUMBER('Step 2 - Update outturn data'!H15),'Step 2 - Update outturn data'!H15,""),IF(ISNUMBER('Step 3 (IMPL) - Enter outlook'!G17),'Step 3 (IMPL) - Enter outlook'!G17,""))</f>
        <v>7.5</v>
      </c>
      <c r="H15" s="156" t="str">
        <f>IF(H$4&lt;=OutturnThrough,IF(ISNUMBER('Step 2 - Update outturn data'!I15),'Step 2 - Update outturn data'!I15,""),IF(ISNUMBER('Step 3 (IMPL) - Enter outlook'!H17),'Step 3 (IMPL) - Enter outlook'!H17,""))</f>
        <v/>
      </c>
      <c r="I15" s="156" t="str">
        <f>IF(I$4&lt;=OutturnThrough,IF(ISNUMBER('Step 2 - Update outturn data'!J15),'Step 2 - Update outturn data'!J15,""),IF(ISNUMBER('Step 3 (IMPL) - Enter outlook'!I17),'Step 3 (IMPL) - Enter outlook'!I17,""))</f>
        <v/>
      </c>
      <c r="J15" s="156" t="str">
        <f>IF(J$4&lt;=OutturnThrough,IF(ISNUMBER('Step 2 - Update outturn data'!K15),'Step 2 - Update outturn data'!K15,""),IF(ISNUMBER('Step 3 (IMPL) - Enter outlook'!J17),'Step 3 (IMPL) - Enter outlook'!J17,""))</f>
        <v/>
      </c>
      <c r="K15" s="156" t="str">
        <f>IF(K$4&lt;=OutturnThrough,IF(ISNUMBER('Step 2 - Update outturn data'!L15),'Step 2 - Update outturn data'!L15,""),IF(ISNUMBER('Step 3 (IMPL) - Enter outlook'!K17),'Step 3 (IMPL) - Enter outlook'!K17,""))</f>
        <v/>
      </c>
      <c r="L15" s="156"/>
      <c r="M15" s="70"/>
      <c r="N15" s="63"/>
      <c r="O15" s="63"/>
      <c r="P15" s="63"/>
      <c r="Q15" s="63"/>
      <c r="R15" s="63"/>
      <c r="S15" s="63"/>
      <c r="T15" s="63"/>
      <c r="U15" s="63"/>
      <c r="V15" s="63"/>
      <c r="W15" s="63"/>
    </row>
    <row r="16" spans="2:23" customFormat="1" ht="14.65" customHeight="1" x14ac:dyDescent="0.4">
      <c r="B16" s="60" t="s">
        <v>308</v>
      </c>
      <c r="C16" s="45" t="s">
        <v>645</v>
      </c>
      <c r="D16" s="156" t="str">
        <f>IF(D$4&lt;=OutturnThrough,IF(ISNUMBER('Step 2 - Update outturn data'!E16),'Step 2 - Update outturn data'!E16,""),IF(ISNUMBER('Step 3 (IMPL) - Enter outlook'!D18),'Step 3 (IMPL) - Enter outlook'!D18,""))</f>
        <v/>
      </c>
      <c r="E16" s="156">
        <f>IF(E$4&lt;=OutturnThrough,IF(ISNUMBER('Step 2 - Update outturn data'!F16),'Step 2 - Update outturn data'!F16,""),IF(ISNUMBER('Step 3 (IMPL) - Enter outlook'!E18),'Step 3 (IMPL) - Enter outlook'!E18,""))</f>
        <v>-0.12946679588512477</v>
      </c>
      <c r="F16" s="156">
        <f>IF(F$4&lt;=OutturnThrough,IF(ISNUMBER('Step 2 - Update outturn data'!G16),'Step 2 - Update outturn data'!G16,""),IF(ISNUMBER('Step 3 (IMPL) - Enter outlook'!F18),'Step 3 (IMPL) - Enter outlook'!F18,""))</f>
        <v>2.7009516178656101</v>
      </c>
      <c r="G16" s="156">
        <f>IF(G$4&lt;=OutturnThrough,IF(ISNUMBER('Step 2 - Update outturn data'!H16),'Step 2 - Update outturn data'!H16,""),IF(ISNUMBER('Step 3 (IMPL) - Enter outlook'!G18),'Step 3 (IMPL) - Enter outlook'!G18,""))</f>
        <v>10.403522989205527</v>
      </c>
      <c r="H16" s="156" t="str">
        <f>IF(H$4&lt;=OutturnThrough,IF(ISNUMBER('Step 2 - Update outturn data'!I16),'Step 2 - Update outturn data'!I16,""),IF(ISNUMBER('Step 3 (IMPL) - Enter outlook'!H18),'Step 3 (IMPL) - Enter outlook'!H18,""))</f>
        <v/>
      </c>
      <c r="I16" s="156" t="str">
        <f>IF(I$4&lt;=OutturnThrough,IF(ISNUMBER('Step 2 - Update outturn data'!J16),'Step 2 - Update outturn data'!J16,""),IF(ISNUMBER('Step 3 (IMPL) - Enter outlook'!I18),'Step 3 (IMPL) - Enter outlook'!I18,""))</f>
        <v/>
      </c>
      <c r="J16" s="156" t="str">
        <f>IF(J$4&lt;=OutturnThrough,IF(ISNUMBER('Step 2 - Update outturn data'!K16),'Step 2 - Update outturn data'!K16,""),IF(ISNUMBER('Step 3 (IMPL) - Enter outlook'!J18),'Step 3 (IMPL) - Enter outlook'!J18,""))</f>
        <v/>
      </c>
      <c r="K16" s="156" t="str">
        <f>IF(K$4&lt;=OutturnThrough,IF(ISNUMBER('Step 2 - Update outturn data'!L16),'Step 2 - Update outturn data'!L16,""),IF(ISNUMBER('Step 3 (IMPL) - Enter outlook'!K18),'Step 3 (IMPL) - Enter outlook'!K18,""))</f>
        <v/>
      </c>
      <c r="L16" s="70"/>
      <c r="M16" s="70"/>
      <c r="N16" s="63"/>
      <c r="O16" s="63"/>
      <c r="P16" s="63"/>
      <c r="Q16" s="63"/>
      <c r="R16" s="63"/>
      <c r="S16" s="63"/>
      <c r="T16" s="63"/>
      <c r="U16" s="63"/>
      <c r="V16" s="63"/>
      <c r="W16" s="63"/>
    </row>
    <row r="17" spans="2:23" customFormat="1" ht="20.25" customHeight="1" x14ac:dyDescent="0.4">
      <c r="B17" s="56" t="s">
        <v>206</v>
      </c>
      <c r="C17" s="45" t="s">
        <v>614</v>
      </c>
      <c r="D17" s="156">
        <f>IF(D$4&lt;=OutturnThrough,IF(ISNUMBER('Step 2 - Update outturn data'!E17),'Step 2 - Update outturn data'!E17,""),IF(ISNUMBER('Step 3 (IMPL) - Enter outlook'!D19),'Step 3 (IMPL) - Enter outlook'!D19,""))</f>
        <v>-1.4299943654750491</v>
      </c>
      <c r="E17" s="156">
        <f>IF(E$4&lt;=OutturnThrough,IF(ISNUMBER('Step 2 - Update outturn data'!F17),'Step 2 - Update outturn data'!F17,""),IF(ISNUMBER('Step 3 (IMPL) - Enter outlook'!E19),'Step 3 (IMPL) - Enter outlook'!E19,""))</f>
        <v>1.3470701540957015</v>
      </c>
      <c r="F17" s="156">
        <f>IF(F$4&lt;=OutturnThrough,IF(ISNUMBER('Step 2 - Update outturn data'!G17),'Step 2 - Update outturn data'!G17,""),IF(ISNUMBER('Step 3 (IMPL) - Enter outlook'!F19),'Step 3 (IMPL) - Enter outlook'!F19,""))</f>
        <v>1.7273751105781794</v>
      </c>
      <c r="G17" s="156">
        <f>IF(G$4&lt;=OutturnThrough,IF(ISNUMBER('Step 2 - Update outturn data'!H17),'Step 2 - Update outturn data'!H17,""),IF(ISNUMBER('Step 3 (IMPL) - Enter outlook'!G19),'Step 3 (IMPL) - Enter outlook'!G19,""))</f>
        <v>0.2</v>
      </c>
      <c r="H17" s="156" t="str">
        <f>IF(H$4&lt;=OutturnThrough,IF(ISNUMBER('Step 2 - Update outturn data'!I17),'Step 2 - Update outturn data'!I17,""),IF(ISNUMBER('Step 3 (IMPL) - Enter outlook'!H19),'Step 3 (IMPL) - Enter outlook'!H19,""))</f>
        <v/>
      </c>
      <c r="I17" s="156" t="str">
        <f>IF(I$4&lt;=OutturnThrough,IF(ISNUMBER('Step 2 - Update outturn data'!J17),'Step 2 - Update outturn data'!J17,""),IF(ISNUMBER('Step 3 (IMPL) - Enter outlook'!I19),'Step 3 (IMPL) - Enter outlook'!I19,""))</f>
        <v/>
      </c>
      <c r="J17" s="156" t="str">
        <f>IF(J$4&lt;=OutturnThrough,IF(ISNUMBER('Step 2 - Update outturn data'!K17),'Step 2 - Update outturn data'!K17,""),IF(ISNUMBER('Step 3 (IMPL) - Enter outlook'!J19),'Step 3 (IMPL) - Enter outlook'!J19,""))</f>
        <v/>
      </c>
      <c r="K17" s="156" t="str">
        <f>IF(K$4&lt;=OutturnThrough,IF(ISNUMBER('Step 2 - Update outturn data'!L17),'Step 2 - Update outturn data'!L17,""),IF(ISNUMBER('Step 3 (IMPL) - Enter outlook'!K19),'Step 3 (IMPL) - Enter outlook'!K19,""))</f>
        <v/>
      </c>
      <c r="L17" s="70"/>
      <c r="M17" s="70"/>
      <c r="N17" s="63"/>
      <c r="O17" s="63"/>
      <c r="P17" s="63"/>
      <c r="Q17" s="63"/>
      <c r="R17" s="63"/>
      <c r="S17" s="63"/>
      <c r="T17" s="63"/>
      <c r="U17" s="63"/>
      <c r="V17" s="63"/>
      <c r="W17" s="63"/>
    </row>
    <row r="18" spans="2:23" customFormat="1" ht="14.65" customHeight="1" x14ac:dyDescent="0.4">
      <c r="B18" s="56" t="s">
        <v>0</v>
      </c>
      <c r="C18" s="45" t="s">
        <v>614</v>
      </c>
      <c r="D18" s="156">
        <f>IF(D$4&lt;=OutturnThrough,IF(ISNUMBER('Step 2 - Update outturn data'!E18),'Step 2 - Update outturn data'!E18,""),IF(ISNUMBER('Step 3 (IMPL) - Enter outlook'!D20),'Step 3 (IMPL) - Enter outlook'!D20,""))</f>
        <v>-1.84205</v>
      </c>
      <c r="E18" s="156">
        <f>IF(E$4&lt;=OutturnThrough,IF(ISNUMBER('Step 2 - Update outturn data'!F18),'Step 2 - Update outturn data'!F18,""),IF(ISNUMBER('Step 3 (IMPL) - Enter outlook'!E20),'Step 3 (IMPL) - Enter outlook'!E20,""))</f>
        <v>0.34606999999999999</v>
      </c>
      <c r="F18" s="156">
        <f>IF(F$4&lt;=OutturnThrough,IF(ISNUMBER('Step 2 - Update outturn data'!G18),'Step 2 - Update outturn data'!G18,""),IF(ISNUMBER('Step 3 (IMPL) - Enter outlook'!F20),'Step 3 (IMPL) - Enter outlook'!F20,""))</f>
        <v>0.48633999999999999</v>
      </c>
      <c r="G18" s="156">
        <f>IF(G$4&lt;=OutturnThrough,IF(ISNUMBER('Step 2 - Update outturn data'!H18),'Step 2 - Update outturn data'!H18,""),IF(ISNUMBER('Step 3 (IMPL) - Enter outlook'!G20),'Step 3 (IMPL) - Enter outlook'!G20,""))</f>
        <v>-1.2</v>
      </c>
      <c r="H18" s="156" t="str">
        <f>IF(H$4&lt;=OutturnThrough,IF(ISNUMBER('Step 2 - Update outturn data'!I18),'Step 2 - Update outturn data'!I18,""),IF(ISNUMBER('Step 3 (IMPL) - Enter outlook'!H20),'Step 3 (IMPL) - Enter outlook'!H20,""))</f>
        <v/>
      </c>
      <c r="I18" s="156" t="str">
        <f>IF(I$4&lt;=OutturnThrough,IF(ISNUMBER('Step 2 - Update outturn data'!J18),'Step 2 - Update outturn data'!J18,""),IF(ISNUMBER('Step 3 (IMPL) - Enter outlook'!I20),'Step 3 (IMPL) - Enter outlook'!I20,""))</f>
        <v/>
      </c>
      <c r="J18" s="156" t="str">
        <f>IF(J$4&lt;=OutturnThrough,IF(ISNUMBER('Step 2 - Update outturn data'!K18),'Step 2 - Update outturn data'!K18,""),IF(ISNUMBER('Step 3 (IMPL) - Enter outlook'!J20),'Step 3 (IMPL) - Enter outlook'!J20,""))</f>
        <v/>
      </c>
      <c r="K18" s="156" t="str">
        <f>IF(K$4&lt;=OutturnThrough,IF(ISNUMBER('Step 2 - Update outturn data'!L18),'Step 2 - Update outturn data'!L18,""),IF(ISNUMBER('Step 3 (IMPL) - Enter outlook'!K20),'Step 3 (IMPL) - Enter outlook'!K20,""))</f>
        <v/>
      </c>
      <c r="L18" s="70"/>
      <c r="M18" s="70"/>
      <c r="N18" s="63"/>
      <c r="O18" s="63"/>
      <c r="P18" s="63"/>
      <c r="Q18" s="63"/>
      <c r="R18" s="63"/>
      <c r="S18" s="63"/>
      <c r="T18" s="63"/>
      <c r="U18" s="63"/>
      <c r="V18" s="63"/>
      <c r="W18" s="63"/>
    </row>
    <row r="19" spans="2:23" customFormat="1" ht="14.65" customHeight="1" x14ac:dyDescent="0.4">
      <c r="B19" s="56" t="s">
        <v>3</v>
      </c>
      <c r="C19" s="45" t="s">
        <v>614</v>
      </c>
      <c r="D19" s="156">
        <f>IF(D$4&lt;=OutturnThrough,IF(ISNUMBER('Step 2 - Update outturn data'!E19),'Step 2 - Update outturn data'!E19,""),IF(ISNUMBER('Step 3 (IMPL) - Enter outlook'!D21),'Step 3 (IMPL) - Enter outlook'!D21,""))</f>
        <v>1.54579</v>
      </c>
      <c r="E19" s="156">
        <f>IF(E$4&lt;=OutturnThrough,IF(ISNUMBER('Step 2 - Update outturn data'!F19),'Step 2 - Update outturn data'!F19,""),IF(ISNUMBER('Step 3 (IMPL) - Enter outlook'!E21),'Step 3 (IMPL) - Enter outlook'!E21,""))</f>
        <v>3.8204099999999999</v>
      </c>
      <c r="F19" s="156">
        <f>IF(F$4&lt;=OutturnThrough,IF(ISNUMBER('Step 2 - Update outturn data'!G19),'Step 2 - Update outturn data'!G19,""),IF(ISNUMBER('Step 3 (IMPL) - Enter outlook'!F21),'Step 3 (IMPL) - Enter outlook'!F21,""))</f>
        <v>3.6435300000000002</v>
      </c>
      <c r="G19" s="156">
        <f>IF(G$4&lt;=OutturnThrough,IF(ISNUMBER('Step 2 - Update outturn data'!H19),'Step 2 - Update outturn data'!H19,""),IF(ISNUMBER('Step 3 (IMPL) - Enter outlook'!G21),'Step 3 (IMPL) - Enter outlook'!G21,""))</f>
        <v>1.8</v>
      </c>
      <c r="H19" s="156" t="str">
        <f>IF(H$4&lt;=OutturnThrough,IF(ISNUMBER('Step 2 - Update outturn data'!I19),'Step 2 - Update outturn data'!I19,""),IF(ISNUMBER('Step 3 (IMPL) - Enter outlook'!H21),'Step 3 (IMPL) - Enter outlook'!H21,""))</f>
        <v/>
      </c>
      <c r="I19" s="156" t="str">
        <f>IF(I$4&lt;=OutturnThrough,IF(ISNUMBER('Step 2 - Update outturn data'!J19),'Step 2 - Update outturn data'!J19,""),IF(ISNUMBER('Step 3 (IMPL) - Enter outlook'!I21),'Step 3 (IMPL) - Enter outlook'!I21,""))</f>
        <v/>
      </c>
      <c r="J19" s="156" t="str">
        <f>IF(J$4&lt;=OutturnThrough,IF(ISNUMBER('Step 2 - Update outturn data'!K19),'Step 2 - Update outturn data'!K19,""),IF(ISNUMBER('Step 3 (IMPL) - Enter outlook'!J21),'Step 3 (IMPL) - Enter outlook'!J21,""))</f>
        <v/>
      </c>
      <c r="K19" s="156" t="str">
        <f>IF(K$4&lt;=OutturnThrough,IF(ISNUMBER('Step 2 - Update outturn data'!L19),'Step 2 - Update outturn data'!L19,""),IF(ISNUMBER('Step 3 (IMPL) - Enter outlook'!K21),'Step 3 (IMPL) - Enter outlook'!K21,""))</f>
        <v/>
      </c>
      <c r="L19" s="70"/>
      <c r="M19" s="70"/>
      <c r="N19" s="63"/>
      <c r="O19" s="63"/>
      <c r="P19" s="63"/>
      <c r="Q19" s="63"/>
      <c r="R19" s="63"/>
      <c r="S19" s="63"/>
      <c r="T19" s="63"/>
      <c r="U19" s="63"/>
      <c r="V19" s="63"/>
      <c r="W19" s="63"/>
    </row>
    <row r="20" spans="2:23" customFormat="1" ht="14.65" customHeight="1" x14ac:dyDescent="0.4">
      <c r="B20" s="56" t="s">
        <v>1</v>
      </c>
      <c r="C20" s="45" t="s">
        <v>614</v>
      </c>
      <c r="D20" s="156">
        <f>IF(D$4&lt;=OutturnThrough,IF(ISNUMBER('Step 2 - Update outturn data'!E20),'Step 2 - Update outturn data'!E20,""),IF(ISNUMBER('Step 3 (IMPL) - Enter outlook'!D22),'Step 3 (IMPL) - Enter outlook'!D22,""))</f>
        <v>164.27800194226435</v>
      </c>
      <c r="E20" s="156">
        <f>IF(E$4&lt;=OutturnThrough,IF(ISNUMBER('Step 2 - Update outturn data'!F20),'Step 2 - Update outturn data'!F20,""),IF(ISNUMBER('Step 3 (IMPL) - Enter outlook'!E22),'Step 3 (IMPL) - Enter outlook'!E22,""))</f>
        <v>154.16497702081645</v>
      </c>
      <c r="F20" s="156">
        <f>IF(F$4&lt;=OutturnThrough,IF(ISNUMBER('Step 2 - Update outturn data'!G20),'Step 2 - Update outturn data'!G20,""),IF(ISNUMBER('Step 3 (IMPL) - Enter outlook'!F22),'Step 3 (IMPL) - Enter outlook'!F22,""))</f>
        <v>146.13231049104562</v>
      </c>
      <c r="G20" s="156">
        <f>IF(G$4&lt;=OutturnThrough,IF(ISNUMBER('Step 2 - Update outturn data'!H20),'Step 2 - Update outturn data'!H20,""),IF(ISNUMBER('Step 3 (IMPL) - Enter outlook'!G22),'Step 3 (IMPL) - Enter outlook'!G22,""))</f>
        <v>136.80000000000001</v>
      </c>
      <c r="H20" s="156" t="str">
        <f>IF(H$4&lt;=OutturnThrough,IF(ISNUMBER('Step 2 - Update outturn data'!I20),'Step 2 - Update outturn data'!I20,""),IF(ISNUMBER('Step 3 (IMPL) - Enter outlook'!H22),'Step 3 (IMPL) - Enter outlook'!H22,""))</f>
        <v/>
      </c>
      <c r="I20" s="156" t="str">
        <f>IF(I$4&lt;=OutturnThrough,IF(ISNUMBER('Step 2 - Update outturn data'!J20),'Step 2 - Update outturn data'!J20,""),IF(ISNUMBER('Step 3 (IMPL) - Enter outlook'!I22),'Step 3 (IMPL) - Enter outlook'!I22,""))</f>
        <v/>
      </c>
      <c r="J20" s="156" t="str">
        <f>IF(J$4&lt;=OutturnThrough,IF(ISNUMBER('Step 2 - Update outturn data'!K20),'Step 2 - Update outturn data'!K20,""),IF(ISNUMBER('Step 3 (IMPL) - Enter outlook'!J22),'Step 3 (IMPL) - Enter outlook'!J22,""))</f>
        <v/>
      </c>
      <c r="K20" s="156" t="str">
        <f>IF(K$4&lt;=OutturnThrough,IF(ISNUMBER('Step 2 - Update outturn data'!L20),'Step 2 - Update outturn data'!L20,""),IF(ISNUMBER('Step 3 (IMPL) - Enter outlook'!K22),'Step 3 (IMPL) - Enter outlook'!K22,""))</f>
        <v/>
      </c>
      <c r="L20" s="70"/>
      <c r="M20" s="70"/>
      <c r="N20" s="63"/>
      <c r="O20" s="63"/>
      <c r="P20" s="63"/>
      <c r="Q20" s="63"/>
      <c r="R20" s="63"/>
      <c r="S20" s="63"/>
      <c r="T20" s="63"/>
      <c r="U20" s="63"/>
      <c r="V20" s="63"/>
      <c r="W20" s="63"/>
    </row>
    <row r="21" spans="2:23" customFormat="1" ht="14.65" customHeight="1" x14ac:dyDescent="0.4">
      <c r="B21" s="56" t="s">
        <v>2</v>
      </c>
      <c r="C21" s="45" t="s">
        <v>614</v>
      </c>
      <c r="D21" s="156">
        <f>IF(D$4&lt;=OutturnThrough,IF(ISNUMBER('Step 2 - Update outturn data'!E21),'Step 2 - Update outturn data'!E21,""),IF(ISNUMBER('Step 3 (IMPL) - Enter outlook'!D23),'Step 3 (IMPL) - Enter outlook'!D23,""))</f>
        <v>0.4917970039993555</v>
      </c>
      <c r="E21" s="156">
        <f>IF(E$4&lt;=OutturnThrough,IF(ISNUMBER('Step 2 - Update outturn data'!F21),'Step 2 - Update outturn data'!F21,""),IF(ISNUMBER('Step 3 (IMPL) - Enter outlook'!E23),'Step 3 (IMPL) - Enter outlook'!E23,""))</f>
        <v>-1.7513179237631793</v>
      </c>
      <c r="F21" s="156">
        <f>IF(F$4&lt;=OutturnThrough,IF(ISNUMBER('Step 2 - Update outturn data'!G21),'Step 2 - Update outturn data'!G21,""),IF(ISNUMBER('Step 3 (IMPL) - Enter outlook'!F23),'Step 3 (IMPL) - Enter outlook'!F23,""))</f>
        <v>-0.82100649195079434</v>
      </c>
      <c r="G21" s="156">
        <f>IF(G$4&lt;=OutturnThrough,IF(ISNUMBER('Step 2 - Update outturn data'!H21),'Step 2 - Update outturn data'!H21,""),IF(ISNUMBER('Step 3 (IMPL) - Enter outlook'!G23),'Step 3 (IMPL) - Enter outlook'!G23,""))</f>
        <v>-9.3000000000000007</v>
      </c>
      <c r="H21" s="156" t="str">
        <f>IF(H$4&lt;=OutturnThrough,IF(ISNUMBER('Step 2 - Update outturn data'!I21),'Step 2 - Update outturn data'!I21,""),IF(ISNUMBER('Step 3 (IMPL) - Enter outlook'!H23),'Step 3 (IMPL) - Enter outlook'!H23,""))</f>
        <v/>
      </c>
      <c r="I21" s="156" t="str">
        <f>IF(I$4&lt;=OutturnThrough,IF(ISNUMBER('Step 2 - Update outturn data'!J21),'Step 2 - Update outturn data'!J21,""),IF(ISNUMBER('Step 3 (IMPL) - Enter outlook'!I23),'Step 3 (IMPL) - Enter outlook'!I23,""))</f>
        <v/>
      </c>
      <c r="J21" s="156" t="str">
        <f>IF(J$4&lt;=OutturnThrough,IF(ISNUMBER('Step 2 - Update outturn data'!K21),'Step 2 - Update outturn data'!K21,""),IF(ISNUMBER('Step 3 (IMPL) - Enter outlook'!J23),'Step 3 (IMPL) - Enter outlook'!J23,""))</f>
        <v/>
      </c>
      <c r="K21" s="156" t="str">
        <f>IF(K$4&lt;=OutturnThrough,IF(ISNUMBER('Step 2 - Update outturn data'!L21),'Step 2 - Update outturn data'!L21,""),IF(ISNUMBER('Step 3 (IMPL) - Enter outlook'!K23),'Step 3 (IMPL) - Enter outlook'!K23,""))</f>
        <v/>
      </c>
      <c r="L21" s="70"/>
      <c r="M21" s="70"/>
      <c r="N21" s="63"/>
      <c r="O21" s="63"/>
      <c r="P21" s="63"/>
      <c r="Q21" s="63"/>
      <c r="R21" s="63"/>
      <c r="S21" s="63"/>
      <c r="T21" s="63"/>
      <c r="U21" s="63"/>
      <c r="V21" s="63"/>
      <c r="W21" s="63"/>
    </row>
    <row r="22" spans="2:23" customFormat="1" ht="20.25" customHeight="1" x14ac:dyDescent="0.4">
      <c r="B22" s="56" t="s">
        <v>280</v>
      </c>
      <c r="C22" s="45" t="s">
        <v>644</v>
      </c>
      <c r="D22" s="156">
        <f>IF(D$4&lt;=OutturnThrough,IF(ISNUMBER('Step 2 - Update outturn data'!E22),'Step 2 - Update outturn data'!E22,""),IF(ISNUMBER('Step 3 (IMPL) - Enter outlook'!D24),'Step 3 (IMPL) - Enter outlook'!D24,""))</f>
        <v>2.1358911863197383</v>
      </c>
      <c r="E22" s="156">
        <f>IF(E$4&lt;=OutturnThrough,IF(ISNUMBER('Step 2 - Update outturn data'!F22),'Step 2 - Update outturn data'!F22,""),IF(ISNUMBER('Step 3 (IMPL) - Enter outlook'!E24),'Step 3 (IMPL) - Enter outlook'!E24,""))</f>
        <v>2.0865774054565467</v>
      </c>
      <c r="F22" s="156">
        <f>IF(F$4&lt;=OutturnThrough,IF(ISNUMBER('Step 2 - Update outturn data'!G22),'Step 2 - Update outturn data'!G22,""),IF(ISNUMBER('Step 3 (IMPL) - Enter outlook'!F24),'Step 3 (IMPL) - Enter outlook'!F24,""))</f>
        <v>2.0730652469252542</v>
      </c>
      <c r="G22" s="156">
        <f>IF(G$4&lt;=OutturnThrough,IF(ISNUMBER('Step 2 - Update outturn data'!H22),'Step 2 - Update outturn data'!H22,""),IF(ISNUMBER('Step 3 (IMPL) - Enter outlook'!G24),'Step 3 (IMPL) - Enter outlook'!G24,""))</f>
        <v>2</v>
      </c>
      <c r="H22" s="156" t="str">
        <f>IF(H$4&lt;=OutturnThrough,IF(ISNUMBER('Step 2 - Update outturn data'!I22),'Step 2 - Update outturn data'!I22,""),IF(ISNUMBER('Step 3 (IMPL) - Enter outlook'!H24),'Step 3 (IMPL) - Enter outlook'!H24,""))</f>
        <v/>
      </c>
      <c r="I22" s="156" t="str">
        <f>IF(I$4&lt;=OutturnThrough,IF(ISNUMBER('Step 2 - Update outturn data'!J22),'Step 2 - Update outturn data'!J22,""),IF(ISNUMBER('Step 3 (IMPL) - Enter outlook'!I24),'Step 3 (IMPL) - Enter outlook'!I24,""))</f>
        <v/>
      </c>
      <c r="J22" s="156" t="str">
        <f>IF(J$4&lt;=OutturnThrough,IF(ISNUMBER('Step 2 - Update outturn data'!K22),'Step 2 - Update outturn data'!K22,""),IF(ISNUMBER('Step 3 (IMPL) - Enter outlook'!J24),'Step 3 (IMPL) - Enter outlook'!J24,""))</f>
        <v/>
      </c>
      <c r="K22" s="156" t="str">
        <f>IF(K$4&lt;=OutturnThrough,IF(ISNUMBER('Step 2 - Update outturn data'!L22),'Step 2 - Update outturn data'!L22,""),IF(ISNUMBER('Step 3 (IMPL) - Enter outlook'!K24),'Step 3 (IMPL) - Enter outlook'!K24,""))</f>
        <v/>
      </c>
      <c r="L22" s="70"/>
      <c r="M22" s="70"/>
      <c r="N22" s="63"/>
      <c r="O22" s="63"/>
      <c r="P22" s="63"/>
      <c r="Q22" s="63"/>
      <c r="R22" s="63"/>
      <c r="S22" s="63"/>
      <c r="T22" s="63"/>
      <c r="U22" s="63"/>
      <c r="V22" s="63"/>
      <c r="W22" s="63"/>
    </row>
    <row r="23" spans="2:23" customFormat="1" ht="14.65" customHeight="1" x14ac:dyDescent="0.4">
      <c r="B23" s="56" t="s">
        <v>281</v>
      </c>
      <c r="C23" s="45" t="s">
        <v>644</v>
      </c>
      <c r="D23" s="156">
        <f>IF(D$4&lt;=OutturnThrough,IF(ISNUMBER('Step 2 - Update outturn data'!E23),'Step 2 - Update outturn data'!E23,""),IF(ISNUMBER('Step 3 (IMPL) - Enter outlook'!D25),'Step 3 (IMPL) - Enter outlook'!D25,""))</f>
        <v>6.2696911980743009</v>
      </c>
      <c r="E23" s="156">
        <f>IF(E$4&lt;=OutturnThrough,IF(ISNUMBER('Step 2 - Update outturn data'!F23),'Step 2 - Update outturn data'!F23,""),IF(ISNUMBER('Step 3 (IMPL) - Enter outlook'!E25),'Step 3 (IMPL) - Enter outlook'!E25,""))</f>
        <v>3.2094021239268633</v>
      </c>
      <c r="F23" s="156">
        <f>IF(F$4&lt;=OutturnThrough,IF(ISNUMBER('Step 2 - Update outturn data'!G23),'Step 2 - Update outturn data'!G23,""),IF(ISNUMBER('Step 3 (IMPL) - Enter outlook'!F25),'Step 3 (IMPL) - Enter outlook'!F25,""))</f>
        <v>2.7768191292891542</v>
      </c>
      <c r="G23" s="156">
        <f>IF(G$4&lt;=OutturnThrough,IF(ISNUMBER('Step 2 - Update outturn data'!H23),'Step 2 - Update outturn data'!H23,""),IF(ISNUMBER('Step 3 (IMPL) - Enter outlook'!G25),'Step 3 (IMPL) - Enter outlook'!G25,""))</f>
        <v>3.2</v>
      </c>
      <c r="H23" s="156" t="str">
        <f>IF(H$4&lt;=OutturnThrough,IF(ISNUMBER('Step 2 - Update outturn data'!I23),'Step 2 - Update outturn data'!I23,""),IF(ISNUMBER('Step 3 (IMPL) - Enter outlook'!H25),'Step 3 (IMPL) - Enter outlook'!H25,""))</f>
        <v/>
      </c>
      <c r="I23" s="156" t="str">
        <f>IF(I$4&lt;=OutturnThrough,IF(ISNUMBER('Step 2 - Update outturn data'!J23),'Step 2 - Update outturn data'!J23,""),IF(ISNUMBER('Step 3 (IMPL) - Enter outlook'!I25),'Step 3 (IMPL) - Enter outlook'!I25,""))</f>
        <v/>
      </c>
      <c r="J23" s="156" t="str">
        <f>IF(J$4&lt;=OutturnThrough,IF(ISNUMBER('Step 2 - Update outturn data'!K23),'Step 2 - Update outturn data'!K23,""),IF(ISNUMBER('Step 3 (IMPL) - Enter outlook'!J25),'Step 3 (IMPL) - Enter outlook'!J25,""))</f>
        <v/>
      </c>
      <c r="K23" s="156" t="str">
        <f>IF(K$4&lt;=OutturnThrough,IF(ISNUMBER('Step 2 - Update outturn data'!L23),'Step 2 - Update outturn data'!L23,""),IF(ISNUMBER('Step 3 (IMPL) - Enter outlook'!K25),'Step 3 (IMPL) - Enter outlook'!K25,""))</f>
        <v/>
      </c>
      <c r="L23" s="70"/>
      <c r="M23" s="70"/>
      <c r="N23" s="63"/>
      <c r="O23" s="63"/>
      <c r="P23" s="63"/>
      <c r="Q23" s="63"/>
      <c r="R23" s="63"/>
      <c r="S23" s="63"/>
      <c r="T23" s="63"/>
      <c r="U23" s="63"/>
      <c r="V23" s="63"/>
      <c r="W23" s="63"/>
    </row>
    <row r="24" spans="2:23" customFormat="1" ht="14.65" customHeight="1" x14ac:dyDescent="0.4">
      <c r="B24" s="56" t="s">
        <v>282</v>
      </c>
      <c r="C24" s="45" t="s">
        <v>644</v>
      </c>
      <c r="D24" s="156">
        <f>IF(D$4&lt;=OutturnThrough,IF(ISNUMBER('Step 2 - Update outturn data'!E24),'Step 2 - Update outturn data'!E24,""),IF(ISNUMBER('Step 3 (IMPL) - Enter outlook'!D26),'Step 3 (IMPL) - Enter outlook'!D26,""))</f>
        <v>8.5394961661031665</v>
      </c>
      <c r="E24" s="156">
        <f>IF(E$4&lt;=OutturnThrough,IF(ISNUMBER('Step 2 - Update outturn data'!F24),'Step 2 - Update outturn data'!F24,""),IF(ISNUMBER('Step 3 (IMPL) - Enter outlook'!E26),'Step 3 (IMPL) - Enter outlook'!E26,""))</f>
        <v>5.3629461889515229</v>
      </c>
      <c r="F24" s="156">
        <f>IF(F$4&lt;=OutturnThrough,IF(ISNUMBER('Step 2 - Update outturn data'!G24),'Step 2 - Update outturn data'!G24,""),IF(ISNUMBER('Step 3 (IMPL) - Enter outlook'!F26),'Step 3 (IMPL) - Enter outlook'!F26,""))</f>
        <v>4.9074496485536745</v>
      </c>
      <c r="G24" s="156">
        <f>IF(G$4&lt;=OutturnThrough,IF(ISNUMBER('Step 2 - Update outturn data'!H24),'Step 2 - Update outturn data'!H24,""),IF(ISNUMBER('Step 3 (IMPL) - Enter outlook'!G26),'Step 3 (IMPL) - Enter outlook'!G26,""))</f>
        <v>5.2</v>
      </c>
      <c r="H24" s="156" t="str">
        <f>IF(H$4&lt;=OutturnThrough,IF(ISNUMBER('Step 2 - Update outturn data'!I24),'Step 2 - Update outturn data'!I24,""),IF(ISNUMBER('Step 3 (IMPL) - Enter outlook'!H26),'Step 3 (IMPL) - Enter outlook'!H26,""))</f>
        <v/>
      </c>
      <c r="I24" s="156" t="str">
        <f>IF(I$4&lt;=OutturnThrough,IF(ISNUMBER('Step 2 - Update outturn data'!J24),'Step 2 - Update outturn data'!J24,""),IF(ISNUMBER('Step 3 (IMPL) - Enter outlook'!I26),'Step 3 (IMPL) - Enter outlook'!I26,""))</f>
        <v/>
      </c>
      <c r="J24" s="156" t="str">
        <f>IF(J$4&lt;=OutturnThrough,IF(ISNUMBER('Step 2 - Update outturn data'!K24),'Step 2 - Update outturn data'!K24,""),IF(ISNUMBER('Step 3 (IMPL) - Enter outlook'!J26),'Step 3 (IMPL) - Enter outlook'!J26,""))</f>
        <v/>
      </c>
      <c r="K24" s="156" t="str">
        <f>IF(K$4&lt;=OutturnThrough,IF(ISNUMBER('Step 2 - Update outturn data'!L24),'Step 2 - Update outturn data'!L24,""),IF(ISNUMBER('Step 3 (IMPL) - Enter outlook'!K26),'Step 3 (IMPL) - Enter outlook'!K26,""))</f>
        <v/>
      </c>
      <c r="L24" s="70"/>
      <c r="M24" s="70"/>
      <c r="N24" s="63"/>
      <c r="O24" s="63"/>
      <c r="P24" s="63"/>
      <c r="Q24" s="63"/>
      <c r="R24" s="63"/>
      <c r="S24" s="63"/>
      <c r="T24" s="63"/>
      <c r="U24" s="63"/>
      <c r="V24" s="63"/>
      <c r="W24" s="63"/>
    </row>
    <row r="25" spans="2:23" customFormat="1" ht="14.65" customHeight="1" x14ac:dyDescent="0.4">
      <c r="B25" s="56" t="s">
        <v>283</v>
      </c>
      <c r="C25" s="45" t="s">
        <v>644</v>
      </c>
      <c r="D25" s="156">
        <f>IF(D$4&lt;=OutturnThrough,IF(ISNUMBER('Step 2 - Update outturn data'!E25),'Step 2 - Update outturn data'!E25,""),IF(ISNUMBER('Step 3 (IMPL) - Enter outlook'!D27),'Step 3 (IMPL) - Enter outlook'!D27,""))</f>
        <v>0.41214777352651666</v>
      </c>
      <c r="E25" s="156">
        <f>IF(E$4&lt;=OutturnThrough,IF(ISNUMBER('Step 2 - Update outturn data'!F25),'Step 2 - Update outturn data'!F25,""),IF(ISNUMBER('Step 3 (IMPL) - Enter outlook'!E27),'Step 3 (IMPL) - Enter outlook'!E27,""))</f>
        <v>0.89840122569280201</v>
      </c>
      <c r="F25" s="156">
        <f>IF(F$4&lt;=OutturnThrough,IF(ISNUMBER('Step 2 - Update outturn data'!G25),'Step 2 - Update outturn data'!G25,""),IF(ISNUMBER('Step 3 (IMPL) - Enter outlook'!F27),'Step 3 (IMPL) - Enter outlook'!F27,""))</f>
        <v>1.6052979221115482</v>
      </c>
      <c r="G25" s="156">
        <f>IF(G$4&lt;=OutturnThrough,IF(ISNUMBER('Step 2 - Update outturn data'!H25),'Step 2 - Update outturn data'!H25,""),IF(ISNUMBER('Step 3 (IMPL) - Enter outlook'!G27),'Step 3 (IMPL) - Enter outlook'!G27,""))</f>
        <v>1.9</v>
      </c>
      <c r="H25" s="156" t="str">
        <f>IF(H$4&lt;=OutturnThrough,IF(ISNUMBER('Step 2 - Update outturn data'!I25),'Step 2 - Update outturn data'!I25,""),IF(ISNUMBER('Step 3 (IMPL) - Enter outlook'!H27),'Step 3 (IMPL) - Enter outlook'!H27,""))</f>
        <v/>
      </c>
      <c r="I25" s="156" t="str">
        <f>IF(I$4&lt;=OutturnThrough,IF(ISNUMBER('Step 2 - Update outturn data'!J25),'Step 2 - Update outturn data'!J25,""),IF(ISNUMBER('Step 3 (IMPL) - Enter outlook'!I27),'Step 3 (IMPL) - Enter outlook'!I27,""))</f>
        <v/>
      </c>
      <c r="J25" s="156" t="str">
        <f>IF(J$4&lt;=OutturnThrough,IF(ISNUMBER('Step 2 - Update outturn data'!K25),'Step 2 - Update outturn data'!K25,""),IF(ISNUMBER('Step 3 (IMPL) - Enter outlook'!J27),'Step 3 (IMPL) - Enter outlook'!J27,""))</f>
        <v/>
      </c>
      <c r="K25" s="156" t="str">
        <f>IF(K$4&lt;=OutturnThrough,IF(ISNUMBER('Step 2 - Update outturn data'!L25),'Step 2 - Update outturn data'!L25,""),IF(ISNUMBER('Step 3 (IMPL) - Enter outlook'!K27),'Step 3 (IMPL) - Enter outlook'!K27,""))</f>
        <v/>
      </c>
      <c r="L25" s="70"/>
      <c r="M25" s="70"/>
      <c r="N25" s="63"/>
      <c r="O25" s="63"/>
      <c r="P25" s="63"/>
      <c r="Q25" s="63"/>
      <c r="R25" s="63"/>
      <c r="S25" s="63"/>
      <c r="T25" s="63"/>
      <c r="U25" s="63"/>
      <c r="V25" s="63"/>
      <c r="W25" s="63"/>
    </row>
    <row r="26" spans="2:23" customFormat="1" ht="14.65" customHeight="1" x14ac:dyDescent="0.4">
      <c r="B26" s="56" t="s">
        <v>272</v>
      </c>
      <c r="C26" s="45" t="s">
        <v>610</v>
      </c>
      <c r="D26" s="156">
        <f>IF(D$4&lt;=OutturnThrough,IF(ISNUMBER('Step 2 - Update outturn data'!E26),'Step 2 - Update outturn data'!E26,""),IF(ISNUMBER('Step 3 (IMPL) - Enter outlook'!D28),'Step 3 (IMPL) - Enter outlook'!D28,""))</f>
        <v>1.0428730339908876</v>
      </c>
      <c r="E26" s="156">
        <f>IF(E$4&lt;=OutturnThrough,IF(ISNUMBER('Step 2 - Update outturn data'!F26),'Step 2 - Update outturn data'!F26,""),IF(ISNUMBER('Step 3 (IMPL) - Enter outlook'!E28),'Step 3 (IMPL) - Enter outlook'!E28,""))</f>
        <v>2.2327473732196124</v>
      </c>
      <c r="F26" s="156">
        <f>IF(F$4&lt;=OutturnThrough,IF(ISNUMBER('Step 2 - Update outturn data'!G26),'Step 2 - Update outturn data'!G26,""),IF(ISNUMBER('Step 3 (IMPL) - Enter outlook'!F28),'Step 3 (IMPL) - Enter outlook'!F28,""))</f>
        <v>2.7034073702548067</v>
      </c>
      <c r="G26" s="156">
        <f>IF(G$4&lt;=OutturnThrough,IF(ISNUMBER('Step 2 - Update outturn data'!H26),'Step 2 - Update outturn data'!H26,""),IF(ISNUMBER('Step 3 (IMPL) - Enter outlook'!G28),'Step 3 (IMPL) - Enter outlook'!G28,""))</f>
        <v>2.7</v>
      </c>
      <c r="H26" s="156" t="str">
        <f>IF(H$4&lt;=OutturnThrough,IF(ISNUMBER('Step 2 - Update outturn data'!I26),'Step 2 - Update outturn data'!I26,""),IF(ISNUMBER('Step 3 (IMPL) - Enter outlook'!H28),'Step 3 (IMPL) - Enter outlook'!H28,""))</f>
        <v/>
      </c>
      <c r="I26" s="156" t="str">
        <f>IF(I$4&lt;=OutturnThrough,IF(ISNUMBER('Step 2 - Update outturn data'!J26),'Step 2 - Update outturn data'!J26,""),IF(ISNUMBER('Step 3 (IMPL) - Enter outlook'!I28),'Step 3 (IMPL) - Enter outlook'!I28,""))</f>
        <v/>
      </c>
      <c r="J26" s="156" t="str">
        <f>IF(J$4&lt;=OutturnThrough,IF(ISNUMBER('Step 2 - Update outturn data'!K26),'Step 2 - Update outturn data'!K26,""),IF(ISNUMBER('Step 3 (IMPL) - Enter outlook'!J28),'Step 3 (IMPL) - Enter outlook'!J28,""))</f>
        <v/>
      </c>
      <c r="K26" s="156" t="str">
        <f>IF(K$4&lt;=OutturnThrough,IF(ISNUMBER('Step 2 - Update outturn data'!L26),'Step 2 - Update outturn data'!L26,""),IF(ISNUMBER('Step 3 (IMPL) - Enter outlook'!K28),'Step 3 (IMPL) - Enter outlook'!K28,""))</f>
        <v/>
      </c>
      <c r="L26" s="70"/>
      <c r="M26" s="70"/>
      <c r="N26" s="63"/>
      <c r="O26" s="63"/>
      <c r="P26" s="63"/>
      <c r="Q26" s="63"/>
      <c r="R26" s="63"/>
      <c r="S26" s="63"/>
      <c r="T26" s="63"/>
      <c r="U26" s="63"/>
      <c r="V26" s="63"/>
      <c r="W26" s="63"/>
    </row>
    <row r="27" spans="2:23" customFormat="1" ht="14.65" customHeight="1" x14ac:dyDescent="0.4">
      <c r="B27" s="62" t="s">
        <v>289</v>
      </c>
      <c r="C27" s="43" t="s">
        <v>646</v>
      </c>
      <c r="D27" s="157">
        <f>IF(D$4&lt;=OutturnThrough,IF(ISNUMBER('Step 2 - Update outturn data'!E27),'Step 2 - Update outturn data'!E27,""),IF(ISNUMBER('Step 3 (IMPL) - Enter outlook'!D29),'Step 3 (IMPL) - Enter outlook'!D29,""))</f>
        <v>224.68620000000001</v>
      </c>
      <c r="E27" s="157">
        <f>IF(E$4&lt;=OutturnThrough,IF(ISNUMBER('Step 2 - Update outturn data'!F27),'Step 2 - Update outturn data'!F27,""),IF(ISNUMBER('Step 3 (IMPL) - Enter outlook'!E29),'Step 3 (IMPL) - Enter outlook'!E29,""))</f>
        <v>236.73599999999999</v>
      </c>
      <c r="F27" s="157">
        <f>IF(F$4&lt;=OutturnThrough,IF(ISNUMBER('Step 2 - Update outturn data'!G27),'Step 2 - Update outturn data'!G27,""),IF(ISNUMBER('Step 3 (IMPL) - Enter outlook'!F29),'Step 3 (IMPL) - Enter outlook'!F29,""))</f>
        <v>248.3537</v>
      </c>
      <c r="G27" s="157">
        <f>IF(G$4&lt;=OutturnThrough,IF(ISNUMBER('Step 2 - Update outturn data'!H27),'Step 2 - Update outturn data'!H27,""),IF(ISNUMBER('Step 3 (IMPL) - Enter outlook'!G29),'Step 3 (IMPL) - Enter outlook'!G29,""))</f>
        <v>261.2680924</v>
      </c>
      <c r="H27" s="157" t="str">
        <f>IF(H$4&lt;=OutturnThrough,IF(ISNUMBER('Step 2 - Update outturn data'!I27),'Step 2 - Update outturn data'!I27,""),IF(ISNUMBER('Step 3 (IMPL) - Enter outlook'!H29),'Step 3 (IMPL) - Enter outlook'!H29,""))</f>
        <v/>
      </c>
      <c r="I27" s="157" t="str">
        <f>IF(I$4&lt;=OutturnThrough,IF(ISNUMBER('Step 2 - Update outturn data'!J27),'Step 2 - Update outturn data'!J27,""),IF(ISNUMBER('Step 3 (IMPL) - Enter outlook'!I29),'Step 3 (IMPL) - Enter outlook'!I29,""))</f>
        <v/>
      </c>
      <c r="J27" s="157" t="str">
        <f>IF(J$4&lt;=OutturnThrough,IF(ISNUMBER('Step 2 - Update outturn data'!K27),'Step 2 - Update outturn data'!K27,""),IF(ISNUMBER('Step 3 (IMPL) - Enter outlook'!J29),'Step 3 (IMPL) - Enter outlook'!J29,""))</f>
        <v/>
      </c>
      <c r="K27" s="157" t="str">
        <f>IF(K$4&lt;=OutturnThrough,IF(ISNUMBER('Step 2 - Update outturn data'!L27),'Step 2 - Update outturn data'!L27,""),IF(ISNUMBER('Step 3 (IMPL) - Enter outlook'!K29),'Step 3 (IMPL) - Enter outlook'!K29,""))</f>
        <v/>
      </c>
      <c r="L27" s="100"/>
      <c r="M27" s="100"/>
      <c r="N27" s="100"/>
      <c r="O27" s="100"/>
      <c r="P27" s="100"/>
      <c r="Q27" s="100"/>
      <c r="R27" s="100"/>
      <c r="S27" s="100"/>
      <c r="T27" s="100"/>
      <c r="U27" s="100"/>
      <c r="V27" s="100"/>
      <c r="W27" s="100"/>
    </row>
    <row r="28" spans="2:23" customFormat="1" x14ac:dyDescent="0.4">
      <c r="C28" s="15"/>
    </row>
    <row r="29" spans="2:23" customFormat="1" ht="23.25" x14ac:dyDescent="0.7">
      <c r="B29" s="14"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5"/>
    </row>
    <row r="30" spans="2:23" customFormat="1" ht="18" x14ac:dyDescent="0.55000000000000004">
      <c r="B30" s="51" t="s">
        <v>312</v>
      </c>
      <c r="C30" s="15"/>
    </row>
    <row r="31" spans="2:23" customFormat="1" ht="15.75" x14ac:dyDescent="0.5">
      <c r="B31" s="80" t="s">
        <v>310</v>
      </c>
      <c r="C31" s="15"/>
      <c r="D31" s="45"/>
      <c r="E31" s="45"/>
      <c r="F31" s="45"/>
      <c r="G31" s="45"/>
      <c r="H31" s="45"/>
      <c r="I31" s="45"/>
      <c r="J31" s="45"/>
      <c r="K31" s="45"/>
      <c r="L31" s="45"/>
      <c r="M31" s="45"/>
      <c r="N31" s="45"/>
      <c r="O31" s="45"/>
      <c r="P31" s="45"/>
      <c r="Q31" s="45"/>
      <c r="R31" s="45"/>
      <c r="S31" s="45"/>
      <c r="T31" s="45"/>
      <c r="U31" s="45"/>
    </row>
    <row r="32" spans="2:23" customFormat="1" x14ac:dyDescent="0.4">
      <c r="B32" s="40" t="s">
        <v>251</v>
      </c>
      <c r="C32" s="95"/>
      <c r="D32" s="45" cm="1">
        <f t="array" ref="D32:I32">_xlfn.SEQUENCE(1, MTP_EndYear-MTP_BaseYear+1, MTP_BaseYear)</f>
        <v>2023</v>
      </c>
      <c r="E32" s="45">
        <v>2024</v>
      </c>
      <c r="F32" s="45">
        <v>2025</v>
      </c>
      <c r="G32" s="45">
        <v>2026</v>
      </c>
      <c r="H32" s="45">
        <v>2027</v>
      </c>
      <c r="I32" s="45">
        <v>2028</v>
      </c>
      <c r="J32" s="45"/>
      <c r="K32" s="45"/>
      <c r="L32" s="45"/>
      <c r="M32" s="45"/>
      <c r="N32" s="45"/>
      <c r="O32" s="45"/>
      <c r="P32" s="45"/>
      <c r="Q32" s="45"/>
      <c r="R32" s="45"/>
      <c r="S32" s="45"/>
      <c r="T32" s="45"/>
      <c r="U32" s="45"/>
    </row>
    <row r="33" spans="2:23" customFormat="1" x14ac:dyDescent="0.4">
      <c r="B33" s="42" t="s">
        <v>274</v>
      </c>
      <c r="C33" s="20"/>
      <c r="D33" s="48" t="str" cm="1">
        <f t="array" ref="D33:I33">CHOOSE(
  SIGN(_xlfn.SEQUENCE(1, MTP_PlanningHorizon+2, -1)) + 2,
  "T" &amp; _xlfn.SEQUENCE(1, MTP_PlanningHorizon+2, -1),
  "T",
  "T+" &amp; _xlfn.SEQUENCE(1, MTP_PlanningHorizon+2, -1)
)</f>
        <v>T-1</v>
      </c>
      <c r="E33" s="48" t="str">
        <v>T</v>
      </c>
      <c r="F33" s="48" t="str">
        <v>T+1</v>
      </c>
      <c r="G33" s="48" t="str">
        <v>T+2</v>
      </c>
      <c r="H33" s="48" t="str">
        <v>T+3</v>
      </c>
      <c r="I33" s="48" t="str">
        <v>T+4</v>
      </c>
      <c r="J33" s="48"/>
      <c r="K33" s="48"/>
      <c r="L33" s="48"/>
      <c r="M33" s="48"/>
      <c r="N33" s="48"/>
      <c r="O33" s="45"/>
      <c r="P33" s="45"/>
      <c r="Q33" s="45"/>
      <c r="R33" s="45"/>
      <c r="S33" s="45"/>
      <c r="T33" s="45"/>
      <c r="U33" s="45"/>
    </row>
    <row r="34" spans="2:23" customFormat="1" x14ac:dyDescent="0.4">
      <c r="B34" s="45" t="s">
        <v>213</v>
      </c>
      <c r="C34" s="15"/>
      <c r="D34" s="45" t="str">
        <f>IF(ISNUMBER('Step 3 (MTP) - Plan and prior'!D16),'Step 3 (MTP) - Plan and prior'!D16,"")</f>
        <v/>
      </c>
      <c r="E34" s="45">
        <f>IF(ISNUMBER('Step 3 (MTP) - Plan and prior'!E16),'Step 3 (MTP) - Plan and prior'!E16,"")</f>
        <v>2.6</v>
      </c>
      <c r="F34" s="45">
        <f>IF(ISNUMBER('Step 3 (MTP) - Plan and prior'!F16),'Step 3 (MTP) - Plan and prior'!F16,"")</f>
        <v>3.6999999999999997</v>
      </c>
      <c r="G34" s="45">
        <f>IF(ISNUMBER('Step 3 (MTP) - Plan and prior'!G16),'Step 3 (MTP) - Plan and prior'!G16,"")</f>
        <v>3.6000000000000005</v>
      </c>
      <c r="H34" s="45">
        <f>IF(ISNUMBER('Step 3 (MTP) - Plan and prior'!H16),'Step 3 (MTP) - Plan and prior'!H16,"")</f>
        <v>3.1</v>
      </c>
      <c r="I34" s="45">
        <f>IF(ISNUMBER('Step 3 (MTP) - Plan and prior'!I16),'Step 3 (MTP) - Plan and prior'!I16,"")</f>
        <v>3</v>
      </c>
      <c r="J34" s="45" t="str">
        <f>IF(ISNUMBER('Step 3 (MTP) - Plan and prior'!J16),'Step 3 (MTP) - Plan and prior'!J16,"")</f>
        <v/>
      </c>
      <c r="K34" s="45" t="str">
        <f>IF(ISNUMBER('Step 3 (MTP) - Plan and prior'!K16),'Step 3 (MTP) - Plan and prior'!K16,"")</f>
        <v/>
      </c>
      <c r="L34" s="45" t="str">
        <f>IF(ISNUMBER('Step 3 (MTP) - Plan and prior'!L16),'Step 3 (MTP) - Plan and prior'!L16,"")</f>
        <v/>
      </c>
      <c r="M34" s="45" t="str">
        <f>IF(ISNUMBER('Step 3 (MTP) - Plan and prior'!M16),'Step 3 (MTP) - Plan and prior'!M16,"")</f>
        <v/>
      </c>
      <c r="N34" s="45" t="str">
        <f>IF(ISNUMBER('Step 3 (MTP) - Plan and prior'!N16),'Step 3 (MTP) - Plan and prior'!N16,"")</f>
        <v/>
      </c>
      <c r="O34" s="45"/>
      <c r="P34" s="45"/>
      <c r="Q34" s="45"/>
      <c r="R34" s="45"/>
      <c r="S34" s="45"/>
      <c r="T34" s="45"/>
      <c r="U34" s="45"/>
      <c r="V34" s="45"/>
      <c r="W34" s="45"/>
    </row>
    <row r="35" spans="2:23" customFormat="1" ht="20.25" customHeight="1" x14ac:dyDescent="0.4">
      <c r="B35" s="56" t="s">
        <v>206</v>
      </c>
      <c r="C35" s="15"/>
      <c r="D35" s="59">
        <f>IF(ISNUMBER('Step 3 (MTP) - Plan and prior'!D17),'Step 3 (MTP) - Plan and prior'!D17,"")</f>
        <v>-1.6</v>
      </c>
      <c r="E35" s="59">
        <f>IF(ISNUMBER('Step 3 (MTP) - Plan and prior'!E17),'Step 3 (MTP) - Plan and prior'!E17,"")</f>
        <v>-1</v>
      </c>
      <c r="F35" s="59">
        <f>IF(ISNUMBER('Step 3 (MTP) - Plan and prior'!F17),'Step 3 (MTP) - Plan and prior'!F17,"")</f>
        <v>-0.6</v>
      </c>
      <c r="G35" s="59">
        <f>IF(ISNUMBER('Step 3 (MTP) - Plan and prior'!G17),'Step 3 (MTP) - Plan and prior'!G17,"")</f>
        <v>-0.8</v>
      </c>
      <c r="H35" s="59">
        <f>IF(ISNUMBER('Step 3 (MTP) - Plan and prior'!H17),'Step 3 (MTP) - Plan and prior'!H17,"")</f>
        <v>-1.1000000000000001</v>
      </c>
      <c r="I35" s="59">
        <f>IF(ISNUMBER('Step 3 (MTP) - Plan and prior'!I17),'Step 3 (MTP) - Plan and prior'!I17,"")</f>
        <v>-1.2</v>
      </c>
      <c r="J35" s="59" t="str">
        <f>IF(ISNUMBER('Step 3 (MTP) - Plan and prior'!J17),'Step 3 (MTP) - Plan and prior'!J17,"")</f>
        <v/>
      </c>
      <c r="K35" s="59" t="str">
        <f>IF(ISNUMBER('Step 3 (MTP) - Plan and prior'!K17),'Step 3 (MTP) - Plan and prior'!K17,"")</f>
        <v/>
      </c>
      <c r="L35" s="59" t="str">
        <f>IF(ISNUMBER('Step 3 (MTP) - Plan and prior'!L17),'Step 3 (MTP) - Plan and prior'!L17,"")</f>
        <v/>
      </c>
      <c r="M35" s="59" t="str">
        <f>IF(ISNUMBER('Step 3 (MTP) - Plan and prior'!M17),'Step 3 (MTP) - Plan and prior'!M17,"")</f>
        <v/>
      </c>
      <c r="N35" s="59" t="str">
        <f>IF(ISNUMBER('Step 3 (MTP) - Plan and prior'!N17),'Step 3 (MTP) - Plan and prior'!N17,"")</f>
        <v/>
      </c>
      <c r="O35" s="59"/>
      <c r="P35" s="59"/>
      <c r="Q35" s="59"/>
      <c r="R35" s="59"/>
      <c r="S35" s="59"/>
      <c r="T35" s="59"/>
      <c r="U35" s="59"/>
      <c r="V35" s="59"/>
      <c r="W35" s="59"/>
    </row>
    <row r="36" spans="2:23" customFormat="1" x14ac:dyDescent="0.4">
      <c r="B36" s="56" t="s">
        <v>0</v>
      </c>
      <c r="C36" s="15"/>
      <c r="D36" s="59">
        <f>IF(ISNUMBER('Step 3 (MTP) - Plan and prior'!D18),'Step 3 (MTP) - Plan and prior'!D18,"")</f>
        <v>-1.5</v>
      </c>
      <c r="E36" s="59">
        <f>IF(ISNUMBER('Step 3 (MTP) - Plan and prior'!E18),'Step 3 (MTP) - Plan and prior'!E18,"")</f>
        <v>-1.5</v>
      </c>
      <c r="F36" s="59">
        <f>IF(ISNUMBER('Step 3 (MTP) - Plan and prior'!F18),'Step 3 (MTP) - Plan and prior'!F18,"")</f>
        <v>-1.1000000000000001</v>
      </c>
      <c r="G36" s="59">
        <f>IF(ISNUMBER('Step 3 (MTP) - Plan and prior'!G18),'Step 3 (MTP) - Plan and prior'!G18,"")</f>
        <v>-1.1000000000000001</v>
      </c>
      <c r="H36" s="59">
        <f>IF(ISNUMBER('Step 3 (MTP) - Plan and prior'!H18),'Step 3 (MTP) - Plan and prior'!H18,"")</f>
        <v>-1.2</v>
      </c>
      <c r="I36" s="59">
        <f>IF(ISNUMBER('Step 3 (MTP) - Plan and prior'!I18),'Step 3 (MTP) - Plan and prior'!I18,"")</f>
        <v>-1.3</v>
      </c>
      <c r="J36" s="59" t="str">
        <f>IF(ISNUMBER('Step 3 (MTP) - Plan and prior'!J18),'Step 3 (MTP) - Plan and prior'!J18,"")</f>
        <v/>
      </c>
      <c r="K36" s="59" t="str">
        <f>IF(ISNUMBER('Step 3 (MTP) - Plan and prior'!K18),'Step 3 (MTP) - Plan and prior'!K18,"")</f>
        <v/>
      </c>
      <c r="L36" s="59" t="str">
        <f>IF(ISNUMBER('Step 3 (MTP) - Plan and prior'!L18),'Step 3 (MTP) - Plan and prior'!L18,"")</f>
        <v/>
      </c>
      <c r="M36" s="59" t="str">
        <f>IF(ISNUMBER('Step 3 (MTP) - Plan and prior'!M18),'Step 3 (MTP) - Plan and prior'!M18,"")</f>
        <v/>
      </c>
      <c r="N36" s="59" t="str">
        <f>IF(ISNUMBER('Step 3 (MTP) - Plan and prior'!N18),'Step 3 (MTP) - Plan and prior'!N18,"")</f>
        <v/>
      </c>
      <c r="O36" s="59"/>
      <c r="P36" s="59"/>
      <c r="Q36" s="59"/>
      <c r="R36" s="59"/>
      <c r="S36" s="59"/>
      <c r="T36" s="59"/>
      <c r="U36" s="59"/>
      <c r="V36" s="59"/>
      <c r="W36" s="59"/>
    </row>
    <row r="37" spans="2:23" customFormat="1" x14ac:dyDescent="0.4">
      <c r="B37" s="56" t="s">
        <v>3</v>
      </c>
      <c r="C37" s="15"/>
      <c r="D37" s="59">
        <f>IF(ISNUMBER('Step 3 (MTP) - Plan and prior'!D19),'Step 3 (MTP) - Plan and prior'!D19,"")</f>
        <v>1.9</v>
      </c>
      <c r="E37" s="59">
        <f>IF(ISNUMBER('Step 3 (MTP) - Plan and prior'!E19),'Step 3 (MTP) - Plan and prior'!E19,"")</f>
        <v>1.9</v>
      </c>
      <c r="F37" s="59">
        <f>IF(ISNUMBER('Step 3 (MTP) - Plan and prior'!F19),'Step 3 (MTP) - Plan and prior'!F19,"")</f>
        <v>2</v>
      </c>
      <c r="G37" s="59">
        <f>IF(ISNUMBER('Step 3 (MTP) - Plan and prior'!G19),'Step 3 (MTP) - Plan and prior'!G19,"")</f>
        <v>2.1</v>
      </c>
      <c r="H37" s="59">
        <f>IF(ISNUMBER('Step 3 (MTP) - Plan and prior'!H19),'Step 3 (MTP) - Plan and prior'!H19,"")</f>
        <v>2.2000000000000002</v>
      </c>
      <c r="I37" s="59">
        <f>IF(ISNUMBER('Step 3 (MTP) - Plan and prior'!I19),'Step 3 (MTP) - Plan and prior'!I19,"")</f>
        <v>2.2999999999999998</v>
      </c>
      <c r="J37" s="59" t="str">
        <f>IF(ISNUMBER('Step 3 (MTP) - Plan and prior'!J19),'Step 3 (MTP) - Plan and prior'!J19,"")</f>
        <v/>
      </c>
      <c r="K37" s="59" t="str">
        <f>IF(ISNUMBER('Step 3 (MTP) - Plan and prior'!K19),'Step 3 (MTP) - Plan and prior'!K19,"")</f>
        <v/>
      </c>
      <c r="L37" s="59" t="str">
        <f>IF(ISNUMBER('Step 3 (MTP) - Plan and prior'!L19),'Step 3 (MTP) - Plan and prior'!L19,"")</f>
        <v/>
      </c>
      <c r="M37" s="59" t="str">
        <f>IF(ISNUMBER('Step 3 (MTP) - Plan and prior'!M19),'Step 3 (MTP) - Plan and prior'!M19,"")</f>
        <v/>
      </c>
      <c r="N37" s="59" t="str">
        <f>IF(ISNUMBER('Step 3 (MTP) - Plan and prior'!N19),'Step 3 (MTP) - Plan and prior'!N19,"")</f>
        <v/>
      </c>
      <c r="O37" s="59"/>
      <c r="P37" s="59"/>
      <c r="Q37" s="59"/>
      <c r="R37" s="59"/>
      <c r="S37" s="59"/>
      <c r="T37" s="59"/>
      <c r="U37" s="59"/>
      <c r="V37" s="59"/>
      <c r="W37" s="59"/>
    </row>
    <row r="38" spans="2:23" customFormat="1" x14ac:dyDescent="0.4">
      <c r="B38" s="56" t="s">
        <v>1</v>
      </c>
      <c r="C38" s="15"/>
      <c r="D38" s="59">
        <f>IF(ISNUMBER('Step 3 (MTP) - Plan and prior'!D20),'Step 3 (MTP) - Plan and prior'!D20,"")</f>
        <v>161.9</v>
      </c>
      <c r="E38" s="59">
        <f>IF(ISNUMBER('Step 3 (MTP) - Plan and prior'!E20),'Step 3 (MTP) - Plan and prior'!E20,"")</f>
        <v>153.69999999999999</v>
      </c>
      <c r="F38" s="59">
        <f>IF(ISNUMBER('Step 3 (MTP) - Plan and prior'!F20),'Step 3 (MTP) - Plan and prior'!F20,"")</f>
        <v>149.1</v>
      </c>
      <c r="G38" s="59">
        <f>IF(ISNUMBER('Step 3 (MTP) - Plan and prior'!G20),'Step 3 (MTP) - Plan and prior'!G20,"")</f>
        <v>143.1</v>
      </c>
      <c r="H38" s="59">
        <f>IF(ISNUMBER('Step 3 (MTP) - Plan and prior'!H20),'Step 3 (MTP) - Plan and prior'!H20,"")</f>
        <v>138</v>
      </c>
      <c r="I38" s="59">
        <f>IF(ISNUMBER('Step 3 (MTP) - Plan and prior'!I20),'Step 3 (MTP) - Plan and prior'!I20,"")</f>
        <v>133.4</v>
      </c>
      <c r="J38" s="59" t="str">
        <f>IF(ISNUMBER('Step 3 (MTP) - Plan and prior'!J20),'Step 3 (MTP) - Plan and prior'!J20,"")</f>
        <v/>
      </c>
      <c r="K38" s="59" t="str">
        <f>IF(ISNUMBER('Step 3 (MTP) - Plan and prior'!K20),'Step 3 (MTP) - Plan and prior'!K20,"")</f>
        <v/>
      </c>
      <c r="L38" s="59" t="str">
        <f>IF(ISNUMBER('Step 3 (MTP) - Plan and prior'!L20),'Step 3 (MTP) - Plan and prior'!L20,"")</f>
        <v/>
      </c>
      <c r="M38" s="59" t="str">
        <f>IF(ISNUMBER('Step 3 (MTP) - Plan and prior'!M20),'Step 3 (MTP) - Plan and prior'!M20,"")</f>
        <v/>
      </c>
      <c r="N38" s="59" t="str">
        <f>IF(ISNUMBER('Step 3 (MTP) - Plan and prior'!N20),'Step 3 (MTP) - Plan and prior'!N20,"")</f>
        <v/>
      </c>
      <c r="O38" s="59"/>
      <c r="P38" s="59"/>
      <c r="Q38" s="59"/>
      <c r="R38" s="59"/>
      <c r="S38" s="59"/>
      <c r="T38" s="59"/>
      <c r="U38" s="59"/>
      <c r="V38" s="59"/>
      <c r="W38" s="59"/>
    </row>
    <row r="39" spans="2:23" customFormat="1" x14ac:dyDescent="0.4">
      <c r="B39" s="56" t="s">
        <v>2</v>
      </c>
      <c r="C39" s="15"/>
      <c r="D39" s="59">
        <f>IF(ISNUMBER('Step 3 (MTP) - Plan and prior'!D21),'Step 3 (MTP) - Plan and prior'!D21,"")</f>
        <v>-10.8</v>
      </c>
      <c r="E39" s="59">
        <f>IF(ISNUMBER('Step 3 (MTP) - Plan and prior'!E21),'Step 3 (MTP) - Plan and prior'!E21,"")</f>
        <v>-8.1999999999999993</v>
      </c>
      <c r="F39" s="59">
        <f>IF(ISNUMBER('Step 3 (MTP) - Plan and prior'!F21),'Step 3 (MTP) - Plan and prior'!F21,"")</f>
        <v>-4.5999999999999996</v>
      </c>
      <c r="G39" s="59">
        <f>IF(ISNUMBER('Step 3 (MTP) - Plan and prior'!G21),'Step 3 (MTP) - Plan and prior'!G21,"")</f>
        <v>-6.1</v>
      </c>
      <c r="H39" s="59">
        <f>IF(ISNUMBER('Step 3 (MTP) - Plan and prior'!H21),'Step 3 (MTP) - Plan and prior'!H21,"")</f>
        <v>-5</v>
      </c>
      <c r="I39" s="59">
        <f>IF(ISNUMBER('Step 3 (MTP) - Plan and prior'!I21),'Step 3 (MTP) - Plan and prior'!I21,"")</f>
        <v>-4.7</v>
      </c>
      <c r="J39" s="59" t="str">
        <f>IF(ISNUMBER('Step 3 (MTP) - Plan and prior'!J21),'Step 3 (MTP) - Plan and prior'!J21,"")</f>
        <v/>
      </c>
      <c r="K39" s="59" t="str">
        <f>IF(ISNUMBER('Step 3 (MTP) - Plan and prior'!K21),'Step 3 (MTP) - Plan and prior'!K21,"")</f>
        <v/>
      </c>
      <c r="L39" s="59" t="str">
        <f>IF(ISNUMBER('Step 3 (MTP) - Plan and prior'!L21),'Step 3 (MTP) - Plan and prior'!L21,"")</f>
        <v/>
      </c>
      <c r="M39" s="59" t="str">
        <f>IF(ISNUMBER('Step 3 (MTP) - Plan and prior'!M21),'Step 3 (MTP) - Plan and prior'!M21,"")</f>
        <v/>
      </c>
      <c r="N39" s="59" t="str">
        <f>IF(ISNUMBER('Step 3 (MTP) - Plan and prior'!N21),'Step 3 (MTP) - Plan and prior'!N21,"")</f>
        <v/>
      </c>
      <c r="O39" s="59"/>
      <c r="P39" s="59"/>
      <c r="Q39" s="59"/>
      <c r="R39" s="59"/>
      <c r="S39" s="59"/>
      <c r="T39" s="59"/>
      <c r="U39" s="59"/>
      <c r="V39" s="59"/>
      <c r="W39" s="59"/>
    </row>
    <row r="40" spans="2:23" customFormat="1" ht="20.25" customHeight="1" x14ac:dyDescent="0.4">
      <c r="B40" s="56" t="s">
        <v>7</v>
      </c>
      <c r="C40" s="15"/>
      <c r="D40" s="59">
        <f>IF(ISNUMBER('Step 3 (MTP) - Plan and prior'!D22),'Step 3 (MTP) - Plan and prior'!D22,"")</f>
        <v>2</v>
      </c>
      <c r="E40" s="59">
        <f>IF(ISNUMBER('Step 3 (MTP) - Plan and prior'!E22),'Step 3 (MTP) - Plan and prior'!E22,"")</f>
        <v>2.2000000000000002</v>
      </c>
      <c r="F40" s="59">
        <f>IF(ISNUMBER('Step 3 (MTP) - Plan and prior'!F22),'Step 3 (MTP) - Plan and prior'!F22,"")</f>
        <v>2.2999999999999998</v>
      </c>
      <c r="G40" s="59">
        <f>IF(ISNUMBER('Step 3 (MTP) - Plan and prior'!G22),'Step 3 (MTP) - Plan and prior'!G22,"")</f>
        <v>2</v>
      </c>
      <c r="H40" s="59">
        <f>IF(ISNUMBER('Step 3 (MTP) - Plan and prior'!H22),'Step 3 (MTP) - Plan and prior'!H22,"")</f>
        <v>1.5</v>
      </c>
      <c r="I40" s="59">
        <f>IF(ISNUMBER('Step 3 (MTP) - Plan and prior'!I22),'Step 3 (MTP) - Plan and prior'!I22,"")</f>
        <v>1.3</v>
      </c>
      <c r="J40" s="59" t="str">
        <f>IF(ISNUMBER('Step 3 (MTP) - Plan and prior'!J22),'Step 3 (MTP) - Plan and prior'!J22,"")</f>
        <v/>
      </c>
      <c r="K40" s="59" t="str">
        <f>IF(ISNUMBER('Step 3 (MTP) - Plan and prior'!K22),'Step 3 (MTP) - Plan and prior'!K22,"")</f>
        <v/>
      </c>
      <c r="L40" s="59" t="str">
        <f>IF(ISNUMBER('Step 3 (MTP) - Plan and prior'!L22),'Step 3 (MTP) - Plan and prior'!L22,"")</f>
        <v/>
      </c>
      <c r="M40" s="59" t="str">
        <f>IF(ISNUMBER('Step 3 (MTP) - Plan and prior'!M22),'Step 3 (MTP) - Plan and prior'!M22,"")</f>
        <v/>
      </c>
      <c r="N40" s="59" t="str">
        <f>IF(ISNUMBER('Step 3 (MTP) - Plan and prior'!N22),'Step 3 (MTP) - Plan and prior'!N22,"")</f>
        <v/>
      </c>
      <c r="O40" s="59"/>
      <c r="P40" s="59"/>
      <c r="Q40" s="59"/>
      <c r="R40" s="59"/>
      <c r="S40" s="59"/>
      <c r="T40" s="59"/>
      <c r="U40" s="59"/>
      <c r="V40" s="59"/>
      <c r="W40" s="59"/>
    </row>
    <row r="41" spans="2:23" customFormat="1" x14ac:dyDescent="0.4">
      <c r="B41" s="56" t="s">
        <v>8</v>
      </c>
      <c r="C41" s="15"/>
      <c r="D41" s="59">
        <f>IF(ISNUMBER('Step 3 (MTP) - Plan and prior'!D23),'Step 3 (MTP) - Plan and prior'!D23,"")</f>
        <v>4.5</v>
      </c>
      <c r="E41" s="59">
        <f>IF(ISNUMBER('Step 3 (MTP) - Plan and prior'!E23),'Step 3 (MTP) - Plan and prior'!E23,"")</f>
        <v>3</v>
      </c>
      <c r="F41" s="59">
        <f>IF(ISNUMBER('Step 3 (MTP) - Plan and prior'!F23),'Step 3 (MTP) - Plan and prior'!F23,"")</f>
        <v>2.2000000000000002</v>
      </c>
      <c r="G41" s="59">
        <f>IF(ISNUMBER('Step 3 (MTP) - Plan and prior'!G23),'Step 3 (MTP) - Plan and prior'!G23,"")</f>
        <v>2.2999999999999998</v>
      </c>
      <c r="H41" s="59">
        <f>IF(ISNUMBER('Step 3 (MTP) - Plan and prior'!H23),'Step 3 (MTP) - Plan and prior'!H23,"")</f>
        <v>2.2999999999999998</v>
      </c>
      <c r="I41" s="59">
        <f>IF(ISNUMBER('Step 3 (MTP) - Plan and prior'!I23),'Step 3 (MTP) - Plan and prior'!I23,"")</f>
        <v>2.4</v>
      </c>
      <c r="J41" s="59" t="str">
        <f>IF(ISNUMBER('Step 3 (MTP) - Plan and prior'!J23),'Step 3 (MTP) - Plan and prior'!J23,"")</f>
        <v/>
      </c>
      <c r="K41" s="59" t="str">
        <f>IF(ISNUMBER('Step 3 (MTP) - Plan and prior'!K23),'Step 3 (MTP) - Plan and prior'!K23,"")</f>
        <v/>
      </c>
      <c r="L41" s="59" t="str">
        <f>IF(ISNUMBER('Step 3 (MTP) - Plan and prior'!L23),'Step 3 (MTP) - Plan and prior'!L23,"")</f>
        <v/>
      </c>
      <c r="M41" s="59" t="str">
        <f>IF(ISNUMBER('Step 3 (MTP) - Plan and prior'!M23),'Step 3 (MTP) - Plan and prior'!M23,"")</f>
        <v/>
      </c>
      <c r="N41" s="59" t="str">
        <f>IF(ISNUMBER('Step 3 (MTP) - Plan and prior'!N23),'Step 3 (MTP) - Plan and prior'!N23,"")</f>
        <v/>
      </c>
      <c r="O41" s="59"/>
      <c r="P41" s="59"/>
      <c r="Q41" s="59"/>
      <c r="R41" s="59"/>
      <c r="S41" s="59"/>
      <c r="T41" s="59"/>
      <c r="U41" s="59"/>
      <c r="V41" s="59"/>
      <c r="W41" s="59"/>
    </row>
    <row r="42" spans="2:23" customFormat="1" x14ac:dyDescent="0.4">
      <c r="B42" s="56" t="s">
        <v>9</v>
      </c>
      <c r="C42" s="15"/>
      <c r="D42" s="59">
        <f>IF(ISNUMBER('Step 3 (MTP) - Plan and prior'!D24),'Step 3 (MTP) - Plan and prior'!D24,"")</f>
        <v>6.6</v>
      </c>
      <c r="E42" s="59">
        <f>IF(ISNUMBER('Step 3 (MTP) - Plan and prior'!E24),'Step 3 (MTP) - Plan and prior'!E24,"")</f>
        <v>5.3</v>
      </c>
      <c r="F42" s="59">
        <f>IF(ISNUMBER('Step 3 (MTP) - Plan and prior'!F24),'Step 3 (MTP) - Plan and prior'!F24,"")</f>
        <v>4.5</v>
      </c>
      <c r="G42" s="59">
        <f>IF(ISNUMBER('Step 3 (MTP) - Plan and prior'!G24),'Step 3 (MTP) - Plan and prior'!G24,"")</f>
        <v>4.3</v>
      </c>
      <c r="H42" s="59">
        <f>IF(ISNUMBER('Step 3 (MTP) - Plan and prior'!H24),'Step 3 (MTP) - Plan and prior'!H24,"")</f>
        <v>3.8</v>
      </c>
      <c r="I42" s="59">
        <f>IF(ISNUMBER('Step 3 (MTP) - Plan and prior'!I24),'Step 3 (MTP) - Plan and prior'!I24,"")</f>
        <v>3.7</v>
      </c>
      <c r="J42" s="59" t="str">
        <f>IF(ISNUMBER('Step 3 (MTP) - Plan and prior'!J24),'Step 3 (MTP) - Plan and prior'!J24,"")</f>
        <v/>
      </c>
      <c r="K42" s="59" t="str">
        <f>IF(ISNUMBER('Step 3 (MTP) - Plan and prior'!K24),'Step 3 (MTP) - Plan and prior'!K24,"")</f>
        <v/>
      </c>
      <c r="L42" s="59" t="str">
        <f>IF(ISNUMBER('Step 3 (MTP) - Plan and prior'!L24),'Step 3 (MTP) - Plan and prior'!L24,"")</f>
        <v/>
      </c>
      <c r="M42" s="59" t="str">
        <f>IF(ISNUMBER('Step 3 (MTP) - Plan and prior'!M24),'Step 3 (MTP) - Plan and prior'!M24,"")</f>
        <v/>
      </c>
      <c r="N42" s="59" t="str">
        <f>IF(ISNUMBER('Step 3 (MTP) - Plan and prior'!N24),'Step 3 (MTP) - Plan and prior'!N24,"")</f>
        <v/>
      </c>
      <c r="O42" s="59"/>
      <c r="P42" s="59"/>
      <c r="Q42" s="59"/>
      <c r="R42" s="59"/>
      <c r="S42" s="59"/>
      <c r="T42" s="59"/>
      <c r="U42" s="59"/>
      <c r="V42" s="59"/>
      <c r="W42" s="59"/>
    </row>
    <row r="43" spans="2:23" customFormat="1" x14ac:dyDescent="0.4">
      <c r="B43" s="56" t="s">
        <v>275</v>
      </c>
      <c r="C43" s="15"/>
      <c r="D43" s="45">
        <f>IF(ISNUMBER('Step 3 (MTP) - Plan and prior'!D25),'Step 3 (MTP) - Plan and prior'!D25,"")</f>
        <v>0.6</v>
      </c>
      <c r="E43" s="45">
        <f>IF(ISNUMBER('Step 3 (MTP) - Plan and prior'!E25),'Step 3 (MTP) - Plan and prior'!E25,"")</f>
        <v>1.2</v>
      </c>
      <c r="F43" s="45">
        <f>IF(ISNUMBER('Step 3 (MTP) - Plan and prior'!F25),'Step 3 (MTP) - Plan and prior'!F25,"")</f>
        <v>2.5</v>
      </c>
      <c r="G43" s="45">
        <f>IF(ISNUMBER('Step 3 (MTP) - Plan and prior'!G25),'Step 3 (MTP) - Plan and prior'!G25,"")</f>
        <v>2.4</v>
      </c>
      <c r="H43" s="45">
        <f>IF(ISNUMBER('Step 3 (MTP) - Plan and prior'!H25),'Step 3 (MTP) - Plan and prior'!H25,"")</f>
        <v>1.7</v>
      </c>
      <c r="I43" s="45">
        <f>IF(ISNUMBER('Step 3 (MTP) - Plan and prior'!I25),'Step 3 (MTP) - Plan and prior'!I25,"")</f>
        <v>1.5</v>
      </c>
      <c r="J43" s="45" t="str">
        <f>IF(ISNUMBER('Step 3 (MTP) - Plan and prior'!J25),'Step 3 (MTP) - Plan and prior'!J25,"")</f>
        <v/>
      </c>
      <c r="K43" s="45" t="str">
        <f>IF(ISNUMBER('Step 3 (MTP) - Plan and prior'!K25),'Step 3 (MTP) - Plan and prior'!K25,"")</f>
        <v/>
      </c>
      <c r="L43" s="45" t="str">
        <f>IF(ISNUMBER('Step 3 (MTP) - Plan and prior'!L25),'Step 3 (MTP) - Plan and prior'!L25,"")</f>
        <v/>
      </c>
      <c r="M43" s="45" t="str">
        <f>IF(ISNUMBER('Step 3 (MTP) - Plan and prior'!M25),'Step 3 (MTP) - Plan and prior'!M25,"")</f>
        <v/>
      </c>
      <c r="N43" s="45" t="str">
        <f>IF(ISNUMBER('Step 3 (MTP) - Plan and prior'!N25),'Step 3 (MTP) - Plan and prior'!N25,"")</f>
        <v/>
      </c>
      <c r="O43" s="45"/>
      <c r="P43" s="45"/>
      <c r="Q43" s="45"/>
      <c r="R43" s="45"/>
      <c r="S43" s="45"/>
      <c r="T43" s="45"/>
      <c r="U43" s="45"/>
      <c r="V43" s="45"/>
      <c r="W43" s="45"/>
    </row>
    <row r="44" spans="2:23" customFormat="1" x14ac:dyDescent="0.4">
      <c r="B44" s="62" t="s">
        <v>89</v>
      </c>
      <c r="C44" s="15"/>
      <c r="D44" s="49">
        <f>IF(ISNUMBER('Step 3 (MTP) - Plan and prior'!D26),'Step 3 (MTP) - Plan and prior'!D26,"")</f>
        <v>0.3</v>
      </c>
      <c r="E44" s="49">
        <f>IF(ISNUMBER('Step 3 (MTP) - Plan and prior'!E26),'Step 3 (MTP) - Plan and prior'!E26,"")</f>
        <v>1.2</v>
      </c>
      <c r="F44" s="49">
        <f>IF(ISNUMBER('Step 3 (MTP) - Plan and prior'!F26),'Step 3 (MTP) - Plan and prior'!F26,"")</f>
        <v>1</v>
      </c>
      <c r="G44" s="49">
        <f>IF(ISNUMBER('Step 3 (MTP) - Plan and prior'!G26),'Step 3 (MTP) - Plan and prior'!G26,"")</f>
        <v>0.6</v>
      </c>
      <c r="H44" s="49">
        <f>IF(ISNUMBER('Step 3 (MTP) - Plan and prior'!H26),'Step 3 (MTP) - Plan and prior'!H26,"")</f>
        <v>0.3</v>
      </c>
      <c r="I44" s="49">
        <f>IF(ISNUMBER('Step 3 (MTP) - Plan and prior'!I26),'Step 3 (MTP) - Plan and prior'!I26,"")</f>
        <v>0.1</v>
      </c>
      <c r="J44" s="49" t="str">
        <f>IF(ISNUMBER('Step 3 (MTP) - Plan and prior'!J26),'Step 3 (MTP) - Plan and prior'!J26,"")</f>
        <v/>
      </c>
      <c r="K44" s="49" t="str">
        <f>IF(ISNUMBER('Step 3 (MTP) - Plan and prior'!K26),'Step 3 (MTP) - Plan and prior'!K26,"")</f>
        <v/>
      </c>
      <c r="L44" s="49" t="str">
        <f>IF(ISNUMBER('Step 3 (MTP) - Plan and prior'!L26),'Step 3 (MTP) - Plan and prior'!L26,"")</f>
        <v/>
      </c>
      <c r="M44" s="49" t="str">
        <f>IF(ISNUMBER('Step 3 (MTP) - Plan and prior'!M26),'Step 3 (MTP) - Plan and prior'!M26,"")</f>
        <v/>
      </c>
      <c r="N44" s="49" t="str">
        <f>IF(ISNUMBER('Step 3 (MTP) - Plan and prior'!N26),'Step 3 (MTP) - Plan and prior'!N26,"")</f>
        <v/>
      </c>
      <c r="O44" s="49"/>
      <c r="P44" s="49"/>
      <c r="Q44" s="49"/>
      <c r="R44" s="49"/>
      <c r="S44" s="49"/>
      <c r="T44" s="49"/>
      <c r="U44" s="49"/>
      <c r="V44" s="49"/>
      <c r="W44" s="49"/>
    </row>
    <row r="45" spans="2:23" customFormat="1" x14ac:dyDescent="0.4">
      <c r="B45" s="56"/>
      <c r="C45" s="117"/>
      <c r="D45" s="49"/>
      <c r="E45" s="49"/>
      <c r="F45" s="49"/>
      <c r="G45" s="49"/>
      <c r="H45" s="49"/>
      <c r="I45" s="49"/>
      <c r="J45" s="49"/>
      <c r="K45" s="49"/>
      <c r="L45" s="49"/>
      <c r="M45" s="49"/>
      <c r="N45" s="49"/>
      <c r="O45" s="49"/>
      <c r="P45" s="49"/>
      <c r="Q45" s="49"/>
      <c r="R45" s="49"/>
      <c r="S45" s="49"/>
      <c r="T45" s="49"/>
      <c r="U45" s="49"/>
      <c r="V45" s="49"/>
      <c r="W45" s="49"/>
    </row>
    <row r="46" spans="2:23" x14ac:dyDescent="0.4">
      <c r="B46" s="40" t="s">
        <v>251</v>
      </c>
      <c r="D46" s="45" cm="1">
        <f t="array" ref="D46:S46">_xlfn.SEQUENCE(1, AdjustmentPeriodEnd+10-MTP_BaseYear+1, MTP_BaseYear)</f>
        <v>2023</v>
      </c>
      <c r="E46" s="61">
        <v>2024</v>
      </c>
      <c r="F46" s="61">
        <v>2025</v>
      </c>
      <c r="G46" s="61">
        <v>2026</v>
      </c>
      <c r="H46" s="61">
        <v>2027</v>
      </c>
      <c r="I46" s="61">
        <v>2028</v>
      </c>
      <c r="J46" s="61">
        <v>2029</v>
      </c>
      <c r="K46" s="61">
        <v>2030</v>
      </c>
      <c r="L46" s="61">
        <v>2031</v>
      </c>
      <c r="M46" s="61">
        <v>2032</v>
      </c>
      <c r="N46" s="61">
        <v>2033</v>
      </c>
      <c r="O46" s="61">
        <v>2034</v>
      </c>
      <c r="P46" s="61">
        <v>2035</v>
      </c>
      <c r="Q46" s="61">
        <v>2036</v>
      </c>
      <c r="R46" s="61">
        <v>2037</v>
      </c>
      <c r="S46" s="61">
        <v>2038</v>
      </c>
      <c r="T46" s="61"/>
      <c r="U46" s="61"/>
      <c r="V46" s="61"/>
      <c r="W46" s="61"/>
    </row>
    <row r="47" spans="2:23" x14ac:dyDescent="0.4">
      <c r="B47" s="42" t="s">
        <v>274</v>
      </c>
      <c r="C47" s="20"/>
      <c r="D47" s="48" t="str">
        <f t="shared" ref="D47:W47" si="0">IF(AND(D$46&gt;=MTP_YearT-1, D$46&lt;=AdjustmentPeriodEnd), IF(D$46=MTP_YearT-1, "T-1", IF(D$46=MTP_YearT, "T", "T+"&amp;(D$46-MTP_YearT))), "")</f>
        <v>T-1</v>
      </c>
      <c r="E47" s="48" t="str">
        <f t="shared" si="0"/>
        <v>T</v>
      </c>
      <c r="F47" s="48" t="str">
        <f t="shared" si="0"/>
        <v>T+1</v>
      </c>
      <c r="G47" s="48" t="str">
        <f t="shared" si="0"/>
        <v>T+2</v>
      </c>
      <c r="H47" s="48" t="str">
        <f t="shared" si="0"/>
        <v>T+3</v>
      </c>
      <c r="I47" s="48" t="str">
        <f t="shared" si="0"/>
        <v>T+4</v>
      </c>
      <c r="J47" s="48" t="str">
        <f t="shared" si="0"/>
        <v/>
      </c>
      <c r="K47" s="48" t="str">
        <f t="shared" si="0"/>
        <v/>
      </c>
      <c r="L47" s="48" t="str">
        <f t="shared" si="0"/>
        <v/>
      </c>
      <c r="M47" s="48" t="str">
        <f t="shared" si="0"/>
        <v/>
      </c>
      <c r="N47" s="48" t="str">
        <f t="shared" si="0"/>
        <v/>
      </c>
      <c r="O47" s="48" t="str">
        <f t="shared" si="0"/>
        <v/>
      </c>
      <c r="P47" s="48" t="str">
        <f t="shared" si="0"/>
        <v/>
      </c>
      <c r="Q47" s="48" t="str">
        <f t="shared" si="0"/>
        <v/>
      </c>
      <c r="R47" s="48" t="str">
        <f t="shared" si="0"/>
        <v/>
      </c>
      <c r="S47" s="48" t="str">
        <f t="shared" si="0"/>
        <v/>
      </c>
      <c r="T47" s="48" t="str">
        <f t="shared" si="0"/>
        <v/>
      </c>
      <c r="U47" s="48" t="str">
        <f t="shared" si="0"/>
        <v/>
      </c>
      <c r="V47" s="48" t="str">
        <f t="shared" si="0"/>
        <v/>
      </c>
      <c r="W47" s="48" t="str">
        <f t="shared" si="0"/>
        <v/>
      </c>
    </row>
    <row r="48" spans="2:23" customFormat="1" x14ac:dyDescent="0.4">
      <c r="B48" s="56" t="str">
        <f>'Step 3 (MTP) - Plan and prior'!B54</f>
        <v>Main budgetary variables (4-year adjustment period)</v>
      </c>
      <c r="C48" s="15"/>
    </row>
    <row r="49" spans="2:24" customFormat="1" x14ac:dyDescent="0.4">
      <c r="B49" s="47" t="s">
        <v>311</v>
      </c>
      <c r="C49" s="15"/>
      <c r="D49" s="69" t="str">
        <f>IF(ISNUMBER('Step 3 (MTP) - Plan and prior'!D34),'Step 3 (MTP) - Plan and prior'!D34,"")</f>
        <v/>
      </c>
      <c r="E49" s="69" t="str">
        <f>IF(ISNUMBER('Step 3 (MTP) - Plan and prior'!E34),'Step 3 (MTP) - Plan and prior'!E34,"")</f>
        <v/>
      </c>
      <c r="F49" s="69" t="str">
        <f>IF(ISNUMBER('Step 3 (MTP) - Plan and prior'!F34),'Step 3 (MTP) - Plan and prior'!F34,"")</f>
        <v/>
      </c>
      <c r="G49" s="69" t="str">
        <f>IF(ISNUMBER('Step 3 (MTP) - Plan and prior'!G34),'Step 3 (MTP) - Plan and prior'!G34,"")</f>
        <v/>
      </c>
      <c r="H49" s="69" t="str">
        <f>IF(ISNUMBER('Step 3 (MTP) - Plan and prior'!H34),'Step 3 (MTP) - Plan and prior'!H34,"")</f>
        <v/>
      </c>
      <c r="I49" s="69" t="str">
        <f>IF(ISNUMBER('Step 3 (MTP) - Plan and prior'!I34),'Step 3 (MTP) - Plan and prior'!I34,"")</f>
        <v/>
      </c>
      <c r="J49" s="69" t="str">
        <f>IF(ISNUMBER('Step 3 (MTP) - Plan and prior'!J34),'Step 3 (MTP) - Plan and prior'!J34,"")</f>
        <v/>
      </c>
      <c r="K49" s="69" t="str">
        <f>IF(ISNUMBER('Step 3 (MTP) - Plan and prior'!K34),'Step 3 (MTP) - Plan and prior'!K34,"")</f>
        <v/>
      </c>
      <c r="L49" s="69" t="str">
        <f>IF(ISNUMBER('Step 3 (MTP) - Plan and prior'!L34),'Step 3 (MTP) - Plan and prior'!L34,"")</f>
        <v/>
      </c>
      <c r="M49" s="69" t="str">
        <f>IF(ISNUMBER('Step 3 (MTP) - Plan and prior'!M34),'Step 3 (MTP) - Plan and prior'!M34,"")</f>
        <v/>
      </c>
      <c r="N49" s="69" t="str">
        <f>IF(ISNUMBER('Step 3 (MTP) - Plan and prior'!N34),'Step 3 (MTP) - Plan and prior'!N34,"")</f>
        <v/>
      </c>
      <c r="O49" s="69" t="str">
        <f>IF(ISNUMBER('Step 3 (MTP) - Plan and prior'!O34),'Step 3 (MTP) - Plan and prior'!O34,"")</f>
        <v/>
      </c>
      <c r="P49" s="69" t="str">
        <f>IF(ISNUMBER('Step 3 (MTP) - Plan and prior'!P34),'Step 3 (MTP) - Plan and prior'!P34,"")</f>
        <v/>
      </c>
      <c r="Q49" s="69" t="str">
        <f>IF(ISNUMBER('Step 3 (MTP) - Plan and prior'!Q34),'Step 3 (MTP) - Plan and prior'!Q34,"")</f>
        <v/>
      </c>
      <c r="R49" s="69" t="str">
        <f>IF(ISNUMBER('Step 3 (MTP) - Plan and prior'!R34),'Step 3 (MTP) - Plan and prior'!R34,"")</f>
        <v/>
      </c>
      <c r="S49" s="69" t="str">
        <f>IF(ISNUMBER('Step 3 (MTP) - Plan and prior'!S34),'Step 3 (MTP) - Plan and prior'!S34,"")</f>
        <v/>
      </c>
      <c r="T49" s="69" t="str">
        <f>IF(ISNUMBER('Step 3 (MTP) - Plan and prior'!T34),'Step 3 (MTP) - Plan and prior'!T34,"")</f>
        <v/>
      </c>
      <c r="U49" s="69" t="str">
        <f>IF(ISNUMBER('Step 3 (MTP) - Plan and prior'!U34),'Step 3 (MTP) - Plan and prior'!U34,"")</f>
        <v/>
      </c>
      <c r="V49" s="69" t="str">
        <f>IF(ISNUMBER('Step 3 (MTP) - Plan and prior'!V34),'Step 3 (MTP) - Plan and prior'!V34,"")</f>
        <v/>
      </c>
      <c r="W49" s="69" t="str">
        <f>IF(ISNUMBER('Step 3 (MTP) - Plan and prior'!W34),'Step 3 (MTP) - Plan and prior'!W34,"")</f>
        <v/>
      </c>
    </row>
    <row r="50" spans="2:24" customFormat="1" x14ac:dyDescent="0.4">
      <c r="B50" s="47" t="s">
        <v>206</v>
      </c>
      <c r="C50" s="15"/>
      <c r="D50" s="69">
        <f>IF(ISNUMBER('Step 3 (MTP) - Plan and prior'!D35),'Step 3 (MTP) - Plan and prior'!D35,"")</f>
        <v>-1.6</v>
      </c>
      <c r="E50" s="69">
        <f>IF(ISNUMBER('Step 3 (MTP) - Plan and prior'!E35),'Step 3 (MTP) - Plan and prior'!E35,"")</f>
        <v>-1</v>
      </c>
      <c r="F50" s="69">
        <f>IF(ISNUMBER('Step 3 (MTP) - Plan and prior'!F35),'Step 3 (MTP) - Plan and prior'!F35,"")</f>
        <v>-0.6</v>
      </c>
      <c r="G50" s="69">
        <f>IF(ISNUMBER('Step 3 (MTP) - Plan and prior'!G35),'Step 3 (MTP) - Plan and prior'!G35,"")</f>
        <v>-0.8</v>
      </c>
      <c r="H50" s="69">
        <f>IF(ISNUMBER('Step 3 (MTP) - Plan and prior'!H35),'Step 3 (MTP) - Plan and prior'!H35,"")</f>
        <v>-1.1000000000000001</v>
      </c>
      <c r="I50" s="69">
        <f>IF(ISNUMBER('Step 3 (MTP) - Plan and prior'!I35),'Step 3 (MTP) - Plan and prior'!I35,"")</f>
        <v>-1.2</v>
      </c>
      <c r="J50" s="69">
        <f>IF(ISNUMBER('Step 3 (MTP) - Plan and prior'!J35),'Step 3 (MTP) - Plan and prior'!J35,"")</f>
        <v>-1.4</v>
      </c>
      <c r="K50" s="69">
        <f>IF(ISNUMBER('Step 3 (MTP) - Plan and prior'!K35),'Step 3 (MTP) - Plan and prior'!K35,"")</f>
        <v>-1.5</v>
      </c>
      <c r="L50" s="69">
        <f>IF(ISNUMBER('Step 3 (MTP) - Plan and prior'!L35),'Step 3 (MTP) - Plan and prior'!L35,"")</f>
        <v>-1.6</v>
      </c>
      <c r="M50" s="69">
        <f>IF(ISNUMBER('Step 3 (MTP) - Plan and prior'!M35),'Step 3 (MTP) - Plan and prior'!M35,"")</f>
        <v>-1.7</v>
      </c>
      <c r="N50" s="69">
        <f>IF(ISNUMBER('Step 3 (MTP) - Plan and prior'!N35),'Step 3 (MTP) - Plan and prior'!N35,"")</f>
        <v>-1.9</v>
      </c>
      <c r="O50" s="69">
        <f>IF(ISNUMBER('Step 3 (MTP) - Plan and prior'!O35),'Step 3 (MTP) - Plan and prior'!O35,"")</f>
        <v>-2.2000000000000002</v>
      </c>
      <c r="P50" s="69">
        <f>IF(ISNUMBER('Step 3 (MTP) - Plan and prior'!P35),'Step 3 (MTP) - Plan and prior'!P35,"")</f>
        <v>-2.4</v>
      </c>
      <c r="Q50" s="69">
        <f>IF(ISNUMBER('Step 3 (MTP) - Plan and prior'!Q35),'Step 3 (MTP) - Plan and prior'!Q35,"")</f>
        <v>-2.2000000000000002</v>
      </c>
      <c r="R50" s="69">
        <f>IF(ISNUMBER('Step 3 (MTP) - Plan and prior'!R35),'Step 3 (MTP) - Plan and prior'!R35,"")</f>
        <v>-2.4</v>
      </c>
      <c r="S50" s="69">
        <f>IF(ISNUMBER('Step 3 (MTP) - Plan and prior'!S35),'Step 3 (MTP) - Plan and prior'!S35,"")</f>
        <v>-2.5</v>
      </c>
      <c r="T50" s="69" t="str">
        <f>IF(ISNUMBER('Step 3 (MTP) - Plan and prior'!T35),'Step 3 (MTP) - Plan and prior'!T35,"")</f>
        <v/>
      </c>
      <c r="U50" s="69" t="str">
        <f>IF(ISNUMBER('Step 3 (MTP) - Plan and prior'!U35),'Step 3 (MTP) - Plan and prior'!U35,"")</f>
        <v/>
      </c>
      <c r="V50" s="69" t="str">
        <f>IF(ISNUMBER('Step 3 (MTP) - Plan and prior'!V35),'Step 3 (MTP) - Plan and prior'!V35,"")</f>
        <v/>
      </c>
      <c r="W50" s="69" t="str">
        <f>IF(ISNUMBER('Step 3 (MTP) - Plan and prior'!W35),'Step 3 (MTP) - Plan and prior'!W35,"")</f>
        <v/>
      </c>
    </row>
    <row r="51" spans="2:24" customFormat="1" x14ac:dyDescent="0.4">
      <c r="B51" s="47" t="s">
        <v>0</v>
      </c>
      <c r="C51" s="15"/>
      <c r="D51" s="69" t="str">
        <f>IF(ISNUMBER('Step 3 (MTP) - Plan and prior'!D36),'Step 3 (MTP) - Plan and prior'!D36,"")</f>
        <v/>
      </c>
      <c r="E51" s="69" t="str">
        <f>IF(ISNUMBER('Step 3 (MTP) - Plan and prior'!E36),'Step 3 (MTP) - Plan and prior'!E36,"")</f>
        <v/>
      </c>
      <c r="F51" s="69" t="str">
        <f>IF(ISNUMBER('Step 3 (MTP) - Plan and prior'!F36),'Step 3 (MTP) - Plan and prior'!F36,"")</f>
        <v/>
      </c>
      <c r="G51" s="69" t="str">
        <f>IF(ISNUMBER('Step 3 (MTP) - Plan and prior'!G36),'Step 3 (MTP) - Plan and prior'!G36,"")</f>
        <v/>
      </c>
      <c r="H51" s="69" t="str">
        <f>IF(ISNUMBER('Step 3 (MTP) - Plan and prior'!H36),'Step 3 (MTP) - Plan and prior'!H36,"")</f>
        <v/>
      </c>
      <c r="I51" s="69" t="str">
        <f>IF(ISNUMBER('Step 3 (MTP) - Plan and prior'!I36),'Step 3 (MTP) - Plan and prior'!I36,"")</f>
        <v/>
      </c>
      <c r="J51" s="69" t="str">
        <f>IF(ISNUMBER('Step 3 (MTP) - Plan and prior'!J36),'Step 3 (MTP) - Plan and prior'!J36,"")</f>
        <v/>
      </c>
      <c r="K51" s="69" t="str">
        <f>IF(ISNUMBER('Step 3 (MTP) - Plan and prior'!K36),'Step 3 (MTP) - Plan and prior'!K36,"")</f>
        <v/>
      </c>
      <c r="L51" s="69" t="str">
        <f>IF(ISNUMBER('Step 3 (MTP) - Plan and prior'!L36),'Step 3 (MTP) - Plan and prior'!L36,"")</f>
        <v/>
      </c>
      <c r="M51" s="69" t="str">
        <f>IF(ISNUMBER('Step 3 (MTP) - Plan and prior'!M36),'Step 3 (MTP) - Plan and prior'!M36,"")</f>
        <v/>
      </c>
      <c r="N51" s="69" t="str">
        <f>IF(ISNUMBER('Step 3 (MTP) - Plan and prior'!N36),'Step 3 (MTP) - Plan and prior'!N36,"")</f>
        <v/>
      </c>
      <c r="O51" s="69" t="str">
        <f>IF(ISNUMBER('Step 3 (MTP) - Plan and prior'!O36),'Step 3 (MTP) - Plan and prior'!O36,"")</f>
        <v/>
      </c>
      <c r="P51" s="69" t="str">
        <f>IF(ISNUMBER('Step 3 (MTP) - Plan and prior'!P36),'Step 3 (MTP) - Plan and prior'!P36,"")</f>
        <v/>
      </c>
      <c r="Q51" s="69" t="str">
        <f>IF(ISNUMBER('Step 3 (MTP) - Plan and prior'!Q36),'Step 3 (MTP) - Plan and prior'!Q36,"")</f>
        <v/>
      </c>
      <c r="R51" s="69" t="str">
        <f>IF(ISNUMBER('Step 3 (MTP) - Plan and prior'!R36),'Step 3 (MTP) - Plan and prior'!R36,"")</f>
        <v/>
      </c>
      <c r="S51" s="69" t="str">
        <f>IF(ISNUMBER('Step 3 (MTP) - Plan and prior'!S36),'Step 3 (MTP) - Plan and prior'!S36,"")</f>
        <v/>
      </c>
      <c r="T51" s="69" t="str">
        <f>IF(ISNUMBER('Step 3 (MTP) - Plan and prior'!T36),'Step 3 (MTP) - Plan and prior'!T36,"")</f>
        <v/>
      </c>
      <c r="U51" s="69" t="str">
        <f>IF(ISNUMBER('Step 3 (MTP) - Plan and prior'!U36),'Step 3 (MTP) - Plan and prior'!U36,"")</f>
        <v/>
      </c>
      <c r="V51" s="69" t="str">
        <f>IF(ISNUMBER('Step 3 (MTP) - Plan and prior'!V36),'Step 3 (MTP) - Plan and prior'!V36,"")</f>
        <v/>
      </c>
      <c r="W51" s="69" t="str">
        <f>IF(ISNUMBER('Step 3 (MTP) - Plan and prior'!W36),'Step 3 (MTP) - Plan and prior'!W36,"")</f>
        <v/>
      </c>
    </row>
    <row r="52" spans="2:24" customFormat="1" x14ac:dyDescent="0.4">
      <c r="B52" s="47" t="s">
        <v>3</v>
      </c>
      <c r="C52" s="15"/>
      <c r="D52" s="69">
        <f>IF(ISNUMBER('Step 3 (MTP) - Plan and prior'!D37),'Step 3 (MTP) - Plan and prior'!D37,"")</f>
        <v>1.9</v>
      </c>
      <c r="E52" s="69">
        <f>IF(ISNUMBER('Step 3 (MTP) - Plan and prior'!E37),'Step 3 (MTP) - Plan and prior'!E37,"")</f>
        <v>1.9</v>
      </c>
      <c r="F52" s="69">
        <f>IF(ISNUMBER('Step 3 (MTP) - Plan and prior'!F37),'Step 3 (MTP) - Plan and prior'!F37,"")</f>
        <v>2</v>
      </c>
      <c r="G52" s="69">
        <f>IF(ISNUMBER('Step 3 (MTP) - Plan and prior'!G37),'Step 3 (MTP) - Plan and prior'!G37,"")</f>
        <v>2.1</v>
      </c>
      <c r="H52" s="69">
        <f>IF(ISNUMBER('Step 3 (MTP) - Plan and prior'!H37),'Step 3 (MTP) - Plan and prior'!H37,"")</f>
        <v>2.2000000000000002</v>
      </c>
      <c r="I52" s="69">
        <f>IF(ISNUMBER('Step 3 (MTP) - Plan and prior'!I37),'Step 3 (MTP) - Plan and prior'!I37,"")</f>
        <v>2.2999999999999998</v>
      </c>
      <c r="J52" s="69">
        <f>IF(ISNUMBER('Step 3 (MTP) - Plan and prior'!J37),'Step 3 (MTP) - Plan and prior'!J37,"")</f>
        <v>2.2999999999999998</v>
      </c>
      <c r="K52" s="69">
        <f>IF(ISNUMBER('Step 3 (MTP) - Plan and prior'!K37),'Step 3 (MTP) - Plan and prior'!K37,"")</f>
        <v>2.2999999999999998</v>
      </c>
      <c r="L52" s="69">
        <f>IF(ISNUMBER('Step 3 (MTP) - Plan and prior'!L37),'Step 3 (MTP) - Plan and prior'!L37,"")</f>
        <v>2.2999999999999998</v>
      </c>
      <c r="M52" s="69">
        <f>IF(ISNUMBER('Step 3 (MTP) - Plan and prior'!M37),'Step 3 (MTP) - Plan and prior'!M37,"")</f>
        <v>2.2999999999999998</v>
      </c>
      <c r="N52" s="69">
        <f>IF(ISNUMBER('Step 3 (MTP) - Plan and prior'!N37),'Step 3 (MTP) - Plan and prior'!N37,"")</f>
        <v>2.2999999999999998</v>
      </c>
      <c r="O52" s="69">
        <f>IF(ISNUMBER('Step 3 (MTP) - Plan and prior'!O37),'Step 3 (MTP) - Plan and prior'!O37,"")</f>
        <v>2.2999999999999998</v>
      </c>
      <c r="P52" s="69">
        <f>IF(ISNUMBER('Step 3 (MTP) - Plan and prior'!P37),'Step 3 (MTP) - Plan and prior'!P37,"")</f>
        <v>2.2999999999999998</v>
      </c>
      <c r="Q52" s="69">
        <f>IF(ISNUMBER('Step 3 (MTP) - Plan and prior'!Q37),'Step 3 (MTP) - Plan and prior'!Q37,"")</f>
        <v>2.2999999999999998</v>
      </c>
      <c r="R52" s="69">
        <f>IF(ISNUMBER('Step 3 (MTP) - Plan and prior'!R37),'Step 3 (MTP) - Plan and prior'!R37,"")</f>
        <v>2.2999999999999998</v>
      </c>
      <c r="S52" s="69">
        <f>IF(ISNUMBER('Step 3 (MTP) - Plan and prior'!S37),'Step 3 (MTP) - Plan and prior'!S37,"")</f>
        <v>2.2999999999999998</v>
      </c>
      <c r="T52" s="69" t="str">
        <f>IF(ISNUMBER('Step 3 (MTP) - Plan and prior'!T37),'Step 3 (MTP) - Plan and prior'!T37,"")</f>
        <v/>
      </c>
      <c r="U52" s="69" t="str">
        <f>IF(ISNUMBER('Step 3 (MTP) - Plan and prior'!U37),'Step 3 (MTP) - Plan and prior'!U37,"")</f>
        <v/>
      </c>
      <c r="V52" s="69" t="str">
        <f>IF(ISNUMBER('Step 3 (MTP) - Plan and prior'!V37),'Step 3 (MTP) - Plan and prior'!V37,"")</f>
        <v/>
      </c>
      <c r="W52" s="69" t="str">
        <f>IF(ISNUMBER('Step 3 (MTP) - Plan and prior'!W37),'Step 3 (MTP) - Plan and prior'!W37,"")</f>
        <v/>
      </c>
    </row>
    <row r="53" spans="2:24" x14ac:dyDescent="0.4">
      <c r="B53" s="47" t="s">
        <v>1</v>
      </c>
      <c r="D53" s="69">
        <f>IF(ISNUMBER('Step 3 (MTP) - Plan and prior'!D38),'Step 3 (MTP) - Plan and prior'!D38,"")</f>
        <v>161.9</v>
      </c>
      <c r="E53" s="69">
        <f>IF(ISNUMBER('Step 3 (MTP) - Plan and prior'!E38),'Step 3 (MTP) - Plan and prior'!E38,"")</f>
        <v>153.69999999999999</v>
      </c>
      <c r="F53" s="69">
        <f>IF(ISNUMBER('Step 3 (MTP) - Plan and prior'!F38),'Step 3 (MTP) - Plan and prior'!F38,"")</f>
        <v>149.1</v>
      </c>
      <c r="G53" s="69">
        <f>IF(ISNUMBER('Step 3 (MTP) - Plan and prior'!G38),'Step 3 (MTP) - Plan and prior'!G38,"")</f>
        <v>143.1</v>
      </c>
      <c r="H53" s="69">
        <f>IF(ISNUMBER('Step 3 (MTP) - Plan and prior'!H38),'Step 3 (MTP) - Plan and prior'!H38,"")</f>
        <v>138</v>
      </c>
      <c r="I53" s="69">
        <f>IF(ISNUMBER('Step 3 (MTP) - Plan and prior'!I38),'Step 3 (MTP) - Plan and prior'!I38,"")</f>
        <v>133.4</v>
      </c>
      <c r="J53" s="69">
        <f>IF(ISNUMBER('Step 3 (MTP) - Plan and prior'!J38),'Step 3 (MTP) - Plan and prior'!J38,"")</f>
        <v>130.1</v>
      </c>
      <c r="K53" s="69">
        <f>IF(ISNUMBER('Step 3 (MTP) - Plan and prior'!K38),'Step 3 (MTP) - Plan and prior'!K38,"")</f>
        <v>127.1</v>
      </c>
      <c r="L53" s="69">
        <f>IF(ISNUMBER('Step 3 (MTP) - Plan and prior'!L38),'Step 3 (MTP) - Plan and prior'!L38,"")</f>
        <v>124.3</v>
      </c>
      <c r="M53" s="69">
        <f>IF(ISNUMBER('Step 3 (MTP) - Plan and prior'!M38),'Step 3 (MTP) - Plan and prior'!M38,"")</f>
        <v>121.7</v>
      </c>
      <c r="N53" s="69">
        <f>IF(ISNUMBER('Step 3 (MTP) - Plan and prior'!N38),'Step 3 (MTP) - Plan and prior'!N38,"")</f>
        <v>120.6</v>
      </c>
      <c r="O53" s="69">
        <f>IF(ISNUMBER('Step 3 (MTP) - Plan and prior'!O38),'Step 3 (MTP) - Plan and prior'!O38,"")</f>
        <v>119.6</v>
      </c>
      <c r="P53" s="69">
        <f>IF(ISNUMBER('Step 3 (MTP) - Plan and prior'!P38),'Step 3 (MTP) - Plan and prior'!P38,"")</f>
        <v>118.4</v>
      </c>
      <c r="Q53" s="69">
        <f>IF(ISNUMBER('Step 3 (MTP) - Plan and prior'!Q38),'Step 3 (MTP) - Plan and prior'!Q38,"")</f>
        <v>117.1</v>
      </c>
      <c r="R53" s="69">
        <f>IF(ISNUMBER('Step 3 (MTP) - Plan and prior'!R38),'Step 3 (MTP) - Plan and prior'!R38,"")</f>
        <v>115.9</v>
      </c>
      <c r="S53" s="69">
        <f>IF(ISNUMBER('Step 3 (MTP) - Plan and prior'!S38),'Step 3 (MTP) - Plan and prior'!S38,"")</f>
        <v>114.9</v>
      </c>
      <c r="T53" s="69" t="str">
        <f>IF(ISNUMBER('Step 3 (MTP) - Plan and prior'!T38),'Step 3 (MTP) - Plan and prior'!T38,"")</f>
        <v/>
      </c>
      <c r="U53" s="69" t="str">
        <f>IF(ISNUMBER('Step 3 (MTP) - Plan and prior'!U38),'Step 3 (MTP) - Plan and prior'!U38,"")</f>
        <v/>
      </c>
      <c r="V53" s="69" t="str">
        <f>IF(ISNUMBER('Step 3 (MTP) - Plan and prior'!V38),'Step 3 (MTP) - Plan and prior'!V38,"")</f>
        <v/>
      </c>
      <c r="W53" s="69" t="str">
        <f>IF(ISNUMBER('Step 3 (MTP) - Plan and prior'!W38),'Step 3 (MTP) - Plan and prior'!W38,"")</f>
        <v/>
      </c>
      <c r="X53"/>
    </row>
    <row r="54" spans="2:24" customFormat="1" x14ac:dyDescent="0.4">
      <c r="B54" s="56" t="s">
        <v>315</v>
      </c>
      <c r="C54" s="15"/>
      <c r="D54" s="49"/>
      <c r="E54" s="49"/>
      <c r="F54" s="49"/>
      <c r="G54" s="49"/>
      <c r="H54" s="49"/>
      <c r="I54" s="49"/>
      <c r="J54" s="49"/>
      <c r="K54" s="49"/>
      <c r="L54" s="49"/>
      <c r="M54" s="49"/>
      <c r="N54" s="49"/>
      <c r="O54" s="49"/>
      <c r="P54" s="49"/>
      <c r="Q54" s="49"/>
      <c r="R54" s="49"/>
      <c r="S54" s="49"/>
      <c r="T54" s="49"/>
      <c r="U54" s="49"/>
      <c r="V54" s="49"/>
      <c r="W54" s="49"/>
    </row>
    <row r="55" spans="2:24" x14ac:dyDescent="0.4">
      <c r="B55" s="47" t="s">
        <v>285</v>
      </c>
      <c r="D55" s="69" t="str">
        <f>IF(ISNUMBER('Step 3 (MTP) - Plan and prior'!#REF!),'Step 3 (MTP) - Plan and prior'!#REF!,"")</f>
        <v/>
      </c>
      <c r="E55" s="69" t="str">
        <f>IF(ISNUMBER('Step 3 (MTP) - Plan and prior'!#REF!),'Step 3 (MTP) - Plan and prior'!#REF!,"")</f>
        <v/>
      </c>
      <c r="F55" s="69" t="str">
        <f>IF(ISNUMBER('Step 3 (MTP) - Plan and prior'!#REF!),'Step 3 (MTP) - Plan and prior'!#REF!,"")</f>
        <v/>
      </c>
      <c r="G55" s="69" t="str">
        <f>IF(ISNUMBER('Step 3 (MTP) - Plan and prior'!#REF!),'Step 3 (MTP) - Plan and prior'!#REF!,"")</f>
        <v/>
      </c>
      <c r="H55" s="69" t="str">
        <f>IF(ISNUMBER('Step 3 (MTP) - Plan and prior'!#REF!),'Step 3 (MTP) - Plan and prior'!#REF!,"")</f>
        <v/>
      </c>
      <c r="I55" s="69" t="str">
        <f>IF(ISNUMBER('Step 3 (MTP) - Plan and prior'!#REF!),'Step 3 (MTP) - Plan and prior'!#REF!,"")</f>
        <v/>
      </c>
      <c r="J55" s="69" t="str">
        <f>IF(ISNUMBER('Step 3 (MTP) - Plan and prior'!#REF!),'Step 3 (MTP) - Plan and prior'!#REF!,"")</f>
        <v/>
      </c>
      <c r="K55" s="69" t="str">
        <f>IF(ISNUMBER('Step 3 (MTP) - Plan and prior'!#REF!),'Step 3 (MTP) - Plan and prior'!#REF!,"")</f>
        <v/>
      </c>
      <c r="L55" s="69" t="str">
        <f>IF(ISNUMBER('Step 3 (MTP) - Plan and prior'!#REF!),'Step 3 (MTP) - Plan and prior'!#REF!,"")</f>
        <v/>
      </c>
      <c r="M55" s="69" t="str">
        <f>IF(ISNUMBER('Step 3 (MTP) - Plan and prior'!#REF!),'Step 3 (MTP) - Plan and prior'!#REF!,"")</f>
        <v/>
      </c>
      <c r="N55" s="69" t="str">
        <f>IF(ISNUMBER('Step 3 (MTP) - Plan and prior'!#REF!),'Step 3 (MTP) - Plan and prior'!#REF!,"")</f>
        <v/>
      </c>
      <c r="O55" s="69" t="str">
        <f>IF(ISNUMBER('Step 3 (MTP) - Plan and prior'!#REF!),'Step 3 (MTP) - Plan and prior'!#REF!,"")</f>
        <v/>
      </c>
      <c r="P55" s="69" t="str">
        <f>IF(ISNUMBER('Step 3 (MTP) - Plan and prior'!#REF!),'Step 3 (MTP) - Plan and prior'!#REF!,"")</f>
        <v/>
      </c>
      <c r="Q55" s="69" t="str">
        <f>IF(ISNUMBER('Step 3 (MTP) - Plan and prior'!#REF!),'Step 3 (MTP) - Plan and prior'!#REF!,"")</f>
        <v/>
      </c>
      <c r="R55" s="69" t="str">
        <f>IF(ISNUMBER('Step 3 (MTP) - Plan and prior'!#REF!),'Step 3 (MTP) - Plan and prior'!#REF!,"")</f>
        <v/>
      </c>
      <c r="S55" s="69" t="str">
        <f>IF(ISNUMBER('Step 3 (MTP) - Plan and prior'!#REF!),'Step 3 (MTP) - Plan and prior'!#REF!,"")</f>
        <v/>
      </c>
      <c r="T55" s="69" t="str">
        <f>IF(ISNUMBER('Step 3 (MTP) - Plan and prior'!T40),'Step 3 (MTP) - Plan and prior'!T40,"")</f>
        <v/>
      </c>
      <c r="U55" s="69" t="str">
        <f>IF(ISNUMBER('Step 3 (MTP) - Plan and prior'!U40),'Step 3 (MTP) - Plan and prior'!U40,"")</f>
        <v/>
      </c>
      <c r="V55" s="69" t="str">
        <f>IF(ISNUMBER('Step 3 (MTP) - Plan and prior'!V40),'Step 3 (MTP) - Plan and prior'!V40,"")</f>
        <v/>
      </c>
      <c r="W55" s="69" t="str">
        <f>IF(ISNUMBER('Step 3 (MTP) - Plan and prior'!W40),'Step 3 (MTP) - Plan and prior'!W40,"")</f>
        <v/>
      </c>
      <c r="X55"/>
    </row>
    <row r="56" spans="2:24" x14ac:dyDescent="0.4">
      <c r="B56" s="47" t="s">
        <v>286</v>
      </c>
      <c r="D56" s="69" t="str">
        <f>IF(ISNUMBER('Step 3 (MTP) - Plan and prior'!#REF!),'Step 3 (MTP) - Plan and prior'!#REF!,"")</f>
        <v/>
      </c>
      <c r="E56" s="69" t="str">
        <f>IF(ISNUMBER('Step 3 (MTP) - Plan and prior'!#REF!),'Step 3 (MTP) - Plan and prior'!#REF!,"")</f>
        <v/>
      </c>
      <c r="F56" s="69" t="str">
        <f>IF(ISNUMBER('Step 3 (MTP) - Plan and prior'!#REF!),'Step 3 (MTP) - Plan and prior'!#REF!,"")</f>
        <v/>
      </c>
      <c r="G56" s="69" t="str">
        <f>IF(ISNUMBER('Step 3 (MTP) - Plan and prior'!#REF!),'Step 3 (MTP) - Plan and prior'!#REF!,"")</f>
        <v/>
      </c>
      <c r="H56" s="69" t="str">
        <f>IF(ISNUMBER('Step 3 (MTP) - Plan and prior'!#REF!),'Step 3 (MTP) - Plan and prior'!#REF!,"")</f>
        <v/>
      </c>
      <c r="I56" s="69" t="str">
        <f>IF(ISNUMBER('Step 3 (MTP) - Plan and prior'!#REF!),'Step 3 (MTP) - Plan and prior'!#REF!,"")</f>
        <v/>
      </c>
      <c r="J56" s="69" t="str">
        <f>IF(ISNUMBER('Step 3 (MTP) - Plan and prior'!#REF!),'Step 3 (MTP) - Plan and prior'!#REF!,"")</f>
        <v/>
      </c>
      <c r="K56" s="69" t="str">
        <f>IF(ISNUMBER('Step 3 (MTP) - Plan and prior'!#REF!),'Step 3 (MTP) - Plan and prior'!#REF!,"")</f>
        <v/>
      </c>
      <c r="L56" s="69" t="str">
        <f>IF(ISNUMBER('Step 3 (MTP) - Plan and prior'!#REF!),'Step 3 (MTP) - Plan and prior'!#REF!,"")</f>
        <v/>
      </c>
      <c r="M56" s="69" t="str">
        <f>IF(ISNUMBER('Step 3 (MTP) - Plan and prior'!#REF!),'Step 3 (MTP) - Plan and prior'!#REF!,"")</f>
        <v/>
      </c>
      <c r="N56" s="69" t="str">
        <f>IF(ISNUMBER('Step 3 (MTP) - Plan and prior'!#REF!),'Step 3 (MTP) - Plan and prior'!#REF!,"")</f>
        <v/>
      </c>
      <c r="O56" s="69" t="str">
        <f>IF(ISNUMBER('Step 3 (MTP) - Plan and prior'!#REF!),'Step 3 (MTP) - Plan and prior'!#REF!,"")</f>
        <v/>
      </c>
      <c r="P56" s="69" t="str">
        <f>IF(ISNUMBER('Step 3 (MTP) - Plan and prior'!#REF!),'Step 3 (MTP) - Plan and prior'!#REF!,"")</f>
        <v/>
      </c>
      <c r="Q56" s="69" t="str">
        <f>IF(ISNUMBER('Step 3 (MTP) - Plan and prior'!#REF!),'Step 3 (MTP) - Plan and prior'!#REF!,"")</f>
        <v/>
      </c>
      <c r="R56" s="69" t="str">
        <f>IF(ISNUMBER('Step 3 (MTP) - Plan and prior'!#REF!),'Step 3 (MTP) - Plan and prior'!#REF!,"")</f>
        <v/>
      </c>
      <c r="S56" s="69" t="str">
        <f>IF(ISNUMBER('Step 3 (MTP) - Plan and prior'!#REF!),'Step 3 (MTP) - Plan and prior'!#REF!,"")</f>
        <v/>
      </c>
      <c r="T56" s="69" t="str">
        <f>IF(ISNUMBER('Step 3 (MTP) - Plan and prior'!T41),'Step 3 (MTP) - Plan and prior'!T41,"")</f>
        <v/>
      </c>
      <c r="U56" s="69" t="str">
        <f>IF(ISNUMBER('Step 3 (MTP) - Plan and prior'!U41),'Step 3 (MTP) - Plan and prior'!U41,"")</f>
        <v/>
      </c>
      <c r="V56" s="69" t="str">
        <f>IF(ISNUMBER('Step 3 (MTP) - Plan and prior'!V41),'Step 3 (MTP) - Plan and prior'!V41,"")</f>
        <v/>
      </c>
      <c r="W56" s="69" t="str">
        <f>IF(ISNUMBER('Step 3 (MTP) - Plan and prior'!W41),'Step 3 (MTP) - Plan and prior'!W41,"")</f>
        <v/>
      </c>
      <c r="X56"/>
    </row>
    <row r="57" spans="2:24" x14ac:dyDescent="0.4">
      <c r="B57" s="47" t="s">
        <v>287</v>
      </c>
      <c r="D57" s="69" t="str">
        <f>IF(ISNUMBER('Step 3 (MTP) - Plan and prior'!#REF!),'Step 3 (MTP) - Plan and prior'!#REF!,"")</f>
        <v/>
      </c>
      <c r="E57" s="69" t="str">
        <f>IF(ISNUMBER('Step 3 (MTP) - Plan and prior'!#REF!),'Step 3 (MTP) - Plan and prior'!#REF!,"")</f>
        <v/>
      </c>
      <c r="F57" s="69" t="str">
        <f>IF(ISNUMBER('Step 3 (MTP) - Plan and prior'!#REF!),'Step 3 (MTP) - Plan and prior'!#REF!,"")</f>
        <v/>
      </c>
      <c r="G57" s="69" t="str">
        <f>IF(ISNUMBER('Step 3 (MTP) - Plan and prior'!#REF!),'Step 3 (MTP) - Plan and prior'!#REF!,"")</f>
        <v/>
      </c>
      <c r="H57" s="69" t="str">
        <f>IF(ISNUMBER('Step 3 (MTP) - Plan and prior'!#REF!),'Step 3 (MTP) - Plan and prior'!#REF!,"")</f>
        <v/>
      </c>
      <c r="I57" s="69" t="str">
        <f>IF(ISNUMBER('Step 3 (MTP) - Plan and prior'!#REF!),'Step 3 (MTP) - Plan and prior'!#REF!,"")</f>
        <v/>
      </c>
      <c r="J57" s="69" t="str">
        <f>IF(ISNUMBER('Step 3 (MTP) - Plan and prior'!#REF!),'Step 3 (MTP) - Plan and prior'!#REF!,"")</f>
        <v/>
      </c>
      <c r="K57" s="69" t="str">
        <f>IF(ISNUMBER('Step 3 (MTP) - Plan and prior'!#REF!),'Step 3 (MTP) - Plan and prior'!#REF!,"")</f>
        <v/>
      </c>
      <c r="L57" s="69" t="str">
        <f>IF(ISNUMBER('Step 3 (MTP) - Plan and prior'!#REF!),'Step 3 (MTP) - Plan and prior'!#REF!,"")</f>
        <v/>
      </c>
      <c r="M57" s="69" t="str">
        <f>IF(ISNUMBER('Step 3 (MTP) - Plan and prior'!#REF!),'Step 3 (MTP) - Plan and prior'!#REF!,"")</f>
        <v/>
      </c>
      <c r="N57" s="69" t="str">
        <f>IF(ISNUMBER('Step 3 (MTP) - Plan and prior'!#REF!),'Step 3 (MTP) - Plan and prior'!#REF!,"")</f>
        <v/>
      </c>
      <c r="O57" s="69" t="str">
        <f>IF(ISNUMBER('Step 3 (MTP) - Plan and prior'!#REF!),'Step 3 (MTP) - Plan and prior'!#REF!,"")</f>
        <v/>
      </c>
      <c r="P57" s="69" t="str">
        <f>IF(ISNUMBER('Step 3 (MTP) - Plan and prior'!#REF!),'Step 3 (MTP) - Plan and prior'!#REF!,"")</f>
        <v/>
      </c>
      <c r="Q57" s="69" t="str">
        <f>IF(ISNUMBER('Step 3 (MTP) - Plan and prior'!#REF!),'Step 3 (MTP) - Plan and prior'!#REF!,"")</f>
        <v/>
      </c>
      <c r="R57" s="69" t="str">
        <f>IF(ISNUMBER('Step 3 (MTP) - Plan and prior'!#REF!),'Step 3 (MTP) - Plan and prior'!#REF!,"")</f>
        <v/>
      </c>
      <c r="S57" s="69" t="str">
        <f>IF(ISNUMBER('Step 3 (MTP) - Plan and prior'!#REF!),'Step 3 (MTP) - Plan and prior'!#REF!,"")</f>
        <v/>
      </c>
      <c r="T57" s="69" t="str">
        <f>IF(ISNUMBER('Step 3 (MTP) - Plan and prior'!T42),'Step 3 (MTP) - Plan and prior'!T42,"")</f>
        <v/>
      </c>
      <c r="U57" s="69" t="str">
        <f>IF(ISNUMBER('Step 3 (MTP) - Plan and prior'!U42),'Step 3 (MTP) - Plan and prior'!U42,"")</f>
        <v/>
      </c>
      <c r="V57" s="69" t="str">
        <f>IF(ISNUMBER('Step 3 (MTP) - Plan and prior'!V42),'Step 3 (MTP) - Plan and prior'!V42,"")</f>
        <v/>
      </c>
      <c r="W57" s="69" t="str">
        <f>IF(ISNUMBER('Step 3 (MTP) - Plan and prior'!W42),'Step 3 (MTP) - Plan and prior'!W42,"")</f>
        <v/>
      </c>
      <c r="X57"/>
    </row>
    <row r="58" spans="2:24" x14ac:dyDescent="0.4">
      <c r="B58" s="47" t="s">
        <v>288</v>
      </c>
      <c r="D58" s="69" t="str">
        <f>IF(ISNUMBER('Step 3 (MTP) - Plan and prior'!#REF!),'Step 3 (MTP) - Plan and prior'!#REF!,"")</f>
        <v/>
      </c>
      <c r="E58" s="69" t="str">
        <f>IF(ISNUMBER('Step 3 (MTP) - Plan and prior'!#REF!),'Step 3 (MTP) - Plan and prior'!#REF!,"")</f>
        <v/>
      </c>
      <c r="F58" s="69" t="str">
        <f>IF(ISNUMBER('Step 3 (MTP) - Plan and prior'!#REF!),'Step 3 (MTP) - Plan and prior'!#REF!,"")</f>
        <v/>
      </c>
      <c r="G58" s="69" t="str">
        <f>IF(ISNUMBER('Step 3 (MTP) - Plan and prior'!#REF!),'Step 3 (MTP) - Plan and prior'!#REF!,"")</f>
        <v/>
      </c>
      <c r="H58" s="69" t="str">
        <f>IF(ISNUMBER('Step 3 (MTP) - Plan and prior'!#REF!),'Step 3 (MTP) - Plan and prior'!#REF!,"")</f>
        <v/>
      </c>
      <c r="I58" s="69" t="str">
        <f>IF(ISNUMBER('Step 3 (MTP) - Plan and prior'!#REF!),'Step 3 (MTP) - Plan and prior'!#REF!,"")</f>
        <v/>
      </c>
      <c r="J58" s="69" t="str">
        <f>IF(ISNUMBER('Step 3 (MTP) - Plan and prior'!#REF!),'Step 3 (MTP) - Plan and prior'!#REF!,"")</f>
        <v/>
      </c>
      <c r="K58" s="69" t="str">
        <f>IF(ISNUMBER('Step 3 (MTP) - Plan and prior'!#REF!),'Step 3 (MTP) - Plan and prior'!#REF!,"")</f>
        <v/>
      </c>
      <c r="L58" s="69" t="str">
        <f>IF(ISNUMBER('Step 3 (MTP) - Plan and prior'!#REF!),'Step 3 (MTP) - Plan and prior'!#REF!,"")</f>
        <v/>
      </c>
      <c r="M58" s="69" t="str">
        <f>IF(ISNUMBER('Step 3 (MTP) - Plan and prior'!#REF!),'Step 3 (MTP) - Plan and prior'!#REF!,"")</f>
        <v/>
      </c>
      <c r="N58" s="69" t="str">
        <f>IF(ISNUMBER('Step 3 (MTP) - Plan and prior'!#REF!),'Step 3 (MTP) - Plan and prior'!#REF!,"")</f>
        <v/>
      </c>
      <c r="O58" s="69" t="str">
        <f>IF(ISNUMBER('Step 3 (MTP) - Plan and prior'!#REF!),'Step 3 (MTP) - Plan and prior'!#REF!,"")</f>
        <v/>
      </c>
      <c r="P58" s="69" t="str">
        <f>IF(ISNUMBER('Step 3 (MTP) - Plan and prior'!#REF!),'Step 3 (MTP) - Plan and prior'!#REF!,"")</f>
        <v/>
      </c>
      <c r="Q58" s="69" t="str">
        <f>IF(ISNUMBER('Step 3 (MTP) - Plan and prior'!#REF!),'Step 3 (MTP) - Plan and prior'!#REF!,"")</f>
        <v/>
      </c>
      <c r="R58" s="69" t="str">
        <f>IF(ISNUMBER('Step 3 (MTP) - Plan and prior'!#REF!),'Step 3 (MTP) - Plan and prior'!#REF!,"")</f>
        <v/>
      </c>
      <c r="S58" s="69" t="str">
        <f>IF(ISNUMBER('Step 3 (MTP) - Plan and prior'!#REF!),'Step 3 (MTP) - Plan and prior'!#REF!,"")</f>
        <v/>
      </c>
      <c r="T58" s="69" t="str">
        <f>IF(ISNUMBER('Step 3 (MTP) - Plan and prior'!T43),'Step 3 (MTP) - Plan and prior'!T43,"")</f>
        <v/>
      </c>
      <c r="U58" s="69" t="str">
        <f>IF(ISNUMBER('Step 3 (MTP) - Plan and prior'!U43),'Step 3 (MTP) - Plan and prior'!U43,"")</f>
        <v/>
      </c>
      <c r="V58" s="69" t="str">
        <f>IF(ISNUMBER('Step 3 (MTP) - Plan and prior'!V43),'Step 3 (MTP) - Plan and prior'!V43,"")</f>
        <v/>
      </c>
      <c r="W58" s="69" t="str">
        <f>IF(ISNUMBER('Step 3 (MTP) - Plan and prior'!W43),'Step 3 (MTP) - Plan and prior'!W43,"")</f>
        <v/>
      </c>
      <c r="X58"/>
    </row>
    <row r="59" spans="2:24" ht="12.4" customHeight="1" x14ac:dyDescent="0.4">
      <c r="B59" s="62" t="s">
        <v>355</v>
      </c>
      <c r="C59" s="20"/>
      <c r="D59" s="49">
        <f>IF(ISNUMBER('Step 3 (MTP) - Plan and prior'!D44),'Step 3 (MTP) - Plan and prior'!D44,"")</f>
        <v>71.8</v>
      </c>
      <c r="E59" s="49" t="str">
        <f>IF(ISNUMBER('Step 3 (MTP) - Plan and prior'!E44),'Step 3 (MTP) - Plan and prior'!E44,"")</f>
        <v/>
      </c>
      <c r="F59" s="49" t="str">
        <f>IF(ISNUMBER('Step 3 (MTP) - Plan and prior'!F44),'Step 3 (MTP) - Plan and prior'!F44,"")</f>
        <v/>
      </c>
      <c r="G59" s="49" t="str">
        <f>IF(ISNUMBER('Step 3 (MTP) - Plan and prior'!G44),'Step 3 (MTP) - Plan and prior'!G44,"")</f>
        <v/>
      </c>
      <c r="H59" s="49" t="str">
        <f>IF(ISNUMBER('Step 3 (MTP) - Plan and prior'!H44),'Step 3 (MTP) - Plan and prior'!H44,"")</f>
        <v/>
      </c>
      <c r="I59" s="49" t="str">
        <f>IF(ISNUMBER('Step 3 (MTP) - Plan and prior'!I44),'Step 3 (MTP) - Plan and prior'!I44,"")</f>
        <v/>
      </c>
      <c r="J59" s="49" t="str">
        <f>IF(ISNUMBER('Step 3 (MTP) - Plan and prior'!J44),'Step 3 (MTP) - Plan and prior'!J44,"")</f>
        <v/>
      </c>
      <c r="K59" s="49" t="str">
        <f>IF(ISNUMBER('Step 3 (MTP) - Plan and prior'!K44),'Step 3 (MTP) - Plan and prior'!K44,"")</f>
        <v/>
      </c>
      <c r="L59" s="49" t="str">
        <f>IF(ISNUMBER('Step 3 (MTP) - Plan and prior'!L44),'Step 3 (MTP) - Plan and prior'!L44,"")</f>
        <v/>
      </c>
      <c r="M59" s="49" t="str">
        <f>IF(ISNUMBER('Step 3 (MTP) - Plan and prior'!M44),'Step 3 (MTP) - Plan and prior'!M44,"")</f>
        <v/>
      </c>
      <c r="N59" s="49" t="str">
        <f>IF(ISNUMBER('Step 3 (MTP) - Plan and prior'!N44),'Step 3 (MTP) - Plan and prior'!N44,"")</f>
        <v/>
      </c>
      <c r="O59" s="49" t="str">
        <f>IF(ISNUMBER('Step 3 (MTP) - Plan and prior'!O44),'Step 3 (MTP) - Plan and prior'!O44,"")</f>
        <v/>
      </c>
      <c r="P59" s="49" t="str">
        <f>IF(ISNUMBER('Step 3 (MTP) - Plan and prior'!P44),'Step 3 (MTP) - Plan and prior'!P44,"")</f>
        <v/>
      </c>
      <c r="Q59" s="49" t="str">
        <f>IF(ISNUMBER('Step 3 (MTP) - Plan and prior'!Q44),'Step 3 (MTP) - Plan and prior'!Q44,"")</f>
        <v/>
      </c>
      <c r="R59" s="49" t="str">
        <f>IF(ISNUMBER('Step 3 (MTP) - Plan and prior'!R44),'Step 3 (MTP) - Plan and prior'!R44,"")</f>
        <v/>
      </c>
      <c r="S59" s="49" t="str">
        <f>IF(ISNUMBER('Step 3 (MTP) - Plan and prior'!S44),'Step 3 (MTP) - Plan and prior'!S44,"")</f>
        <v/>
      </c>
      <c r="T59" s="49" t="str">
        <f>IF(ISNUMBER('Step 3 (MTP) - Plan and prior'!T44),'Step 3 (MTP) - Plan and prior'!T44,"")</f>
        <v/>
      </c>
      <c r="U59" s="49" t="str">
        <f>IF(ISNUMBER('Step 3 (MTP) - Plan and prior'!U44),'Step 3 (MTP) - Plan and prior'!U44,"")</f>
        <v/>
      </c>
      <c r="V59" s="49" t="str">
        <f>IF(ISNUMBER('Step 3 (MTP) - Plan and prior'!V44),'Step 3 (MTP) - Plan and prior'!V44,"")</f>
        <v/>
      </c>
      <c r="W59" s="49" t="str">
        <f>IF(ISNUMBER('Step 3 (MTP) - Plan and prior'!W44),'Step 3 (MTP) - Plan and prior'!W44,"")</f>
        <v/>
      </c>
      <c r="X59"/>
    </row>
    <row r="60" spans="2:24" customFormat="1" x14ac:dyDescent="0.4">
      <c r="B60" s="56"/>
      <c r="C60" s="15"/>
      <c r="D60" s="49"/>
      <c r="E60" s="49"/>
      <c r="F60" s="49"/>
      <c r="G60" s="49"/>
      <c r="H60" s="49"/>
      <c r="I60" s="49"/>
      <c r="J60" s="49"/>
      <c r="K60" s="49"/>
      <c r="L60" s="49"/>
      <c r="M60" s="49"/>
      <c r="N60" s="49"/>
      <c r="O60" s="49"/>
      <c r="P60" s="49"/>
      <c r="Q60" s="49"/>
      <c r="R60" s="49"/>
      <c r="S60" s="49"/>
      <c r="T60" s="49"/>
      <c r="U60" s="49"/>
      <c r="V60" s="49"/>
      <c r="W60" s="49"/>
    </row>
    <row r="61" spans="2:24" customFormat="1" ht="18" x14ac:dyDescent="0.55000000000000004">
      <c r="B61" s="51" t="str">
        <f>IF(Receives_reference_trajectory,"Prior guidance: reference trajectory and DSA","Prior guidance: technical information and DSA")</f>
        <v>Prior guidance: reference trajectory and DSA</v>
      </c>
      <c r="C61" s="15"/>
      <c r="D61" s="49"/>
      <c r="E61" s="49"/>
      <c r="F61" s="49"/>
      <c r="G61" s="49"/>
      <c r="H61" s="49"/>
      <c r="I61" s="49"/>
    </row>
    <row r="62" spans="2:24" customFormat="1" ht="15.75" x14ac:dyDescent="0.5">
      <c r="B62" s="80" t="s">
        <v>310</v>
      </c>
      <c r="C62" s="15"/>
      <c r="D62" s="49"/>
      <c r="E62" s="49"/>
      <c r="F62" s="49"/>
      <c r="G62" s="49"/>
      <c r="H62" s="49"/>
      <c r="I62" s="49"/>
    </row>
    <row r="63" spans="2:24" x14ac:dyDescent="0.4">
      <c r="B63" s="40" t="s">
        <v>251</v>
      </c>
      <c r="C63" s="95"/>
      <c r="D63" s="45" cm="1">
        <f t="array" ref="D63:S63">_xlfn.SEQUENCE(1, AdjustmentPeriodEnd+10-MTP_BaseYear+1, MTP_BaseYear)</f>
        <v>2023</v>
      </c>
      <c r="E63" s="61">
        <v>2024</v>
      </c>
      <c r="F63" s="61">
        <v>2025</v>
      </c>
      <c r="G63" s="61">
        <v>2026</v>
      </c>
      <c r="H63" s="61">
        <v>2027</v>
      </c>
      <c r="I63" s="61">
        <v>2028</v>
      </c>
      <c r="J63" s="61">
        <v>2029</v>
      </c>
      <c r="K63" s="61">
        <v>2030</v>
      </c>
      <c r="L63" s="61">
        <v>2031</v>
      </c>
      <c r="M63" s="61">
        <v>2032</v>
      </c>
      <c r="N63" s="61">
        <v>2033</v>
      </c>
      <c r="O63" s="61">
        <v>2034</v>
      </c>
      <c r="P63" s="61">
        <v>2035</v>
      </c>
      <c r="Q63" s="61">
        <v>2036</v>
      </c>
      <c r="R63" s="61">
        <v>2037</v>
      </c>
      <c r="S63" s="61">
        <v>2038</v>
      </c>
      <c r="T63" s="61"/>
      <c r="U63" s="61"/>
      <c r="V63" s="61"/>
      <c r="W63" s="61"/>
    </row>
    <row r="64" spans="2:24" x14ac:dyDescent="0.4">
      <c r="B64" s="42" t="s">
        <v>274</v>
      </c>
      <c r="C64" s="20"/>
      <c r="D64" s="48" t="str">
        <f t="shared" ref="D64:W64" si="1">IF(AND(D$63&gt;=MTP_YearT-1, D$63&lt;=AdjustmentPeriodEnd), IF(D$63=MTP_YearT-1, "T-1", IF(D$63=MTP_YearT, "T", "T+"&amp;(D$63-MTP_YearT))), "")</f>
        <v>T-1</v>
      </c>
      <c r="E64" s="48" t="str">
        <f t="shared" si="1"/>
        <v>T</v>
      </c>
      <c r="F64" s="48" t="str">
        <f t="shared" si="1"/>
        <v>T+1</v>
      </c>
      <c r="G64" s="48" t="str">
        <f t="shared" si="1"/>
        <v>T+2</v>
      </c>
      <c r="H64" s="48" t="str">
        <f t="shared" si="1"/>
        <v>T+3</v>
      </c>
      <c r="I64" s="48" t="str">
        <f t="shared" si="1"/>
        <v>T+4</v>
      </c>
      <c r="J64" s="48" t="str">
        <f t="shared" si="1"/>
        <v/>
      </c>
      <c r="K64" s="48" t="str">
        <f t="shared" si="1"/>
        <v/>
      </c>
      <c r="L64" s="48" t="str">
        <f t="shared" si="1"/>
        <v/>
      </c>
      <c r="M64" s="48" t="str">
        <f t="shared" si="1"/>
        <v/>
      </c>
      <c r="N64" s="48" t="str">
        <f t="shared" si="1"/>
        <v/>
      </c>
      <c r="O64" s="48" t="str">
        <f t="shared" si="1"/>
        <v/>
      </c>
      <c r="P64" s="48" t="str">
        <f t="shared" si="1"/>
        <v/>
      </c>
      <c r="Q64" s="48" t="str">
        <f t="shared" si="1"/>
        <v/>
      </c>
      <c r="R64" s="48" t="str">
        <f t="shared" si="1"/>
        <v/>
      </c>
      <c r="S64" s="48" t="str">
        <f t="shared" si="1"/>
        <v/>
      </c>
      <c r="T64" s="48" t="str">
        <f t="shared" si="1"/>
        <v/>
      </c>
      <c r="U64" s="48" t="str">
        <f t="shared" si="1"/>
        <v/>
      </c>
      <c r="V64" s="48" t="str">
        <f t="shared" si="1"/>
        <v/>
      </c>
      <c r="W64" s="48" t="str">
        <f t="shared" si="1"/>
        <v/>
      </c>
    </row>
    <row r="65" spans="2:24" x14ac:dyDescent="0.4">
      <c r="B65" s="56" t="str">
        <f>'Step 3 (MTP) - Plan and prior'!B50</f>
        <v>Reference trajectory provided by the Commission</v>
      </c>
      <c r="D65" s="85" t="str">
        <f>IF(ISNUMBER('Step 3 (MTP) - Plan and prior'!D50),'Step 3 (MTP) - Plan and prior'!D50,"")</f>
        <v/>
      </c>
      <c r="E65" s="85" t="str">
        <f>IF(ISNUMBER('Step 3 (MTP) - Plan and prior'!E50),'Step 3 (MTP) - Plan and prior'!E50,"")</f>
        <v/>
      </c>
      <c r="F65" s="85">
        <f>IF(ISNUMBER('Step 3 (MTP) - Plan and prior'!F50),'Step 3 (MTP) - Plan and prior'!F50,"")</f>
        <v>3</v>
      </c>
      <c r="G65" s="85">
        <f>IF(ISNUMBER('Step 3 (MTP) - Plan and prior'!G50),'Step 3 (MTP) - Plan and prior'!G50,"")</f>
        <v>3.2</v>
      </c>
      <c r="H65" s="85">
        <f>IF(ISNUMBER('Step 3 (MTP) - Plan and prior'!H50),'Step 3 (MTP) - Plan and prior'!H50,"")</f>
        <v>3.1</v>
      </c>
      <c r="I65" s="85">
        <f>IF(ISNUMBER('Step 3 (MTP) - Plan and prior'!I50),'Step 3 (MTP) - Plan and prior'!I50,"")</f>
        <v>3</v>
      </c>
      <c r="J65" s="85" t="str">
        <f>IF(ISNUMBER('Step 3 (MTP) - Plan and prior'!J50),'Step 3 (MTP) - Plan and prior'!J50,"")</f>
        <v/>
      </c>
      <c r="K65" s="85" t="str">
        <f>IF(ISNUMBER('Step 3 (MTP) - Plan and prior'!K50),'Step 3 (MTP) - Plan and prior'!K50,"")</f>
        <v/>
      </c>
      <c r="L65" s="85" t="str">
        <f>IF(ISNUMBER('Step 3 (MTP) - Plan and prior'!L50),'Step 3 (MTP) - Plan and prior'!L50,"")</f>
        <v/>
      </c>
      <c r="M65" s="85" t="str">
        <f>IF(ISNUMBER('Step 3 (MTP) - Plan and prior'!M50),'Step 3 (MTP) - Plan and prior'!M50,"")</f>
        <v/>
      </c>
      <c r="N65" s="85" t="str">
        <f>IF(ISNUMBER('Step 3 (MTP) - Plan and prior'!N50),'Step 3 (MTP) - Plan and prior'!N50,"")</f>
        <v/>
      </c>
      <c r="O65" s="85" t="str">
        <f>IF(ISNUMBER('Step 3 (MTP) - Plan and prior'!O50),'Step 3 (MTP) - Plan and prior'!O50,"")</f>
        <v/>
      </c>
      <c r="P65" s="85" t="str">
        <f>IF(ISNUMBER('Step 3 (MTP) - Plan and prior'!P50),'Step 3 (MTP) - Plan and prior'!P50,"")</f>
        <v/>
      </c>
      <c r="Q65" s="85" t="str">
        <f>IF(ISNUMBER('Step 3 (MTP) - Plan and prior'!Q50),'Step 3 (MTP) - Plan and prior'!Q50,"")</f>
        <v/>
      </c>
      <c r="R65" s="85" t="str">
        <f>IF(ISNUMBER('Step 3 (MTP) - Plan and prior'!R50),'Step 3 (MTP) - Plan and prior'!R50,"")</f>
        <v/>
      </c>
      <c r="S65" s="85" t="str">
        <f>IF(ISNUMBER('Step 3 (MTP) - Plan and prior'!S50),'Step 3 (MTP) - Plan and prior'!S50,"")</f>
        <v/>
      </c>
      <c r="T65" s="85" t="str">
        <f>IF(ISNUMBER('Step 3 (MTP) - Plan and prior'!T50),'Step 3 (MTP) - Plan and prior'!T50,"")</f>
        <v/>
      </c>
      <c r="U65" s="85" t="str">
        <f>IF(ISNUMBER('Step 3 (MTP) - Plan and prior'!U50),'Step 3 (MTP) - Plan and prior'!U50,"")</f>
        <v/>
      </c>
      <c r="V65" s="85" t="str">
        <f>IF(ISNUMBER('Step 3 (MTP) - Plan and prior'!V50),'Step 3 (MTP) - Plan and prior'!V50,"")</f>
        <v/>
      </c>
      <c r="W65" s="85" t="str">
        <f>IF(ISNUMBER('Step 3 (MTP) - Plan and prior'!W50),'Step 3 (MTP) - Plan and prior'!W50,"")</f>
        <v/>
      </c>
      <c r="X65" s="85" t="str">
        <f>IF(ISNUMBER('Step 3 (MTP) - Plan and prior'!X50),'Step 3 (MTP) - Plan and prior'!X50,"")</f>
        <v/>
      </c>
    </row>
    <row r="66" spans="2:24" ht="16.899999999999999" customHeight="1" x14ac:dyDescent="0.4">
      <c r="B66" s="56" t="str">
        <f>'Step 3 (MTP) - Plan and prior'!B51</f>
        <v>Minimum level for the structural primary balance in 2028 (not applicable), no safeguard</v>
      </c>
      <c r="D66" s="69" t="str">
        <f>IF(ISNUMBER('Step 3 (MTP) - Plan and prior'!D51),'Step 3 (MTP) - Plan and prior'!D51,"")</f>
        <v/>
      </c>
      <c r="E66" s="69" t="str">
        <f>IF(ISNUMBER('Step 3 (MTP) - Plan and prior'!E51),'Step 3 (MTP) - Plan and prior'!E51,"")</f>
        <v/>
      </c>
      <c r="F66" s="69" t="str">
        <f>IF(ISNUMBER('Step 3 (MTP) - Plan and prior'!F51),'Step 3 (MTP) - Plan and prior'!F51,"")</f>
        <v/>
      </c>
      <c r="G66" s="69" t="str">
        <f>IF(ISNUMBER('Step 3 (MTP) - Plan and prior'!G51),'Step 3 (MTP) - Plan and prior'!G51,"")</f>
        <v/>
      </c>
      <c r="H66" s="69" t="str">
        <f>IF(ISNUMBER('Step 3 (MTP) - Plan and prior'!H51),'Step 3 (MTP) - Plan and prior'!H51,"")</f>
        <v/>
      </c>
      <c r="I66" s="69" t="str">
        <f>IF(ISNUMBER('Step 3 (MTP) - Plan and prior'!I51),'Step 3 (MTP) - Plan and prior'!I51,"")</f>
        <v/>
      </c>
      <c r="J66" s="69" t="str">
        <f>IF(ISNUMBER('Step 3 (MTP) - Plan and prior'!J51),'Step 3 (MTP) - Plan and prior'!J51,"")</f>
        <v/>
      </c>
      <c r="K66" s="69" t="str">
        <f>IF(ISNUMBER('Step 3 (MTP) - Plan and prior'!K51),'Step 3 (MTP) - Plan and prior'!K51,"")</f>
        <v/>
      </c>
      <c r="L66" s="69" t="str">
        <f>IF(ISNUMBER('Step 3 (MTP) - Plan and prior'!L51),'Step 3 (MTP) - Plan and prior'!L51,"")</f>
        <v/>
      </c>
      <c r="M66" s="69" t="str">
        <f>IF(ISNUMBER('Step 3 (MTP) - Plan and prior'!M51),'Step 3 (MTP) - Plan and prior'!M51,"")</f>
        <v/>
      </c>
      <c r="N66" s="69" t="str">
        <f>IF(ISNUMBER('Step 3 (MTP) - Plan and prior'!N51),'Step 3 (MTP) - Plan and prior'!N51,"")</f>
        <v/>
      </c>
      <c r="O66" s="69" t="str">
        <f>IF(ISNUMBER('Step 3 (MTP) - Plan and prior'!O51),'Step 3 (MTP) - Plan and prior'!O51,"")</f>
        <v/>
      </c>
      <c r="P66" s="69" t="str">
        <f>IF(ISNUMBER('Step 3 (MTP) - Plan and prior'!P51),'Step 3 (MTP) - Plan and prior'!P51,"")</f>
        <v/>
      </c>
      <c r="Q66" s="69" t="str">
        <f>IF(ISNUMBER('Step 3 (MTP) - Plan and prior'!Q51),'Step 3 (MTP) - Plan and prior'!Q51,"")</f>
        <v/>
      </c>
      <c r="R66" s="69" t="str">
        <f>IF(ISNUMBER('Step 3 (MTP) - Plan and prior'!R51),'Step 3 (MTP) - Plan and prior'!R51,"")</f>
        <v/>
      </c>
      <c r="S66" s="69" t="str">
        <f>IF(ISNUMBER('Step 3 (MTP) - Plan and prior'!S51),'Step 3 (MTP) - Plan and prior'!S51,"")</f>
        <v/>
      </c>
      <c r="T66" s="69" t="str">
        <f>IF(ISNUMBER('Step 3 (MTP) - Plan and prior'!T51),'Step 3 (MTP) - Plan and prior'!T51,"")</f>
        <v/>
      </c>
      <c r="U66" s="69" t="str">
        <f>IF(ISNUMBER('Step 3 (MTP) - Plan and prior'!U51),'Step 3 (MTP) - Plan and prior'!U51,"")</f>
        <v/>
      </c>
      <c r="V66" s="69" t="str">
        <f>IF(ISNUMBER('Step 3 (MTP) - Plan and prior'!V51),'Step 3 (MTP) - Plan and prior'!V51,"")</f>
        <v/>
      </c>
      <c r="W66" s="69" t="str">
        <f>IF(ISNUMBER('Step 3 (MTP) - Plan and prior'!W51),'Step 3 (MTP) - Plan and prior'!W51,"")</f>
        <v/>
      </c>
      <c r="X66" s="15" t="str">
        <f>IF(ISNUMBER('Step 3 (MTP) - Plan and prior'!X51),'Step 3 (MTP) - Plan and prior'!X51,"")</f>
        <v/>
      </c>
    </row>
    <row r="67" spans="2:24" x14ac:dyDescent="0.4">
      <c r="B67" s="56" t="str">
        <f>'Step 3 (MTP) - Plan and prior'!B52</f>
        <v>Minimum level for the structural primary balance in 2028 (not applicable), with safeguard</v>
      </c>
      <c r="D67" s="69" t="str">
        <f>IF(ISNUMBER('Step 3 (MTP) - Plan and prior'!D52),'Step 3 (MTP) - Plan and prior'!D52,"")</f>
        <v/>
      </c>
      <c r="E67" s="69" t="str">
        <f>IF(ISNUMBER('Step 3 (MTP) - Plan and prior'!E52),'Step 3 (MTP) - Plan and prior'!E52,"")</f>
        <v/>
      </c>
      <c r="F67" s="69" t="str">
        <f>IF(ISNUMBER('Step 3 (MTP) - Plan and prior'!F52),'Step 3 (MTP) - Plan and prior'!F52,"")</f>
        <v/>
      </c>
      <c r="G67" s="69" t="str">
        <f>IF(ISNUMBER('Step 3 (MTP) - Plan and prior'!G52),'Step 3 (MTP) - Plan and prior'!G52,"")</f>
        <v/>
      </c>
      <c r="H67" s="69" t="str">
        <f>IF(ISNUMBER('Step 3 (MTP) - Plan and prior'!H52),'Step 3 (MTP) - Plan and prior'!H52,"")</f>
        <v/>
      </c>
      <c r="I67" s="69" t="str">
        <f>IF(ISNUMBER('Step 3 (MTP) - Plan and prior'!I52),'Step 3 (MTP) - Plan and prior'!I52,"")</f>
        <v/>
      </c>
      <c r="J67" s="69" t="str">
        <f>IF(ISNUMBER('Step 3 (MTP) - Plan and prior'!J52),'Step 3 (MTP) - Plan and prior'!J52,"")</f>
        <v/>
      </c>
      <c r="K67" s="69" t="str">
        <f>IF(ISNUMBER('Step 3 (MTP) - Plan and prior'!K52),'Step 3 (MTP) - Plan and prior'!K52,"")</f>
        <v/>
      </c>
      <c r="L67" s="69" t="str">
        <f>IF(ISNUMBER('Step 3 (MTP) - Plan and prior'!L52),'Step 3 (MTP) - Plan and prior'!L52,"")</f>
        <v/>
      </c>
      <c r="M67" s="69" t="str">
        <f>IF(ISNUMBER('Step 3 (MTP) - Plan and prior'!M52),'Step 3 (MTP) - Plan and prior'!M52,"")</f>
        <v/>
      </c>
      <c r="N67" s="69" t="str">
        <f>IF(ISNUMBER('Step 3 (MTP) - Plan and prior'!N52),'Step 3 (MTP) - Plan and prior'!N52,"")</f>
        <v/>
      </c>
      <c r="O67" s="69" t="str">
        <f>IF(ISNUMBER('Step 3 (MTP) - Plan and prior'!O52),'Step 3 (MTP) - Plan and prior'!O52,"")</f>
        <v/>
      </c>
      <c r="P67" s="69" t="str">
        <f>IF(ISNUMBER('Step 3 (MTP) - Plan and prior'!P52),'Step 3 (MTP) - Plan and prior'!P52,"")</f>
        <v/>
      </c>
      <c r="Q67" s="69" t="str">
        <f>IF(ISNUMBER('Step 3 (MTP) - Plan and prior'!Q52),'Step 3 (MTP) - Plan and prior'!Q52,"")</f>
        <v/>
      </c>
      <c r="R67" s="69" t="str">
        <f>IF(ISNUMBER('Step 3 (MTP) - Plan and prior'!R52),'Step 3 (MTP) - Plan and prior'!R52,"")</f>
        <v/>
      </c>
      <c r="S67" s="69" t="str">
        <f>IF(ISNUMBER('Step 3 (MTP) - Plan and prior'!S52),'Step 3 (MTP) - Plan and prior'!S52,"")</f>
        <v/>
      </c>
      <c r="T67" s="69" t="str">
        <f>IF(ISNUMBER('Step 3 (MTP) - Plan and prior'!T52),'Step 3 (MTP) - Plan and prior'!T52,"")</f>
        <v/>
      </c>
      <c r="U67" s="69" t="str">
        <f>IF(ISNUMBER('Step 3 (MTP) - Plan and prior'!U52),'Step 3 (MTP) - Plan and prior'!U52,"")</f>
        <v/>
      </c>
      <c r="V67" s="69" t="str">
        <f>IF(ISNUMBER('Step 3 (MTP) - Plan and prior'!V52),'Step 3 (MTP) - Plan and prior'!V52,"")</f>
        <v/>
      </c>
      <c r="W67" s="69" t="str">
        <f>IF(ISNUMBER('Step 3 (MTP) - Plan and prior'!W52),'Step 3 (MTP) - Plan and prior'!W52,"")</f>
        <v/>
      </c>
      <c r="X67" s="85" t="str">
        <f>IF(ISNUMBER('Step 3 (MTP) - Plan and prior'!X52),'Step 3 (MTP) - Plan and prior'!X52,"")</f>
        <v/>
      </c>
    </row>
    <row r="68" spans="2:24" customFormat="1" ht="20.25" customHeight="1" x14ac:dyDescent="0.4">
      <c r="B68" s="82" t="s">
        <v>710</v>
      </c>
      <c r="C68" s="15"/>
      <c r="D68" t="str">
        <f>IF(ISNUMBER('Step 3 (MTP) - Plan and prior'!D53),'Step 3 (MTP) - Plan and prior'!D53,"")</f>
        <v/>
      </c>
      <c r="E68" t="str">
        <f>IF(ISNUMBER('Step 3 (MTP) - Plan and prior'!E53),'Step 3 (MTP) - Plan and prior'!E53,"")</f>
        <v/>
      </c>
      <c r="F68" t="str">
        <f>IF(ISNUMBER('Step 3 (MTP) - Plan and prior'!F53),'Step 3 (MTP) - Plan and prior'!F53,"")</f>
        <v/>
      </c>
      <c r="G68" t="str">
        <f>IF(ISNUMBER('Step 3 (MTP) - Plan and prior'!G53),'Step 3 (MTP) - Plan and prior'!G53,"")</f>
        <v/>
      </c>
      <c r="H68" t="str">
        <f>IF(ISNUMBER('Step 3 (MTP) - Plan and prior'!H53),'Step 3 (MTP) - Plan and prior'!H53,"")</f>
        <v/>
      </c>
      <c r="I68" t="str">
        <f>IF(ISNUMBER('Step 3 (MTP) - Plan and prior'!I53),'Step 3 (MTP) - Plan and prior'!I53,"")</f>
        <v/>
      </c>
      <c r="J68" t="str">
        <f>IF(ISNUMBER('Step 3 (MTP) - Plan and prior'!J53),'Step 3 (MTP) - Plan and prior'!J53,"")</f>
        <v/>
      </c>
      <c r="K68" t="str">
        <f>IF(ISNUMBER('Step 3 (MTP) - Plan and prior'!K53),'Step 3 (MTP) - Plan and prior'!K53,"")</f>
        <v/>
      </c>
      <c r="L68" t="str">
        <f>IF(ISNUMBER('Step 3 (MTP) - Plan and prior'!L53),'Step 3 (MTP) - Plan and prior'!L53,"")</f>
        <v/>
      </c>
      <c r="M68" t="str">
        <f>IF(ISNUMBER('Step 3 (MTP) - Plan and prior'!M53),'Step 3 (MTP) - Plan and prior'!M53,"")</f>
        <v/>
      </c>
      <c r="N68" t="str">
        <f>IF(ISNUMBER('Step 3 (MTP) - Plan and prior'!N53),'Step 3 (MTP) - Plan and prior'!N53,"")</f>
        <v/>
      </c>
      <c r="O68" t="str">
        <f>IF(ISNUMBER('Step 3 (MTP) - Plan and prior'!O53),'Step 3 (MTP) - Plan and prior'!O53,"")</f>
        <v/>
      </c>
      <c r="P68" t="str">
        <f>IF(ISNUMBER('Step 3 (MTP) - Plan and prior'!P53),'Step 3 (MTP) - Plan and prior'!P53,"")</f>
        <v/>
      </c>
      <c r="Q68" t="str">
        <f>IF(ISNUMBER('Step 3 (MTP) - Plan and prior'!Q53),'Step 3 (MTP) - Plan and prior'!Q53,"")</f>
        <v/>
      </c>
      <c r="R68" t="str">
        <f>IF(ISNUMBER('Step 3 (MTP) - Plan and prior'!R53),'Step 3 (MTP) - Plan and prior'!R53,"")</f>
        <v/>
      </c>
      <c r="S68" t="str">
        <f>IF(ISNUMBER('Step 3 (MTP) - Plan and prior'!S53),'Step 3 (MTP) - Plan and prior'!S53,"")</f>
        <v/>
      </c>
      <c r="T68" t="str">
        <f>IF(ISNUMBER('Step 3 (MTP) - Plan and prior'!T53),'Step 3 (MTP) - Plan and prior'!T53,"")</f>
        <v/>
      </c>
      <c r="U68" t="str">
        <f>IF(ISNUMBER('Step 3 (MTP) - Plan and prior'!U53),'Step 3 (MTP) - Plan and prior'!U53,"")</f>
        <v/>
      </c>
      <c r="V68" t="str">
        <f>IF(ISNUMBER('Step 3 (MTP) - Plan and prior'!V53),'Step 3 (MTP) - Plan and prior'!V53,"")</f>
        <v/>
      </c>
      <c r="W68" t="str">
        <f>IF(ISNUMBER('Step 3 (MTP) - Plan and prior'!W53),'Step 3 (MTP) - Plan and prior'!W53,"")</f>
        <v/>
      </c>
      <c r="X68" t="str">
        <f>IF(ISNUMBER('Step 3 (MTP) - Plan and prior'!X53),'Step 3 (MTP) - Plan and prior'!X53,"")</f>
        <v/>
      </c>
    </row>
    <row r="69" spans="2:24" customFormat="1" x14ac:dyDescent="0.4">
      <c r="B69" s="56" t="str">
        <f>'Step 3 (MTP) - Plan and prior'!B54</f>
        <v>Main budgetary variables (4-year adjustment period)</v>
      </c>
      <c r="C69" s="15"/>
      <c r="D69" t="str">
        <f>IF(ISNUMBER('Step 3 (MTP) - Plan and prior'!D54),'Step 3 (MTP) - Plan and prior'!D54,"")</f>
        <v/>
      </c>
      <c r="E69" t="str">
        <f>IF(ISNUMBER('Step 3 (MTP) - Plan and prior'!E54),'Step 3 (MTP) - Plan and prior'!E54,"")</f>
        <v/>
      </c>
      <c r="F69" t="str">
        <f>IF(ISNUMBER('Step 3 (MTP) - Plan and prior'!F54),'Step 3 (MTP) - Plan and prior'!F54,"")</f>
        <v/>
      </c>
      <c r="G69" t="str">
        <f>IF(ISNUMBER('Step 3 (MTP) - Plan and prior'!G54),'Step 3 (MTP) - Plan and prior'!G54,"")</f>
        <v/>
      </c>
      <c r="H69" t="str">
        <f>IF(ISNUMBER('Step 3 (MTP) - Plan and prior'!H54),'Step 3 (MTP) - Plan and prior'!H54,"")</f>
        <v/>
      </c>
      <c r="I69" t="str">
        <f>IF(ISNUMBER('Step 3 (MTP) - Plan and prior'!I54),'Step 3 (MTP) - Plan and prior'!I54,"")</f>
        <v/>
      </c>
      <c r="J69" t="str">
        <f>IF(ISNUMBER('Step 3 (MTP) - Plan and prior'!J54),'Step 3 (MTP) - Plan and prior'!J54,"")</f>
        <v/>
      </c>
      <c r="K69" t="str">
        <f>IF(ISNUMBER('Step 3 (MTP) - Plan and prior'!K54),'Step 3 (MTP) - Plan and prior'!K54,"")</f>
        <v/>
      </c>
      <c r="L69" t="str">
        <f>IF(ISNUMBER('Step 3 (MTP) - Plan and prior'!L54),'Step 3 (MTP) - Plan and prior'!L54,"")</f>
        <v/>
      </c>
      <c r="M69" t="str">
        <f>IF(ISNUMBER('Step 3 (MTP) - Plan and prior'!M54),'Step 3 (MTP) - Plan and prior'!M54,"")</f>
        <v/>
      </c>
      <c r="N69" t="str">
        <f>IF(ISNUMBER('Step 3 (MTP) - Plan and prior'!N54),'Step 3 (MTP) - Plan and prior'!N54,"")</f>
        <v/>
      </c>
      <c r="O69" t="str">
        <f>IF(ISNUMBER('Step 3 (MTP) - Plan and prior'!O54),'Step 3 (MTP) - Plan and prior'!O54,"")</f>
        <v/>
      </c>
      <c r="P69" t="str">
        <f>IF(ISNUMBER('Step 3 (MTP) - Plan and prior'!P54),'Step 3 (MTP) - Plan and prior'!P54,"")</f>
        <v/>
      </c>
      <c r="Q69" t="str">
        <f>IF(ISNUMBER('Step 3 (MTP) - Plan and prior'!Q54),'Step 3 (MTP) - Plan and prior'!Q54,"")</f>
        <v/>
      </c>
      <c r="R69" t="str">
        <f>IF(ISNUMBER('Step 3 (MTP) - Plan and prior'!R54),'Step 3 (MTP) - Plan and prior'!R54,"")</f>
        <v/>
      </c>
      <c r="S69" t="str">
        <f>IF(ISNUMBER('Step 3 (MTP) - Plan and prior'!S54),'Step 3 (MTP) - Plan and prior'!S54,"")</f>
        <v/>
      </c>
      <c r="T69" t="str">
        <f>IF(ISNUMBER('Step 3 (MTP) - Plan and prior'!T54),'Step 3 (MTP) - Plan and prior'!T54,"")</f>
        <v/>
      </c>
      <c r="U69" t="str">
        <f>IF(ISNUMBER('Step 3 (MTP) - Plan and prior'!U54),'Step 3 (MTP) - Plan and prior'!U54,"")</f>
        <v/>
      </c>
      <c r="V69" t="str">
        <f>IF(ISNUMBER('Step 3 (MTP) - Plan and prior'!V54),'Step 3 (MTP) - Plan and prior'!V54,"")</f>
        <v/>
      </c>
      <c r="W69" t="str">
        <f>IF(ISNUMBER('Step 3 (MTP) - Plan and prior'!W54),'Step 3 (MTP) - Plan and prior'!W54,"")</f>
        <v/>
      </c>
      <c r="X69" t="str">
        <f>IF(ISNUMBER('Step 3 (MTP) - Plan and prior'!X54),'Step 3 (MTP) - Plan and prior'!X54,"")</f>
        <v/>
      </c>
    </row>
    <row r="70" spans="2:24" customFormat="1" x14ac:dyDescent="0.4">
      <c r="B70" s="47" t="s">
        <v>326</v>
      </c>
      <c r="C70" s="15"/>
      <c r="D70" s="69">
        <f>IF(ISNUMBER('Step 3 (MTP) - Plan and prior'!D55),'Step 3 (MTP) - Plan and prior'!D55,"")</f>
        <v>4.5</v>
      </c>
      <c r="E70" s="69">
        <f>IF(ISNUMBER('Step 3 (MTP) - Plan and prior'!E55),'Step 3 (MTP) - Plan and prior'!E55,"")</f>
        <v>1.8</v>
      </c>
      <c r="F70" s="69">
        <f>IF(ISNUMBER('Step 3 (MTP) - Plan and prior'!F55),'Step 3 (MTP) - Plan and prior'!F55,"")</f>
        <v>3</v>
      </c>
      <c r="G70" s="69">
        <f>IF(ISNUMBER('Step 3 (MTP) - Plan and prior'!G55),'Step 3 (MTP) - Plan and prior'!G55,"")</f>
        <v>3.2</v>
      </c>
      <c r="H70" s="69">
        <f>IF(ISNUMBER('Step 3 (MTP) - Plan and prior'!H55),'Step 3 (MTP) - Plan and prior'!H55,"")</f>
        <v>3.1</v>
      </c>
      <c r="I70" s="69">
        <f>IF(ISNUMBER('Step 3 (MTP) - Plan and prior'!I55),'Step 3 (MTP) - Plan and prior'!I55,"")</f>
        <v>3</v>
      </c>
      <c r="J70" s="69">
        <f>IF(ISNUMBER('Step 3 (MTP) - Plan and prior'!J55),'Step 3 (MTP) - Plan and prior'!J55,"")</f>
        <v>3.3</v>
      </c>
      <c r="K70" s="69">
        <f>IF(ISNUMBER('Step 3 (MTP) - Plan and prior'!K55),'Step 3 (MTP) - Plan and prior'!K55,"")</f>
        <v>3.3</v>
      </c>
      <c r="L70" s="69">
        <f>IF(ISNUMBER('Step 3 (MTP) - Plan and prior'!L55),'Step 3 (MTP) - Plan and prior'!L55,"")</f>
        <v>3.3</v>
      </c>
      <c r="M70" s="69">
        <f>IF(ISNUMBER('Step 3 (MTP) - Plan and prior'!M55),'Step 3 (MTP) - Plan and prior'!M55,"")</f>
        <v>3.2</v>
      </c>
      <c r="N70" s="69">
        <f>IF(ISNUMBER('Step 3 (MTP) - Plan and prior'!N55),'Step 3 (MTP) - Plan and prior'!N55,"")</f>
        <v>3.2</v>
      </c>
      <c r="O70" s="69">
        <f>IF(ISNUMBER('Step 3 (MTP) - Plan and prior'!O55),'Step 3 (MTP) - Plan and prior'!O55,"")</f>
        <v>3.2</v>
      </c>
      <c r="P70" s="69">
        <f>IF(ISNUMBER('Step 3 (MTP) - Plan and prior'!P55),'Step 3 (MTP) - Plan and prior'!P55,"")</f>
        <v>3.2</v>
      </c>
      <c r="Q70" s="69">
        <f>IF(ISNUMBER('Step 3 (MTP) - Plan and prior'!Q55),'Step 3 (MTP) - Plan and prior'!Q55,"")</f>
        <v>3.2</v>
      </c>
      <c r="R70" s="69">
        <f>IF(ISNUMBER('Step 3 (MTP) - Plan and prior'!R55),'Step 3 (MTP) - Plan and prior'!R55,"")</f>
        <v>3.3</v>
      </c>
      <c r="S70" s="69">
        <f>IF(ISNUMBER('Step 3 (MTP) - Plan and prior'!S55),'Step 3 (MTP) - Plan and prior'!S55,"")</f>
        <v>3.3</v>
      </c>
      <c r="T70" s="69" t="str">
        <f>IF(ISNUMBER('Step 3 (MTP) - Plan and prior'!T55),'Step 3 (MTP) - Plan and prior'!T55,"")</f>
        <v/>
      </c>
      <c r="U70" s="69" t="str">
        <f>IF(ISNUMBER('Step 3 (MTP) - Plan and prior'!U55),'Step 3 (MTP) - Plan and prior'!U55,"")</f>
        <v/>
      </c>
      <c r="V70" s="69" t="str">
        <f>IF(ISNUMBER('Step 3 (MTP) - Plan and prior'!V55),'Step 3 (MTP) - Plan and prior'!V55,"")</f>
        <v/>
      </c>
      <c r="W70" s="69" t="str">
        <f>IF(ISNUMBER('Step 3 (MTP) - Plan and prior'!W55),'Step 3 (MTP) - Plan and prior'!W55,"")</f>
        <v/>
      </c>
      <c r="X70" t="str">
        <f>IF(ISNUMBER('Step 3 (MTP) - Plan and prior'!X55),'Step 3 (MTP) - Plan and prior'!X55,"")</f>
        <v/>
      </c>
    </row>
    <row r="71" spans="2:24" customFormat="1" x14ac:dyDescent="0.4">
      <c r="B71" s="47" t="s">
        <v>0</v>
      </c>
      <c r="C71" s="15"/>
      <c r="D71" s="69" t="str">
        <f>IF(ISNUMBER('Step 3 (MTP) - Plan and prior'!#REF!),'Step 3 (MTP) - Plan and prior'!#REF!,"")</f>
        <v/>
      </c>
      <c r="E71" s="69" t="str">
        <f>IF(ISNUMBER('Step 3 (MTP) - Plan and prior'!#REF!),'Step 3 (MTP) - Plan and prior'!#REF!,"")</f>
        <v/>
      </c>
      <c r="F71" s="69" t="str">
        <f>IF(ISNUMBER('Step 3 (MTP) - Plan and prior'!#REF!),'Step 3 (MTP) - Plan and prior'!#REF!,"")</f>
        <v/>
      </c>
      <c r="G71" s="69" t="str">
        <f>IF(ISNUMBER('Step 3 (MTP) - Plan and prior'!#REF!),'Step 3 (MTP) - Plan and prior'!#REF!,"")</f>
        <v/>
      </c>
      <c r="H71" s="69" t="str">
        <f>IF(ISNUMBER('Step 3 (MTP) - Plan and prior'!#REF!),'Step 3 (MTP) - Plan and prior'!#REF!,"")</f>
        <v/>
      </c>
      <c r="I71" s="69" t="str">
        <f>IF(ISNUMBER('Step 3 (MTP) - Plan and prior'!#REF!),'Step 3 (MTP) - Plan and prior'!#REF!,"")</f>
        <v/>
      </c>
      <c r="J71" s="69" t="str">
        <f>IF(ISNUMBER('Step 3 (MTP) - Plan and prior'!#REF!),'Step 3 (MTP) - Plan and prior'!#REF!,"")</f>
        <v/>
      </c>
      <c r="K71" s="69" t="str">
        <f>IF(ISNUMBER('Step 3 (MTP) - Plan and prior'!#REF!),'Step 3 (MTP) - Plan and prior'!#REF!,"")</f>
        <v/>
      </c>
      <c r="L71" s="69" t="str">
        <f>IF(ISNUMBER('Step 3 (MTP) - Plan and prior'!#REF!),'Step 3 (MTP) - Plan and prior'!#REF!,"")</f>
        <v/>
      </c>
      <c r="M71" s="69" t="str">
        <f>IF(ISNUMBER('Step 3 (MTP) - Plan and prior'!#REF!),'Step 3 (MTP) - Plan and prior'!#REF!,"")</f>
        <v/>
      </c>
      <c r="N71" s="69" t="str">
        <f>IF(ISNUMBER('Step 3 (MTP) - Plan and prior'!#REF!),'Step 3 (MTP) - Plan and prior'!#REF!,"")</f>
        <v/>
      </c>
      <c r="O71" s="69" t="str">
        <f>IF(ISNUMBER('Step 3 (MTP) - Plan and prior'!#REF!),'Step 3 (MTP) - Plan and prior'!#REF!,"")</f>
        <v/>
      </c>
      <c r="P71" s="69" t="str">
        <f>IF(ISNUMBER('Step 3 (MTP) - Plan and prior'!#REF!),'Step 3 (MTP) - Plan and prior'!#REF!,"")</f>
        <v/>
      </c>
      <c r="Q71" s="69" t="str">
        <f>IF(ISNUMBER('Step 3 (MTP) - Plan and prior'!#REF!),'Step 3 (MTP) - Plan and prior'!#REF!,"")</f>
        <v/>
      </c>
      <c r="R71" s="69" t="str">
        <f>IF(ISNUMBER('Step 3 (MTP) - Plan and prior'!#REF!),'Step 3 (MTP) - Plan and prior'!#REF!,"")</f>
        <v/>
      </c>
      <c r="S71" s="69" t="str">
        <f>IF(ISNUMBER('Step 3 (MTP) - Plan and prior'!#REF!),'Step 3 (MTP) - Plan and prior'!#REF!,"")</f>
        <v/>
      </c>
      <c r="T71" s="69" t="str">
        <f>IF(ISNUMBER('Step 3 (MTP) - Plan and prior'!#REF!),'Step 3 (MTP) - Plan and prior'!#REF!,"")</f>
        <v/>
      </c>
      <c r="U71" s="69" t="str">
        <f>IF(ISNUMBER('Step 3 (MTP) - Plan and prior'!#REF!),'Step 3 (MTP) - Plan and prior'!#REF!,"")</f>
        <v/>
      </c>
      <c r="V71" s="69" t="str">
        <f>IF(ISNUMBER('Step 3 (MTP) - Plan and prior'!#REF!),'Step 3 (MTP) - Plan and prior'!#REF!,"")</f>
        <v/>
      </c>
      <c r="W71" s="69" t="str">
        <f>IF(ISNUMBER('Step 3 (MTP) - Plan and prior'!#REF!),'Step 3 (MTP) - Plan and prior'!#REF!,"")</f>
        <v/>
      </c>
      <c r="X71" t="str">
        <f>IF(ISNUMBER('Step 3 (MTP) - Plan and prior'!#REF!),'Step 3 (MTP) - Plan and prior'!#REF!,"")</f>
        <v/>
      </c>
    </row>
    <row r="72" spans="2:24" customFormat="1" x14ac:dyDescent="0.4">
      <c r="B72" s="47" t="s">
        <v>3</v>
      </c>
      <c r="C72" s="15"/>
      <c r="D72" s="69">
        <f>IF(ISNUMBER('Step 3 (MTP) - Plan and prior'!D57),'Step 3 (MTP) - Plan and prior'!D57,"")</f>
        <v>1.9</v>
      </c>
      <c r="E72" s="69">
        <f>IF(ISNUMBER('Step 3 (MTP) - Plan and prior'!E57),'Step 3 (MTP) - Plan and prior'!E57,"")</f>
        <v>1.7</v>
      </c>
      <c r="F72" s="69">
        <f>IF(ISNUMBER('Step 3 (MTP) - Plan and prior'!F57),'Step 3 (MTP) - Plan and prior'!F57,"")</f>
        <v>2.1</v>
      </c>
      <c r="G72" s="69">
        <f>IF(ISNUMBER('Step 3 (MTP) - Plan and prior'!G57),'Step 3 (MTP) - Plan and prior'!G57,"")</f>
        <v>2.2999999999999998</v>
      </c>
      <c r="H72" s="69">
        <f>IF(ISNUMBER('Step 3 (MTP) - Plan and prior'!H57),'Step 3 (MTP) - Plan and prior'!H57,"")</f>
        <v>2.4</v>
      </c>
      <c r="I72" s="69">
        <f>IF(ISNUMBER('Step 3 (MTP) - Plan and prior'!I57),'Step 3 (MTP) - Plan and prior'!I57,"")</f>
        <v>2.6</v>
      </c>
      <c r="J72" s="69">
        <f>IF(ISNUMBER('Step 3 (MTP) - Plan and prior'!J57),'Step 3 (MTP) - Plan and prior'!J57,"")</f>
        <v>2.6</v>
      </c>
      <c r="K72" s="69">
        <f>IF(ISNUMBER('Step 3 (MTP) - Plan and prior'!K57),'Step 3 (MTP) - Plan and prior'!K57,"")</f>
        <v>2.6</v>
      </c>
      <c r="L72" s="69">
        <f>IF(ISNUMBER('Step 3 (MTP) - Plan and prior'!L57),'Step 3 (MTP) - Plan and prior'!L57,"")</f>
        <v>2.6</v>
      </c>
      <c r="M72" s="69">
        <f>IF(ISNUMBER('Step 3 (MTP) - Plan and prior'!M57),'Step 3 (MTP) - Plan and prior'!M57,"")</f>
        <v>2.6</v>
      </c>
      <c r="N72" s="69">
        <f>IF(ISNUMBER('Step 3 (MTP) - Plan and prior'!N57),'Step 3 (MTP) - Plan and prior'!N57,"")</f>
        <v>2.6</v>
      </c>
      <c r="O72" s="69">
        <f>IF(ISNUMBER('Step 3 (MTP) - Plan and prior'!O57),'Step 3 (MTP) - Plan and prior'!O57,"")</f>
        <v>2.6</v>
      </c>
      <c r="P72" s="69">
        <f>IF(ISNUMBER('Step 3 (MTP) - Plan and prior'!P57),'Step 3 (MTP) - Plan and prior'!P57,"")</f>
        <v>2.6</v>
      </c>
      <c r="Q72" s="69">
        <f>IF(ISNUMBER('Step 3 (MTP) - Plan and prior'!Q57),'Step 3 (MTP) - Plan and prior'!Q57,"")</f>
        <v>2.6</v>
      </c>
      <c r="R72" s="69">
        <f>IF(ISNUMBER('Step 3 (MTP) - Plan and prior'!R57),'Step 3 (MTP) - Plan and prior'!R57,"")</f>
        <v>2.6</v>
      </c>
      <c r="S72" s="69">
        <f>IF(ISNUMBER('Step 3 (MTP) - Plan and prior'!S57),'Step 3 (MTP) - Plan and prior'!S57,"")</f>
        <v>2.6</v>
      </c>
      <c r="T72" s="69" t="str">
        <f>IF(ISNUMBER('Step 3 (MTP) - Plan and prior'!T57),'Step 3 (MTP) - Plan and prior'!T57,"")</f>
        <v/>
      </c>
      <c r="U72" s="69" t="str">
        <f>IF(ISNUMBER('Step 3 (MTP) - Plan and prior'!U57),'Step 3 (MTP) - Plan and prior'!U57,"")</f>
        <v/>
      </c>
      <c r="V72" s="69" t="str">
        <f>IF(ISNUMBER('Step 3 (MTP) - Plan and prior'!V57),'Step 3 (MTP) - Plan and prior'!V57,"")</f>
        <v/>
      </c>
      <c r="W72" s="69" t="str">
        <f>IF(ISNUMBER('Step 3 (MTP) - Plan and prior'!W57),'Step 3 (MTP) - Plan and prior'!W57,"")</f>
        <v/>
      </c>
      <c r="X72" t="str">
        <f>IF(ISNUMBER('Step 3 (MTP) - Plan and prior'!X57),'Step 3 (MTP) - Plan and prior'!X57,"")</f>
        <v/>
      </c>
    </row>
    <row r="73" spans="2:24" customFormat="1" x14ac:dyDescent="0.4">
      <c r="B73" s="47" t="s">
        <v>1</v>
      </c>
      <c r="C73" s="15"/>
      <c r="D73" s="69">
        <f>IF(ISNUMBER('Step 3 (MTP) - Plan and prior'!D58),'Step 3 (MTP) - Plan and prior'!D58,"")</f>
        <v>161.9</v>
      </c>
      <c r="E73" s="69">
        <f>IF(ISNUMBER('Step 3 (MTP) - Plan and prior'!E58),'Step 3 (MTP) - Plan and prior'!E58,"")</f>
        <v>153.9</v>
      </c>
      <c r="F73" s="69">
        <f>IF(ISNUMBER('Step 3 (MTP) - Plan and prior'!F58),'Step 3 (MTP) - Plan and prior'!F58,"")</f>
        <v>149.69999999999999</v>
      </c>
      <c r="G73" s="69">
        <f>IF(ISNUMBER('Step 3 (MTP) - Plan and prior'!G58),'Step 3 (MTP) - Plan and prior'!G58,"")</f>
        <v>145.1</v>
      </c>
      <c r="H73" s="69">
        <f>IF(ISNUMBER('Step 3 (MTP) - Plan and prior'!H58),'Step 3 (MTP) - Plan and prior'!H58,"")</f>
        <v>140.80000000000001</v>
      </c>
      <c r="I73" s="69">
        <f>IF(ISNUMBER('Step 3 (MTP) - Plan and prior'!I58),'Step 3 (MTP) - Plan and prior'!I58,"")</f>
        <v>136.6</v>
      </c>
      <c r="J73" s="69">
        <f>IF(ISNUMBER('Step 3 (MTP) - Plan and prior'!J58),'Step 3 (MTP) - Plan and prior'!J58,"")</f>
        <v>132.4</v>
      </c>
      <c r="K73" s="69">
        <f>IF(ISNUMBER('Step 3 (MTP) - Plan and prior'!K58),'Step 3 (MTP) - Plan and prior'!K58,"")</f>
        <v>128.4</v>
      </c>
      <c r="L73" s="69">
        <f>IF(ISNUMBER('Step 3 (MTP) - Plan and prior'!L58),'Step 3 (MTP) - Plan and prior'!L58,"")</f>
        <v>124.7</v>
      </c>
      <c r="M73" s="69">
        <f>IF(ISNUMBER('Step 3 (MTP) - Plan and prior'!M58),'Step 3 (MTP) - Plan and prior'!M58,"")</f>
        <v>121.2</v>
      </c>
      <c r="N73" s="69">
        <f>IF(ISNUMBER('Step 3 (MTP) - Plan and prior'!N58),'Step 3 (MTP) - Plan and prior'!N58,"")</f>
        <v>119.1</v>
      </c>
      <c r="O73" s="69">
        <f>IF(ISNUMBER('Step 3 (MTP) - Plan and prior'!O58),'Step 3 (MTP) - Plan and prior'!O58,"")</f>
        <v>117.4</v>
      </c>
      <c r="P73" s="69">
        <f>IF(ISNUMBER('Step 3 (MTP) - Plan and prior'!P58),'Step 3 (MTP) - Plan and prior'!P58,"")</f>
        <v>115.9</v>
      </c>
      <c r="Q73" s="69">
        <f>IF(ISNUMBER('Step 3 (MTP) - Plan and prior'!Q58),'Step 3 (MTP) - Plan and prior'!Q58,"")</f>
        <v>114.3</v>
      </c>
      <c r="R73" s="69">
        <f>IF(ISNUMBER('Step 3 (MTP) - Plan and prior'!R58),'Step 3 (MTP) - Plan and prior'!R58,"")</f>
        <v>112.9</v>
      </c>
      <c r="S73" s="69">
        <f>IF(ISNUMBER('Step 3 (MTP) - Plan and prior'!S58),'Step 3 (MTP) - Plan and prior'!S58,"")</f>
        <v>111.5</v>
      </c>
      <c r="T73" s="69" t="str">
        <f>IF(ISNUMBER('Step 3 (MTP) - Plan and prior'!T58),'Step 3 (MTP) - Plan and prior'!T58,"")</f>
        <v/>
      </c>
      <c r="U73" s="69" t="str">
        <f>IF(ISNUMBER('Step 3 (MTP) - Plan and prior'!U58),'Step 3 (MTP) - Plan and prior'!U58,"")</f>
        <v/>
      </c>
      <c r="V73" s="69" t="str">
        <f>IF(ISNUMBER('Step 3 (MTP) - Plan and prior'!V58),'Step 3 (MTP) - Plan and prior'!V58,"")</f>
        <v/>
      </c>
      <c r="W73" s="69" t="str">
        <f>IF(ISNUMBER('Step 3 (MTP) - Plan and prior'!W58),'Step 3 (MTP) - Plan and prior'!W58,"")</f>
        <v/>
      </c>
      <c r="X73" t="str">
        <f>IF(ISNUMBER('Step 3 (MTP) - Plan and prior'!X58),'Step 3 (MTP) - Plan and prior'!X58,"")</f>
        <v/>
      </c>
    </row>
    <row r="74" spans="2:24" ht="20.25" customHeight="1" x14ac:dyDescent="0.4">
      <c r="B74" s="45" t="str">
        <f>'Step 3 (MTP) - Plan and prior'!B59</f>
        <v>Debt sustainability assessment (4-year adjustment period)</v>
      </c>
      <c r="D74" s="59" t="str">
        <f>IF(ISNUMBER('Step 3 (MTP) - Plan and prior'!D59),'Step 3 (MTP) - Plan and prior'!D59,"")</f>
        <v/>
      </c>
      <c r="E74" s="59" t="str">
        <f>IF(ISNUMBER('Step 3 (MTP) - Plan and prior'!E59),'Step 3 (MTP) - Plan and prior'!E59,"")</f>
        <v/>
      </c>
      <c r="F74" s="59" t="str">
        <f>IF(ISNUMBER('Step 3 (MTP) - Plan and prior'!F59),'Step 3 (MTP) - Plan and prior'!F59,"")</f>
        <v/>
      </c>
      <c r="G74" s="59" t="str">
        <f>IF(ISNUMBER('Step 3 (MTP) - Plan and prior'!G59),'Step 3 (MTP) - Plan and prior'!G59,"")</f>
        <v/>
      </c>
      <c r="H74" s="59" t="str">
        <f>IF(ISNUMBER('Step 3 (MTP) - Plan and prior'!H59),'Step 3 (MTP) - Plan and prior'!H59,"")</f>
        <v/>
      </c>
      <c r="I74" s="59" t="str">
        <f>IF(ISNUMBER('Step 3 (MTP) - Plan and prior'!I59),'Step 3 (MTP) - Plan and prior'!I59,"")</f>
        <v/>
      </c>
      <c r="J74" s="59" t="str">
        <f>IF(ISNUMBER('Step 3 (MTP) - Plan and prior'!J59),'Step 3 (MTP) - Plan and prior'!J59,"")</f>
        <v/>
      </c>
      <c r="K74" s="59" t="str">
        <f>IF(ISNUMBER('Step 3 (MTP) - Plan and prior'!K59),'Step 3 (MTP) - Plan and prior'!K59,"")</f>
        <v/>
      </c>
      <c r="L74" s="59" t="str">
        <f>IF(ISNUMBER('Step 3 (MTP) - Plan and prior'!L59),'Step 3 (MTP) - Plan and prior'!L59,"")</f>
        <v/>
      </c>
      <c r="M74" s="59" t="str">
        <f>IF(ISNUMBER('Step 3 (MTP) - Plan and prior'!M59),'Step 3 (MTP) - Plan and prior'!M59,"")</f>
        <v/>
      </c>
      <c r="N74" s="59" t="str">
        <f>IF(ISNUMBER('Step 3 (MTP) - Plan and prior'!N59),'Step 3 (MTP) - Plan and prior'!N59,"")</f>
        <v/>
      </c>
      <c r="O74" s="59" t="str">
        <f>IF(ISNUMBER('Step 3 (MTP) - Plan and prior'!O59),'Step 3 (MTP) - Plan and prior'!O59,"")</f>
        <v/>
      </c>
      <c r="P74" s="59" t="str">
        <f>IF(ISNUMBER('Step 3 (MTP) - Plan and prior'!P59),'Step 3 (MTP) - Plan and prior'!P59,"")</f>
        <v/>
      </c>
      <c r="Q74" s="59" t="str">
        <f>IF(ISNUMBER('Step 3 (MTP) - Plan and prior'!Q59),'Step 3 (MTP) - Plan and prior'!Q59,"")</f>
        <v/>
      </c>
      <c r="R74" s="59" t="str">
        <f>IF(ISNUMBER('Step 3 (MTP) - Plan and prior'!R59),'Step 3 (MTP) - Plan and prior'!R59,"")</f>
        <v/>
      </c>
      <c r="S74" s="59" t="str">
        <f>IF(ISNUMBER('Step 3 (MTP) - Plan and prior'!S59),'Step 3 (MTP) - Plan and prior'!S59,"")</f>
        <v/>
      </c>
      <c r="T74" s="59" t="str">
        <f>IF(ISNUMBER('Step 3 (MTP) - Plan and prior'!T59),'Step 3 (MTP) - Plan and prior'!T59,"")</f>
        <v/>
      </c>
      <c r="U74" s="59" t="str">
        <f>IF(ISNUMBER('Step 3 (MTP) - Plan and prior'!U59),'Step 3 (MTP) - Plan and prior'!U59,"")</f>
        <v/>
      </c>
      <c r="V74" s="59" t="str">
        <f>IF(ISNUMBER('Step 3 (MTP) - Plan and prior'!V59),'Step 3 (MTP) - Plan and prior'!V59,"")</f>
        <v/>
      </c>
      <c r="W74" s="59" t="str">
        <f>IF(ISNUMBER('Step 3 (MTP) - Plan and prior'!W59),'Step 3 (MTP) - Plan and prior'!W59,"")</f>
        <v/>
      </c>
      <c r="X74" t="str">
        <f>IF(ISNUMBER('Step 3 (MTP) - Plan and prior'!X59),'Step 3 (MTP) - Plan and prior'!X59,"")</f>
        <v/>
      </c>
    </row>
    <row r="75" spans="2:24" x14ac:dyDescent="0.4">
      <c r="B75" s="47" t="s">
        <v>285</v>
      </c>
      <c r="D75" s="69">
        <f>IF(ISNUMBER('Step 3 (MTP) - Plan and prior'!D40),'Step 3 (MTP) - Plan and prior'!D40,"")</f>
        <v>161.9</v>
      </c>
      <c r="E75" s="69">
        <f>IF(ISNUMBER('Step 3 (MTP) - Plan and prior'!E40),'Step 3 (MTP) - Plan and prior'!E40,"")</f>
        <v>153.69999999999999</v>
      </c>
      <c r="F75" s="69">
        <f>IF(ISNUMBER('Step 3 (MTP) - Plan and prior'!F40),'Step 3 (MTP) - Plan and prior'!F40,"")</f>
        <v>148.80000000000001</v>
      </c>
      <c r="G75" s="69">
        <f>IF(ISNUMBER('Step 3 (MTP) - Plan and prior'!G40),'Step 3 (MTP) - Plan and prior'!G40,"")</f>
        <v>142.4</v>
      </c>
      <c r="H75" s="69">
        <f>IF(ISNUMBER('Step 3 (MTP) - Plan and prior'!H40),'Step 3 (MTP) - Plan and prior'!H40,"")</f>
        <v>137.19999999999999</v>
      </c>
      <c r="I75" s="69">
        <f>IF(ISNUMBER('Step 3 (MTP) - Plan and prior'!I40),'Step 3 (MTP) - Plan and prior'!I40,"")</f>
        <v>132.5</v>
      </c>
      <c r="J75" s="69">
        <f>IF(ISNUMBER('Step 3 (MTP) - Plan and prior'!J40),'Step 3 (MTP) - Plan and prior'!J40,"")</f>
        <v>128.80000000000001</v>
      </c>
      <c r="K75" s="69">
        <f>IF(ISNUMBER('Step 3 (MTP) - Plan and prior'!K40),'Step 3 (MTP) - Plan and prior'!K40,"")</f>
        <v>125.4</v>
      </c>
      <c r="L75" s="69">
        <f>IF(ISNUMBER('Step 3 (MTP) - Plan and prior'!L40),'Step 3 (MTP) - Plan and prior'!L40,"")</f>
        <v>122.2</v>
      </c>
      <c r="M75" s="69">
        <f>IF(ISNUMBER('Step 3 (MTP) - Plan and prior'!M40),'Step 3 (MTP) - Plan and prior'!M40,"")</f>
        <v>119.3</v>
      </c>
      <c r="N75" s="69">
        <f>IF(ISNUMBER('Step 3 (MTP) - Plan and prior'!N40),'Step 3 (MTP) - Plan and prior'!N40,"")</f>
        <v>117.8</v>
      </c>
      <c r="O75" s="69">
        <f>IF(ISNUMBER('Step 3 (MTP) - Plan and prior'!O40),'Step 3 (MTP) - Plan and prior'!O40,"")</f>
        <v>116.5</v>
      </c>
      <c r="P75" s="69">
        <f>IF(ISNUMBER('Step 3 (MTP) - Plan and prior'!P40),'Step 3 (MTP) - Plan and prior'!P40,"")</f>
        <v>114.9</v>
      </c>
      <c r="Q75" s="69">
        <f>IF(ISNUMBER('Step 3 (MTP) - Plan and prior'!Q40),'Step 3 (MTP) - Plan and prior'!Q40,"")</f>
        <v>113.3</v>
      </c>
      <c r="R75" s="69">
        <f>IF(ISNUMBER('Step 3 (MTP) - Plan and prior'!R40),'Step 3 (MTP) - Plan and prior'!R40,"")</f>
        <v>111.7</v>
      </c>
      <c r="S75" s="69">
        <f>IF(ISNUMBER('Step 3 (MTP) - Plan and prior'!S40),'Step 3 (MTP) - Plan and prior'!S40,"")</f>
        <v>110.3</v>
      </c>
      <c r="T75" s="69" t="str">
        <f>IF(ISNUMBER('Step 3 (MTP) - Plan and prior'!T60),'Step 3 (MTP) - Plan and prior'!T60,"")</f>
        <v/>
      </c>
      <c r="U75" s="69" t="str">
        <f>IF(ISNUMBER('Step 3 (MTP) - Plan and prior'!U60),'Step 3 (MTP) - Plan and prior'!U60,"")</f>
        <v/>
      </c>
      <c r="V75" s="69" t="str">
        <f>IF(ISNUMBER('Step 3 (MTP) - Plan and prior'!V60),'Step 3 (MTP) - Plan and prior'!V60,"")</f>
        <v/>
      </c>
      <c r="W75" s="69" t="str">
        <f>IF(ISNUMBER('Step 3 (MTP) - Plan and prior'!W60),'Step 3 (MTP) - Plan and prior'!W60,"")</f>
        <v/>
      </c>
      <c r="X75" t="str">
        <f>IF(ISNUMBER('Step 3 (MTP) - Plan and prior'!X60),'Step 3 (MTP) - Plan and prior'!X60,"")</f>
        <v/>
      </c>
    </row>
    <row r="76" spans="2:24" x14ac:dyDescent="0.4">
      <c r="B76" s="47" t="s">
        <v>286</v>
      </c>
      <c r="D76" s="69">
        <f>IF(ISNUMBER('Step 3 (MTP) - Plan and prior'!D41),'Step 3 (MTP) - Plan and prior'!D41,"")</f>
        <v>161.9</v>
      </c>
      <c r="E76" s="69">
        <f>IF(ISNUMBER('Step 3 (MTP) - Plan and prior'!E41),'Step 3 (MTP) - Plan and prior'!E41,"")</f>
        <v>153.69999999999999</v>
      </c>
      <c r="F76" s="69">
        <f>IF(ISNUMBER('Step 3 (MTP) - Plan and prior'!F41),'Step 3 (MTP) - Plan and prior'!F41,"")</f>
        <v>149.1</v>
      </c>
      <c r="G76" s="69">
        <f>IF(ISNUMBER('Step 3 (MTP) - Plan and prior'!G41),'Step 3 (MTP) - Plan and prior'!G41,"")</f>
        <v>143.1</v>
      </c>
      <c r="H76" s="69">
        <f>IF(ISNUMBER('Step 3 (MTP) - Plan and prior'!H41),'Step 3 (MTP) - Plan and prior'!H41,"")</f>
        <v>138</v>
      </c>
      <c r="I76" s="69">
        <f>IF(ISNUMBER('Step 3 (MTP) - Plan and prior'!I41),'Step 3 (MTP) - Plan and prior'!I41,"")</f>
        <v>133.4</v>
      </c>
      <c r="J76" s="69">
        <f>IF(ISNUMBER('Step 3 (MTP) - Plan and prior'!J41),'Step 3 (MTP) - Plan and prior'!J41,"")</f>
        <v>130.5</v>
      </c>
      <c r="K76" s="69">
        <f>IF(ISNUMBER('Step 3 (MTP) - Plan and prior'!K41),'Step 3 (MTP) - Plan and prior'!K41,"")</f>
        <v>127.7</v>
      </c>
      <c r="L76" s="69">
        <f>IF(ISNUMBER('Step 3 (MTP) - Plan and prior'!L41),'Step 3 (MTP) - Plan and prior'!L41,"")</f>
        <v>125.2</v>
      </c>
      <c r="M76" s="69">
        <f>IF(ISNUMBER('Step 3 (MTP) - Plan and prior'!M41),'Step 3 (MTP) - Plan and prior'!M41,"")</f>
        <v>122.7</v>
      </c>
      <c r="N76" s="69">
        <f>IF(ISNUMBER('Step 3 (MTP) - Plan and prior'!N41),'Step 3 (MTP) - Plan and prior'!N41,"")</f>
        <v>121.8</v>
      </c>
      <c r="O76" s="69">
        <f>IF(ISNUMBER('Step 3 (MTP) - Plan and prior'!O41),'Step 3 (MTP) - Plan and prior'!O41,"")</f>
        <v>121</v>
      </c>
      <c r="P76" s="69">
        <f>IF(ISNUMBER('Step 3 (MTP) - Plan and prior'!P41),'Step 3 (MTP) - Plan and prior'!P41,"")</f>
        <v>119.9</v>
      </c>
      <c r="Q76" s="69">
        <f>IF(ISNUMBER('Step 3 (MTP) - Plan and prior'!Q41),'Step 3 (MTP) - Plan and prior'!Q41,"")</f>
        <v>118.8</v>
      </c>
      <c r="R76" s="69">
        <f>IF(ISNUMBER('Step 3 (MTP) - Plan and prior'!R41),'Step 3 (MTP) - Plan and prior'!R41,"")</f>
        <v>117.7</v>
      </c>
      <c r="S76" s="69">
        <f>IF(ISNUMBER('Step 3 (MTP) - Plan and prior'!S41),'Step 3 (MTP) - Plan and prior'!S41,"")</f>
        <v>116.7</v>
      </c>
      <c r="T76" s="69" t="str">
        <f>IF(ISNUMBER('Step 3 (MTP) - Plan and prior'!T61),'Step 3 (MTP) - Plan and prior'!T61,"")</f>
        <v/>
      </c>
      <c r="U76" s="69" t="str">
        <f>IF(ISNUMBER('Step 3 (MTP) - Plan and prior'!U61),'Step 3 (MTP) - Plan and prior'!U61,"")</f>
        <v/>
      </c>
      <c r="V76" s="69" t="str">
        <f>IF(ISNUMBER('Step 3 (MTP) - Plan and prior'!V61),'Step 3 (MTP) - Plan and prior'!V61,"")</f>
        <v/>
      </c>
      <c r="W76" s="69" t="str">
        <f>IF(ISNUMBER('Step 3 (MTP) - Plan and prior'!W61),'Step 3 (MTP) - Plan and prior'!W61,"")</f>
        <v/>
      </c>
      <c r="X76" t="str">
        <f>IF(ISNUMBER('Step 3 (MTP) - Plan and prior'!X61),'Step 3 (MTP) - Plan and prior'!X61,"")</f>
        <v/>
      </c>
    </row>
    <row r="77" spans="2:24" x14ac:dyDescent="0.4">
      <c r="B77" s="47" t="s">
        <v>287</v>
      </c>
      <c r="D77" s="69">
        <f>IF(ISNUMBER('Step 3 (MTP) - Plan and prior'!D42),'Step 3 (MTP) - Plan and prior'!D42,"")</f>
        <v>161.9</v>
      </c>
      <c r="E77" s="69">
        <f>IF(ISNUMBER('Step 3 (MTP) - Plan and prior'!E42),'Step 3 (MTP) - Plan and prior'!E42,"")</f>
        <v>153.69999999999999</v>
      </c>
      <c r="F77" s="69">
        <f>IF(ISNUMBER('Step 3 (MTP) - Plan and prior'!F42),'Step 3 (MTP) - Plan and prior'!F42,"")</f>
        <v>149.1</v>
      </c>
      <c r="G77" s="69">
        <f>IF(ISNUMBER('Step 3 (MTP) - Plan and prior'!G42),'Step 3 (MTP) - Plan and prior'!G42,"")</f>
        <v>143.1</v>
      </c>
      <c r="H77" s="69">
        <f>IF(ISNUMBER('Step 3 (MTP) - Plan and prior'!H42),'Step 3 (MTP) - Plan and prior'!H42,"")</f>
        <v>138</v>
      </c>
      <c r="I77" s="69">
        <f>IF(ISNUMBER('Step 3 (MTP) - Plan and prior'!I42),'Step 3 (MTP) - Plan and prior'!I42,"")</f>
        <v>133.4</v>
      </c>
      <c r="J77" s="69">
        <f>IF(ISNUMBER('Step 3 (MTP) - Plan and prior'!J42),'Step 3 (MTP) - Plan and prior'!J42,"")</f>
        <v>130</v>
      </c>
      <c r="K77" s="69">
        <f>IF(ISNUMBER('Step 3 (MTP) - Plan and prior'!K42),'Step 3 (MTP) - Plan and prior'!K42,"")</f>
        <v>127.1</v>
      </c>
      <c r="L77" s="69">
        <f>IF(ISNUMBER('Step 3 (MTP) - Plan and prior'!L42),'Step 3 (MTP) - Plan and prior'!L42,"")</f>
        <v>124.8</v>
      </c>
      <c r="M77" s="69">
        <f>IF(ISNUMBER('Step 3 (MTP) - Plan and prior'!M42),'Step 3 (MTP) - Plan and prior'!M42,"")</f>
        <v>122.8</v>
      </c>
      <c r="N77" s="69">
        <f>IF(ISNUMBER('Step 3 (MTP) - Plan and prior'!N42),'Step 3 (MTP) - Plan and prior'!N42,"")</f>
        <v>122.4</v>
      </c>
      <c r="O77" s="69">
        <f>IF(ISNUMBER('Step 3 (MTP) - Plan and prior'!O42),'Step 3 (MTP) - Plan and prior'!O42,"")</f>
        <v>121.9</v>
      </c>
      <c r="P77" s="69">
        <f>IF(ISNUMBER('Step 3 (MTP) - Plan and prior'!P42),'Step 3 (MTP) - Plan and prior'!P42,"")</f>
        <v>121.3</v>
      </c>
      <c r="Q77" s="69">
        <f>IF(ISNUMBER('Step 3 (MTP) - Plan and prior'!Q42),'Step 3 (MTP) - Plan and prior'!Q42,"")</f>
        <v>120.5</v>
      </c>
      <c r="R77" s="69">
        <f>IF(ISNUMBER('Step 3 (MTP) - Plan and prior'!R42),'Step 3 (MTP) - Plan and prior'!R42,"")</f>
        <v>119.9</v>
      </c>
      <c r="S77" s="69">
        <f>IF(ISNUMBER('Step 3 (MTP) - Plan and prior'!S42),'Step 3 (MTP) - Plan and prior'!S42,"")</f>
        <v>119.3</v>
      </c>
      <c r="T77" s="69" t="str">
        <f>IF(ISNUMBER('Step 3 (MTP) - Plan and prior'!T62),'Step 3 (MTP) - Plan and prior'!T62,"")</f>
        <v/>
      </c>
      <c r="U77" s="69" t="str">
        <f>IF(ISNUMBER('Step 3 (MTP) - Plan and prior'!U62),'Step 3 (MTP) - Plan and prior'!U62,"")</f>
        <v/>
      </c>
      <c r="V77" s="69" t="str">
        <f>IF(ISNUMBER('Step 3 (MTP) - Plan and prior'!V62),'Step 3 (MTP) - Plan and prior'!V62,"")</f>
        <v/>
      </c>
      <c r="W77" s="69" t="str">
        <f>IF(ISNUMBER('Step 3 (MTP) - Plan and prior'!W62),'Step 3 (MTP) - Plan and prior'!W62,"")</f>
        <v/>
      </c>
      <c r="X77" t="str">
        <f>IF(ISNUMBER('Step 3 (MTP) - Plan and prior'!X62),'Step 3 (MTP) - Plan and prior'!X62,"")</f>
        <v/>
      </c>
    </row>
    <row r="78" spans="2:24" x14ac:dyDescent="0.4">
      <c r="B78" s="47" t="s">
        <v>288</v>
      </c>
      <c r="D78" s="69">
        <f>IF(ISNUMBER('Step 3 (MTP) - Plan and prior'!D43),'Step 3 (MTP) - Plan and prior'!D43,"")</f>
        <v>161.9</v>
      </c>
      <c r="E78" s="69">
        <f>IF(ISNUMBER('Step 3 (MTP) - Plan and prior'!E43),'Step 3 (MTP) - Plan and prior'!E43,"")</f>
        <v>153.69999999999999</v>
      </c>
      <c r="F78" s="69">
        <f>IF(ISNUMBER('Step 3 (MTP) - Plan and prior'!F43),'Step 3 (MTP) - Plan and prior'!F43,"")</f>
        <v>149.1</v>
      </c>
      <c r="G78" s="69">
        <f>IF(ISNUMBER('Step 3 (MTP) - Plan and prior'!G43),'Step 3 (MTP) - Plan and prior'!G43,"")</f>
        <v>143.1</v>
      </c>
      <c r="H78" s="69">
        <f>IF(ISNUMBER('Step 3 (MTP) - Plan and prior'!H43),'Step 3 (MTP) - Plan and prior'!H43,"")</f>
        <v>138</v>
      </c>
      <c r="I78" s="69">
        <f>IF(ISNUMBER('Step 3 (MTP) - Plan and prior'!I43),'Step 3 (MTP) - Plan and prior'!I43,"")</f>
        <v>133.4</v>
      </c>
      <c r="J78" s="69">
        <f>IF(ISNUMBER('Step 3 (MTP) - Plan and prior'!J43),'Step 3 (MTP) - Plan and prior'!J43,"")</f>
        <v>130.80000000000001</v>
      </c>
      <c r="K78" s="69">
        <f>IF(ISNUMBER('Step 3 (MTP) - Plan and prior'!K43),'Step 3 (MTP) - Plan and prior'!K43,"")</f>
        <v>128.5</v>
      </c>
      <c r="L78" s="69">
        <f>IF(ISNUMBER('Step 3 (MTP) - Plan and prior'!L43),'Step 3 (MTP) - Plan and prior'!L43,"")</f>
        <v>126.6</v>
      </c>
      <c r="M78" s="69">
        <f>IF(ISNUMBER('Step 3 (MTP) - Plan and prior'!M43),'Step 3 (MTP) - Plan and prior'!M43,"")</f>
        <v>124.7</v>
      </c>
      <c r="N78" s="69">
        <f>IF(ISNUMBER('Step 3 (MTP) - Plan and prior'!N43),'Step 3 (MTP) - Plan and prior'!N43,"")</f>
        <v>124.5</v>
      </c>
      <c r="O78" s="69">
        <f>IF(ISNUMBER('Step 3 (MTP) - Plan and prior'!O43),'Step 3 (MTP) - Plan and prior'!O43,"")</f>
        <v>124.4</v>
      </c>
      <c r="P78" s="69">
        <f>IF(ISNUMBER('Step 3 (MTP) - Plan and prior'!P43),'Step 3 (MTP) - Plan and prior'!P43,"")</f>
        <v>124.1</v>
      </c>
      <c r="Q78" s="69">
        <f>IF(ISNUMBER('Step 3 (MTP) - Plan and prior'!Q43),'Step 3 (MTP) - Plan and prior'!Q43,"")</f>
        <v>123.8</v>
      </c>
      <c r="R78" s="69">
        <f>IF(ISNUMBER('Step 3 (MTP) - Plan and prior'!R43),'Step 3 (MTP) - Plan and prior'!R43,"")</f>
        <v>123.5</v>
      </c>
      <c r="S78" s="69">
        <f>IF(ISNUMBER('Step 3 (MTP) - Plan and prior'!S43),'Step 3 (MTP) - Plan and prior'!S43,"")</f>
        <v>123.5</v>
      </c>
      <c r="T78" s="69" t="str">
        <f>IF(ISNUMBER('Step 3 (MTP) - Plan and prior'!T63),'Step 3 (MTP) - Plan and prior'!T63,"")</f>
        <v/>
      </c>
      <c r="U78" s="69" t="str">
        <f>IF(ISNUMBER('Step 3 (MTP) - Plan and prior'!U63),'Step 3 (MTP) - Plan and prior'!U63,"")</f>
        <v/>
      </c>
      <c r="V78" s="69" t="str">
        <f>IF(ISNUMBER('Step 3 (MTP) - Plan and prior'!V63),'Step 3 (MTP) - Plan and prior'!V63,"")</f>
        <v/>
      </c>
      <c r="W78" s="69" t="str">
        <f>IF(ISNUMBER('Step 3 (MTP) - Plan and prior'!W63),'Step 3 (MTP) - Plan and prior'!W63,"")</f>
        <v/>
      </c>
      <c r="X78" t="str">
        <f>IF(ISNUMBER('Step 3 (MTP) - Plan and prior'!X63),'Step 3 (MTP) - Plan and prior'!X63,"")</f>
        <v/>
      </c>
    </row>
    <row r="79" spans="2:24" x14ac:dyDescent="0.4">
      <c r="B79" s="47" t="str">
        <f>'Step 3 (MTP) - Plan and prior'!B64</f>
        <v>Stochastic debt projections, 2029-2033</v>
      </c>
      <c r="D79" s="69" t="str">
        <f>IF(ISNUMBER('Step 3 (MTP) - Plan and prior'!D64),'Step 3 (MTP) - Plan and prior'!D64,"")</f>
        <v/>
      </c>
      <c r="E79" s="69" t="str">
        <f>IF(ISNUMBER('Step 3 (MTP) - Plan and prior'!E64),'Step 3 (MTP) - Plan and prior'!E64,"")</f>
        <v/>
      </c>
      <c r="F79" s="69" t="str">
        <f>IF(ISNUMBER('Step 3 (MTP) - Plan and prior'!F64),'Step 3 (MTP) - Plan and prior'!F64,"")</f>
        <v/>
      </c>
      <c r="G79" s="69" t="str">
        <f>IF(ISNUMBER('Step 3 (MTP) - Plan and prior'!G64),'Step 3 (MTP) - Plan and prior'!G64,"")</f>
        <v/>
      </c>
      <c r="H79" s="69" t="str">
        <f>IF(ISNUMBER('Step 3 (MTP) - Plan and prior'!H64),'Step 3 (MTP) - Plan and prior'!H64,"")</f>
        <v/>
      </c>
      <c r="I79" s="69" t="str">
        <f>IF(ISNUMBER('Step 3 (MTP) - Plan and prior'!I64),'Step 3 (MTP) - Plan and prior'!I64,"")</f>
        <v/>
      </c>
      <c r="J79" s="69" t="str">
        <f>IF(ISNUMBER('Step 3 (MTP) - Plan and prior'!J64),'Step 3 (MTP) - Plan and prior'!J64,"")</f>
        <v/>
      </c>
      <c r="K79" s="69" t="str">
        <f>IF(ISNUMBER('Step 3 (MTP) - Plan and prior'!K64),'Step 3 (MTP) - Plan and prior'!K64,"")</f>
        <v/>
      </c>
      <c r="L79" s="69" t="str">
        <f>IF(ISNUMBER('Step 3 (MTP) - Plan and prior'!L64),'Step 3 (MTP) - Plan and prior'!L64,"")</f>
        <v/>
      </c>
      <c r="M79" s="69" t="str">
        <f>IF(ISNUMBER('Step 3 (MTP) - Plan and prior'!M64),'Step 3 (MTP) - Plan and prior'!M64,"")</f>
        <v/>
      </c>
      <c r="N79" s="69" t="str">
        <f>IF(ISNUMBER('Step 3 (MTP) - Plan and prior'!N64),'Step 3 (MTP) - Plan and prior'!N64,"")</f>
        <v/>
      </c>
      <c r="O79" s="69" t="str">
        <f>IF(ISNUMBER('Step 3 (MTP) - Plan and prior'!O64),'Step 3 (MTP) - Plan and prior'!O64,"")</f>
        <v/>
      </c>
      <c r="P79" s="69" t="str">
        <f>IF(ISNUMBER('Step 3 (MTP) - Plan and prior'!P64),'Step 3 (MTP) - Plan and prior'!P64,"")</f>
        <v/>
      </c>
      <c r="Q79" s="69" t="str">
        <f>IF(ISNUMBER('Step 3 (MTP) - Plan and prior'!Q64),'Step 3 (MTP) - Plan and prior'!Q64,"")</f>
        <v/>
      </c>
      <c r="R79" s="69" t="str">
        <f>IF(ISNUMBER('Step 3 (MTP) - Plan and prior'!R64),'Step 3 (MTP) - Plan and prior'!R64,"")</f>
        <v/>
      </c>
      <c r="S79" s="69" t="str">
        <f>IF(ISNUMBER('Step 3 (MTP) - Plan and prior'!S64),'Step 3 (MTP) - Plan and prior'!S64,"")</f>
        <v/>
      </c>
      <c r="T79" s="69" t="str">
        <f>IF(ISNUMBER('Step 3 (MTP) - Plan and prior'!T64),'Step 3 (MTP) - Plan and prior'!T64,"")</f>
        <v/>
      </c>
      <c r="U79" s="69" t="str">
        <f>IF(ISNUMBER('Step 3 (MTP) - Plan and prior'!U64),'Step 3 (MTP) - Plan and prior'!U64,"")</f>
        <v/>
      </c>
      <c r="V79" s="69" t="str">
        <f>IF(ISNUMBER('Step 3 (MTP) - Plan and prior'!V64),'Step 3 (MTP) - Plan and prior'!V64,"")</f>
        <v/>
      </c>
      <c r="W79" s="69" t="str">
        <f>IF(ISNUMBER('Step 3 (MTP) - Plan and prior'!W64),'Step 3 (MTP) - Plan and prior'!W64,"")</f>
        <v/>
      </c>
      <c r="X79" t="str">
        <f>IF(ISNUMBER('Step 3 (MTP) - Plan and prior'!X64),'Step 3 (MTP) - Plan and prior'!X64,"")</f>
        <v/>
      </c>
    </row>
    <row r="80" spans="2:24" x14ac:dyDescent="0.4">
      <c r="B80" s="83" t="s">
        <v>317</v>
      </c>
      <c r="D80" s="69" t="str">
        <f>IF(ISNUMBER('Step 3 (MTP) - Plan and prior'!D65),'Step 3 (MTP) - Plan and prior'!D65,"")</f>
        <v/>
      </c>
      <c r="E80" s="69" t="str">
        <f>IF(ISNUMBER('Step 3 (MTP) - Plan and prior'!E65),'Step 3 (MTP) - Plan and prior'!E65,"")</f>
        <v/>
      </c>
      <c r="F80" s="69" t="str">
        <f>IF(ISNUMBER('Step 3 (MTP) - Plan and prior'!F65),'Step 3 (MTP) - Plan and prior'!F65,"")</f>
        <v/>
      </c>
      <c r="G80" s="69" t="str">
        <f>IF(ISNUMBER('Step 3 (MTP) - Plan and prior'!G65),'Step 3 (MTP) - Plan and prior'!G65,"")</f>
        <v/>
      </c>
      <c r="H80" s="69" t="str">
        <f>IF(ISNUMBER('Step 3 (MTP) - Plan and prior'!H65),'Step 3 (MTP) - Plan and prior'!H65,"")</f>
        <v/>
      </c>
      <c r="I80" s="69" t="str">
        <f>IF(ISNUMBER('Step 3 (MTP) - Plan and prior'!I65),'Step 3 (MTP) - Plan and prior'!I65,"")</f>
        <v/>
      </c>
      <c r="J80" s="69">
        <f>IF(ISNUMBER('Step 3 (MTP) - Plan and prior'!J65),'Step 3 (MTP) - Plan and prior'!J65,"")</f>
        <v>122.3</v>
      </c>
      <c r="K80" s="69">
        <f>IF(ISNUMBER('Step 3 (MTP) - Plan and prior'!K65),'Step 3 (MTP) - Plan and prior'!K65,"")</f>
        <v>114.3</v>
      </c>
      <c r="L80" s="69">
        <f>IF(ISNUMBER('Step 3 (MTP) - Plan and prior'!L65),'Step 3 (MTP) - Plan and prior'!L65,"")</f>
        <v>107.6</v>
      </c>
      <c r="M80" s="69">
        <f>IF(ISNUMBER('Step 3 (MTP) - Plan and prior'!M65),'Step 3 (MTP) - Plan and prior'!M65,"")</f>
        <v>101.6</v>
      </c>
      <c r="N80" s="69">
        <f>IF(ISNUMBER('Step 3 (MTP) - Plan and prior'!N65),'Step 3 (MTP) - Plan and prior'!N65,"")</f>
        <v>98.1</v>
      </c>
      <c r="O80" s="69" t="str">
        <f>IF(ISNUMBER('Step 3 (MTP) - Plan and prior'!O65),'Step 3 (MTP) - Plan and prior'!O65,"")</f>
        <v/>
      </c>
      <c r="P80" s="69" t="str">
        <f>IF(ISNUMBER('Step 3 (MTP) - Plan and prior'!P65),'Step 3 (MTP) - Plan and prior'!P65,"")</f>
        <v/>
      </c>
      <c r="Q80" s="69" t="str">
        <f>IF(ISNUMBER('Step 3 (MTP) - Plan and prior'!Q65),'Step 3 (MTP) - Plan and prior'!Q65,"")</f>
        <v/>
      </c>
      <c r="R80" s="69" t="str">
        <f>IF(ISNUMBER('Step 3 (MTP) - Plan and prior'!R65),'Step 3 (MTP) - Plan and prior'!R65,"")</f>
        <v/>
      </c>
      <c r="S80" s="69" t="str">
        <f>IF(ISNUMBER('Step 3 (MTP) - Plan and prior'!S65),'Step 3 (MTP) - Plan and prior'!S65,"")</f>
        <v/>
      </c>
      <c r="T80" s="69" t="str">
        <f>IF(ISNUMBER('Step 3 (MTP) - Plan and prior'!T65),'Step 3 (MTP) - Plan and prior'!T65,"")</f>
        <v/>
      </c>
      <c r="U80" s="69" t="str">
        <f>IF(ISNUMBER('Step 3 (MTP) - Plan and prior'!U65),'Step 3 (MTP) - Plan and prior'!U65,"")</f>
        <v/>
      </c>
      <c r="V80" s="69" t="str">
        <f>IF(ISNUMBER('Step 3 (MTP) - Plan and prior'!V65),'Step 3 (MTP) - Plan and prior'!V65,"")</f>
        <v/>
      </c>
      <c r="W80" s="69" t="str">
        <f>IF(ISNUMBER('Step 3 (MTP) - Plan and prior'!W65),'Step 3 (MTP) - Plan and prior'!W65,"")</f>
        <v/>
      </c>
      <c r="X80" t="str">
        <f>IF(ISNUMBER('Step 3 (MTP) - Plan and prior'!X65),'Step 3 (MTP) - Plan and prior'!X65,"")</f>
        <v/>
      </c>
    </row>
    <row r="81" spans="2:35" x14ac:dyDescent="0.4">
      <c r="B81" s="83" t="s">
        <v>318</v>
      </c>
      <c r="D81" s="69" t="str">
        <f>IF(ISNUMBER('Step 3 (MTP) - Plan and prior'!D66),'Step 3 (MTP) - Plan and prior'!D66,"")</f>
        <v/>
      </c>
      <c r="E81" s="69" t="str">
        <f>IF(ISNUMBER('Step 3 (MTP) - Plan and prior'!E66),'Step 3 (MTP) - Plan and prior'!E66,"")</f>
        <v/>
      </c>
      <c r="F81" s="69" t="str">
        <f>IF(ISNUMBER('Step 3 (MTP) - Plan and prior'!F66),'Step 3 (MTP) - Plan and prior'!F66,"")</f>
        <v/>
      </c>
      <c r="G81" s="69" t="str">
        <f>IF(ISNUMBER('Step 3 (MTP) - Plan and prior'!G66),'Step 3 (MTP) - Plan and prior'!G66,"")</f>
        <v/>
      </c>
      <c r="H81" s="69" t="str">
        <f>IF(ISNUMBER('Step 3 (MTP) - Plan and prior'!H66),'Step 3 (MTP) - Plan and prior'!H66,"")</f>
        <v/>
      </c>
      <c r="I81" s="69" t="str">
        <f>IF(ISNUMBER('Step 3 (MTP) - Plan and prior'!I66),'Step 3 (MTP) - Plan and prior'!I66,"")</f>
        <v/>
      </c>
      <c r="J81" s="69">
        <f>IF(ISNUMBER('Step 3 (MTP) - Plan and prior'!J66),'Step 3 (MTP) - Plan and prior'!J66,"")</f>
        <v>6.4</v>
      </c>
      <c r="K81" s="69">
        <f>IF(ISNUMBER('Step 3 (MTP) - Plan and prior'!K66),'Step 3 (MTP) - Plan and prior'!K66,"")</f>
        <v>8.9</v>
      </c>
      <c r="L81" s="69">
        <f>IF(ISNUMBER('Step 3 (MTP) - Plan and prior'!L66),'Step 3 (MTP) - Plan and prior'!L66,"")</f>
        <v>11</v>
      </c>
      <c r="M81" s="69">
        <f>IF(ISNUMBER('Step 3 (MTP) - Plan and prior'!M66),'Step 3 (MTP) - Plan and prior'!M66,"")</f>
        <v>12.5</v>
      </c>
      <c r="N81" s="69">
        <f>IF(ISNUMBER('Step 3 (MTP) - Plan and prior'!N66),'Step 3 (MTP) - Plan and prior'!N66,"")</f>
        <v>13.2</v>
      </c>
      <c r="O81" s="69" t="str">
        <f>IF(ISNUMBER('Step 3 (MTP) - Plan and prior'!O66),'Step 3 (MTP) - Plan and prior'!O66,"")</f>
        <v/>
      </c>
      <c r="P81" s="69" t="str">
        <f>IF(ISNUMBER('Step 3 (MTP) - Plan and prior'!P66),'Step 3 (MTP) - Plan and prior'!P66,"")</f>
        <v/>
      </c>
      <c r="Q81" s="69" t="str">
        <f>IF(ISNUMBER('Step 3 (MTP) - Plan and prior'!Q66),'Step 3 (MTP) - Plan and prior'!Q66,"")</f>
        <v/>
      </c>
      <c r="R81" s="69" t="str">
        <f>IF(ISNUMBER('Step 3 (MTP) - Plan and prior'!R66),'Step 3 (MTP) - Plan and prior'!R66,"")</f>
        <v/>
      </c>
      <c r="S81" s="69" t="str">
        <f>IF(ISNUMBER('Step 3 (MTP) - Plan and prior'!S66),'Step 3 (MTP) - Plan and prior'!S66,"")</f>
        <v/>
      </c>
      <c r="T81" s="69" t="str">
        <f>IF(ISNUMBER('Step 3 (MTP) - Plan and prior'!T66),'Step 3 (MTP) - Plan and prior'!T66,"")</f>
        <v/>
      </c>
      <c r="U81" s="69" t="str">
        <f>IF(ISNUMBER('Step 3 (MTP) - Plan and prior'!U66),'Step 3 (MTP) - Plan and prior'!U66,"")</f>
        <v/>
      </c>
      <c r="V81" s="69" t="str">
        <f>IF(ISNUMBER('Step 3 (MTP) - Plan and prior'!V66),'Step 3 (MTP) - Plan and prior'!V66,"")</f>
        <v/>
      </c>
      <c r="W81" s="69" t="str">
        <f>IF(ISNUMBER('Step 3 (MTP) - Plan and prior'!W66),'Step 3 (MTP) - Plan and prior'!W66,"")</f>
        <v/>
      </c>
      <c r="X81" t="str">
        <f>IF(ISNUMBER('Step 3 (MTP) - Plan and prior'!X66),'Step 3 (MTP) - Plan and prior'!X66,"")</f>
        <v/>
      </c>
    </row>
    <row r="82" spans="2:35" x14ac:dyDescent="0.4">
      <c r="B82" s="83" t="s">
        <v>319</v>
      </c>
      <c r="D82" s="69" t="str">
        <f>IF(ISNUMBER('Step 3 (MTP) - Plan and prior'!D67),'Step 3 (MTP) - Plan and prior'!D67,"")</f>
        <v/>
      </c>
      <c r="E82" s="69" t="str">
        <f>IF(ISNUMBER('Step 3 (MTP) - Plan and prior'!E67),'Step 3 (MTP) - Plan and prior'!E67,"")</f>
        <v/>
      </c>
      <c r="F82" s="69" t="str">
        <f>IF(ISNUMBER('Step 3 (MTP) - Plan and prior'!F67),'Step 3 (MTP) - Plan and prior'!F67,"")</f>
        <v/>
      </c>
      <c r="G82" s="69" t="str">
        <f>IF(ISNUMBER('Step 3 (MTP) - Plan and prior'!G67),'Step 3 (MTP) - Plan and prior'!G67,"")</f>
        <v/>
      </c>
      <c r="H82" s="69" t="str">
        <f>IF(ISNUMBER('Step 3 (MTP) - Plan and prior'!H67),'Step 3 (MTP) - Plan and prior'!H67,"")</f>
        <v/>
      </c>
      <c r="I82" s="69" t="str">
        <f>IF(ISNUMBER('Step 3 (MTP) - Plan and prior'!I67),'Step 3 (MTP) - Plan and prior'!I67,"")</f>
        <v/>
      </c>
      <c r="J82" s="69">
        <f>IF(ISNUMBER('Step 3 (MTP) - Plan and prior'!J67),'Step 3 (MTP) - Plan and prior'!J67,"")</f>
        <v>4.5999999999999996</v>
      </c>
      <c r="K82" s="69">
        <f>IF(ISNUMBER('Step 3 (MTP) - Plan and prior'!K67),'Step 3 (MTP) - Plan and prior'!K67,"")</f>
        <v>6.5</v>
      </c>
      <c r="L82" s="69">
        <f>IF(ISNUMBER('Step 3 (MTP) - Plan and prior'!L67),'Step 3 (MTP) - Plan and prior'!L67,"")</f>
        <v>7.6</v>
      </c>
      <c r="M82" s="69">
        <f>IF(ISNUMBER('Step 3 (MTP) - Plan and prior'!M67),'Step 3 (MTP) - Plan and prior'!M67,"")</f>
        <v>8.8000000000000007</v>
      </c>
      <c r="N82" s="69">
        <f>IF(ISNUMBER('Step 3 (MTP) - Plan and prior'!N67),'Step 3 (MTP) - Plan and prior'!N67,"")</f>
        <v>9.8000000000000007</v>
      </c>
      <c r="O82" s="69" t="str">
        <f>IF(ISNUMBER('Step 3 (MTP) - Plan and prior'!O67),'Step 3 (MTP) - Plan and prior'!O67,"")</f>
        <v/>
      </c>
      <c r="P82" s="69" t="str">
        <f>IF(ISNUMBER('Step 3 (MTP) - Plan and prior'!P67),'Step 3 (MTP) - Plan and prior'!P67,"")</f>
        <v/>
      </c>
      <c r="Q82" s="69" t="str">
        <f>IF(ISNUMBER('Step 3 (MTP) - Plan and prior'!Q67),'Step 3 (MTP) - Plan and prior'!Q67,"")</f>
        <v/>
      </c>
      <c r="R82" s="69" t="str">
        <f>IF(ISNUMBER('Step 3 (MTP) - Plan and prior'!R67),'Step 3 (MTP) - Plan and prior'!R67,"")</f>
        <v/>
      </c>
      <c r="S82" s="69" t="str">
        <f>IF(ISNUMBER('Step 3 (MTP) - Plan and prior'!S67),'Step 3 (MTP) - Plan and prior'!S67,"")</f>
        <v/>
      </c>
      <c r="T82" s="69" t="str">
        <f>IF(ISNUMBER('Step 3 (MTP) - Plan and prior'!T67),'Step 3 (MTP) - Plan and prior'!T67,"")</f>
        <v/>
      </c>
      <c r="U82" s="69" t="str">
        <f>IF(ISNUMBER('Step 3 (MTP) - Plan and prior'!U67),'Step 3 (MTP) - Plan and prior'!U67,"")</f>
        <v/>
      </c>
      <c r="V82" s="69" t="str">
        <f>IF(ISNUMBER('Step 3 (MTP) - Plan and prior'!V67),'Step 3 (MTP) - Plan and prior'!V67,"")</f>
        <v/>
      </c>
      <c r="W82" s="69" t="str">
        <f>IF(ISNUMBER('Step 3 (MTP) - Plan and prior'!W67),'Step 3 (MTP) - Plan and prior'!W67,"")</f>
        <v/>
      </c>
      <c r="X82" t="str">
        <f>IF(ISNUMBER('Step 3 (MTP) - Plan and prior'!X67),'Step 3 (MTP) - Plan and prior'!X67,"")</f>
        <v/>
      </c>
    </row>
    <row r="83" spans="2:35" x14ac:dyDescent="0.4">
      <c r="B83" s="83" t="s">
        <v>320</v>
      </c>
      <c r="D83" s="69" t="str">
        <f>IF(ISNUMBER('Step 3 (MTP) - Plan and prior'!D68),'Step 3 (MTP) - Plan and prior'!D68,"")</f>
        <v/>
      </c>
      <c r="E83" s="69" t="str">
        <f>IF(ISNUMBER('Step 3 (MTP) - Plan and prior'!E68),'Step 3 (MTP) - Plan and prior'!E68,"")</f>
        <v/>
      </c>
      <c r="F83" s="69" t="str">
        <f>IF(ISNUMBER('Step 3 (MTP) - Plan and prior'!F68),'Step 3 (MTP) - Plan and prior'!F68,"")</f>
        <v/>
      </c>
      <c r="G83" s="69" t="str">
        <f>IF(ISNUMBER('Step 3 (MTP) - Plan and prior'!G68),'Step 3 (MTP) - Plan and prior'!G68,"")</f>
        <v/>
      </c>
      <c r="H83" s="69" t="str">
        <f>IF(ISNUMBER('Step 3 (MTP) - Plan and prior'!H68),'Step 3 (MTP) - Plan and prior'!H68,"")</f>
        <v/>
      </c>
      <c r="I83" s="69" t="str">
        <f>IF(ISNUMBER('Step 3 (MTP) - Plan and prior'!I68),'Step 3 (MTP) - Plan and prior'!I68,"")</f>
        <v/>
      </c>
      <c r="J83" s="69">
        <f>IF(ISNUMBER('Step 3 (MTP) - Plan and prior'!J68),'Step 3 (MTP) - Plan and prior'!J68,"")</f>
        <v>4.8</v>
      </c>
      <c r="K83" s="69">
        <f>IF(ISNUMBER('Step 3 (MTP) - Plan and prior'!K68),'Step 3 (MTP) - Plan and prior'!K68,"")</f>
        <v>6.4</v>
      </c>
      <c r="L83" s="69">
        <f>IF(ISNUMBER('Step 3 (MTP) - Plan and prior'!L68),'Step 3 (MTP) - Plan and prior'!L68,"")</f>
        <v>8.1</v>
      </c>
      <c r="M83" s="69">
        <f>IF(ISNUMBER('Step 3 (MTP) - Plan and prior'!M68),'Step 3 (MTP) - Plan and prior'!M68,"")</f>
        <v>10</v>
      </c>
      <c r="N83" s="69">
        <f>IF(ISNUMBER('Step 3 (MTP) - Plan and prior'!N68),'Step 3 (MTP) - Plan and prior'!N68,"")</f>
        <v>11.1</v>
      </c>
      <c r="O83" s="69" t="str">
        <f>IF(ISNUMBER('Step 3 (MTP) - Plan and prior'!O68),'Step 3 (MTP) - Plan and prior'!O68,"")</f>
        <v/>
      </c>
      <c r="P83" s="69" t="str">
        <f>IF(ISNUMBER('Step 3 (MTP) - Plan and prior'!P68),'Step 3 (MTP) - Plan and prior'!P68,"")</f>
        <v/>
      </c>
      <c r="Q83" s="69" t="str">
        <f>IF(ISNUMBER('Step 3 (MTP) - Plan and prior'!Q68),'Step 3 (MTP) - Plan and prior'!Q68,"")</f>
        <v/>
      </c>
      <c r="R83" s="69" t="str">
        <f>IF(ISNUMBER('Step 3 (MTP) - Plan and prior'!R68),'Step 3 (MTP) - Plan and prior'!R68,"")</f>
        <v/>
      </c>
      <c r="S83" s="69" t="str">
        <f>IF(ISNUMBER('Step 3 (MTP) - Plan and prior'!S68),'Step 3 (MTP) - Plan and prior'!S68,"")</f>
        <v/>
      </c>
      <c r="T83" s="69" t="str">
        <f>IF(ISNUMBER('Step 3 (MTP) - Plan and prior'!T68),'Step 3 (MTP) - Plan and prior'!T68,"")</f>
        <v/>
      </c>
      <c r="U83" s="69" t="str">
        <f>IF(ISNUMBER('Step 3 (MTP) - Plan and prior'!U68),'Step 3 (MTP) - Plan and prior'!U68,"")</f>
        <v/>
      </c>
      <c r="V83" s="69" t="str">
        <f>IF(ISNUMBER('Step 3 (MTP) - Plan and prior'!V68),'Step 3 (MTP) - Plan and prior'!V68,"")</f>
        <v/>
      </c>
      <c r="W83" s="69" t="str">
        <f>IF(ISNUMBER('Step 3 (MTP) - Plan and prior'!W68),'Step 3 (MTP) - Plan and prior'!W68,"")</f>
        <v/>
      </c>
      <c r="X83" t="str">
        <f>IF(ISNUMBER('Step 3 (MTP) - Plan and prior'!X68),'Step 3 (MTP) - Plan and prior'!X68,"")</f>
        <v/>
      </c>
    </row>
    <row r="84" spans="2:35" x14ac:dyDescent="0.4">
      <c r="B84" s="83" t="s">
        <v>321</v>
      </c>
      <c r="D84" s="69" t="str">
        <f>IF(ISNUMBER('Step 3 (MTP) - Plan and prior'!D69),'Step 3 (MTP) - Plan and prior'!D69,"")</f>
        <v/>
      </c>
      <c r="E84" s="69" t="str">
        <f>IF(ISNUMBER('Step 3 (MTP) - Plan and prior'!E69),'Step 3 (MTP) - Plan and prior'!E69,"")</f>
        <v/>
      </c>
      <c r="F84" s="69" t="str">
        <f>IF(ISNUMBER('Step 3 (MTP) - Plan and prior'!F69),'Step 3 (MTP) - Plan and prior'!F69,"")</f>
        <v/>
      </c>
      <c r="G84" s="69" t="str">
        <f>IF(ISNUMBER('Step 3 (MTP) - Plan and prior'!G69),'Step 3 (MTP) - Plan and prior'!G69,"")</f>
        <v/>
      </c>
      <c r="H84" s="69" t="str">
        <f>IF(ISNUMBER('Step 3 (MTP) - Plan and prior'!H69),'Step 3 (MTP) - Plan and prior'!H69,"")</f>
        <v/>
      </c>
      <c r="I84" s="69" t="str">
        <f>IF(ISNUMBER('Step 3 (MTP) - Plan and prior'!I69),'Step 3 (MTP) - Plan and prior'!I69,"")</f>
        <v/>
      </c>
      <c r="J84" s="69">
        <f>IF(ISNUMBER('Step 3 (MTP) - Plan and prior'!J69),'Step 3 (MTP) - Plan and prior'!J69,"")</f>
        <v>7.1</v>
      </c>
      <c r="K84" s="69">
        <f>IF(ISNUMBER('Step 3 (MTP) - Plan and prior'!K69),'Step 3 (MTP) - Plan and prior'!K69,"")</f>
        <v>10.3</v>
      </c>
      <c r="L84" s="69">
        <f>IF(ISNUMBER('Step 3 (MTP) - Plan and prior'!L69),'Step 3 (MTP) - Plan and prior'!L69,"")</f>
        <v>12.4</v>
      </c>
      <c r="M84" s="69">
        <f>IF(ISNUMBER('Step 3 (MTP) - Plan and prior'!M69),'Step 3 (MTP) - Plan and prior'!M69,"")</f>
        <v>14.2</v>
      </c>
      <c r="N84" s="69">
        <f>IF(ISNUMBER('Step 3 (MTP) - Plan and prior'!N69),'Step 3 (MTP) - Plan and prior'!N69,"")</f>
        <v>16</v>
      </c>
      <c r="O84" s="69" t="str">
        <f>IF(ISNUMBER('Step 3 (MTP) - Plan and prior'!O69),'Step 3 (MTP) - Plan and prior'!O69,"")</f>
        <v/>
      </c>
      <c r="P84" s="69" t="str">
        <f>IF(ISNUMBER('Step 3 (MTP) - Plan and prior'!P69),'Step 3 (MTP) - Plan and prior'!P69,"")</f>
        <v/>
      </c>
      <c r="Q84" s="69" t="str">
        <f>IF(ISNUMBER('Step 3 (MTP) - Plan and prior'!Q69),'Step 3 (MTP) - Plan and prior'!Q69,"")</f>
        <v/>
      </c>
      <c r="R84" s="69" t="str">
        <f>IF(ISNUMBER('Step 3 (MTP) - Plan and prior'!R69),'Step 3 (MTP) - Plan and prior'!R69,"")</f>
        <v/>
      </c>
      <c r="S84" s="69" t="str">
        <f>IF(ISNUMBER('Step 3 (MTP) - Plan and prior'!S69),'Step 3 (MTP) - Plan and prior'!S69,"")</f>
        <v/>
      </c>
      <c r="T84" s="69" t="str">
        <f>IF(ISNUMBER('Step 3 (MTP) - Plan and prior'!T69),'Step 3 (MTP) - Plan and prior'!T69,"")</f>
        <v/>
      </c>
      <c r="U84" s="69" t="str">
        <f>IF(ISNUMBER('Step 3 (MTP) - Plan and prior'!U69),'Step 3 (MTP) - Plan and prior'!U69,"")</f>
        <v/>
      </c>
      <c r="V84" s="69" t="str">
        <f>IF(ISNUMBER('Step 3 (MTP) - Plan and prior'!V69),'Step 3 (MTP) - Plan and prior'!V69,"")</f>
        <v/>
      </c>
      <c r="W84" s="69" t="str">
        <f>IF(ISNUMBER('Step 3 (MTP) - Plan and prior'!W69),'Step 3 (MTP) - Plan and prior'!W69,"")</f>
        <v/>
      </c>
      <c r="X84" t="str">
        <f>IF(ISNUMBER('Step 3 (MTP) - Plan and prior'!X69),'Step 3 (MTP) - Plan and prior'!X69,"")</f>
        <v/>
      </c>
    </row>
    <row r="85" spans="2:35" x14ac:dyDescent="0.4">
      <c r="B85" s="83" t="s">
        <v>317</v>
      </c>
      <c r="D85" s="69" t="str">
        <f>IF(ISNUMBER('Step 3 (MTP) - Plan and prior'!D70),'Step 3 (MTP) - Plan and prior'!D70,"")</f>
        <v/>
      </c>
      <c r="E85" s="69" t="str">
        <f>IF(ISNUMBER('Step 3 (MTP) - Plan and prior'!E70),'Step 3 (MTP) - Plan and prior'!E70,"")</f>
        <v/>
      </c>
      <c r="F85" s="69" t="str">
        <f>IF(ISNUMBER('Step 3 (MTP) - Plan and prior'!F70),'Step 3 (MTP) - Plan and prior'!F70,"")</f>
        <v/>
      </c>
      <c r="G85" s="69" t="str">
        <f>IF(ISNUMBER('Step 3 (MTP) - Plan and prior'!G70),'Step 3 (MTP) - Plan and prior'!G70,"")</f>
        <v/>
      </c>
      <c r="H85" s="69" t="str">
        <f>IF(ISNUMBER('Step 3 (MTP) - Plan and prior'!H70),'Step 3 (MTP) - Plan and prior'!H70,"")</f>
        <v/>
      </c>
      <c r="I85" s="69" t="str">
        <f>IF(ISNUMBER('Step 3 (MTP) - Plan and prior'!I70),'Step 3 (MTP) - Plan and prior'!I70,"")</f>
        <v/>
      </c>
      <c r="J85" s="69">
        <f>IF(ISNUMBER('Step 3 (MTP) - Plan and prior'!J70),'Step 3 (MTP) - Plan and prior'!J70,"")</f>
        <v>122.3</v>
      </c>
      <c r="K85" s="69">
        <f>IF(ISNUMBER('Step 3 (MTP) - Plan and prior'!K70),'Step 3 (MTP) - Plan and prior'!K70,"")</f>
        <v>114.3</v>
      </c>
      <c r="L85" s="69">
        <f>IF(ISNUMBER('Step 3 (MTP) - Plan and prior'!L70),'Step 3 (MTP) - Plan and prior'!L70,"")</f>
        <v>107.6</v>
      </c>
      <c r="M85" s="69">
        <f>IF(ISNUMBER('Step 3 (MTP) - Plan and prior'!M70),'Step 3 (MTP) - Plan and prior'!M70,"")</f>
        <v>101.6</v>
      </c>
      <c r="N85" s="69">
        <f>IF(ISNUMBER('Step 3 (MTP) - Plan and prior'!N70),'Step 3 (MTP) - Plan and prior'!N70,"")</f>
        <v>98.1</v>
      </c>
      <c r="O85" s="69" t="str">
        <f>IF(ISNUMBER('Step 3 (MTP) - Plan and prior'!O70),'Step 3 (MTP) - Plan and prior'!O70,"")</f>
        <v/>
      </c>
      <c r="P85" s="69" t="str">
        <f>IF(ISNUMBER('Step 3 (MTP) - Plan and prior'!P70),'Step 3 (MTP) - Plan and prior'!P70,"")</f>
        <v/>
      </c>
      <c r="Q85" s="69" t="str">
        <f>IF(ISNUMBER('Step 3 (MTP) - Plan and prior'!Q70),'Step 3 (MTP) - Plan and prior'!Q70,"")</f>
        <v/>
      </c>
      <c r="R85" s="69" t="str">
        <f>IF(ISNUMBER('Step 3 (MTP) - Plan and prior'!R70),'Step 3 (MTP) - Plan and prior'!R70,"")</f>
        <v/>
      </c>
      <c r="S85" s="69" t="str">
        <f>IF(ISNUMBER('Step 3 (MTP) - Plan and prior'!S70),'Step 3 (MTP) - Plan and prior'!S70,"")</f>
        <v/>
      </c>
      <c r="T85" s="69" t="str">
        <f>IF(ISNUMBER('Step 3 (MTP) - Plan and prior'!T70),'Step 3 (MTP) - Plan and prior'!T70,"")</f>
        <v/>
      </c>
      <c r="U85" s="69" t="str">
        <f>IF(ISNUMBER('Step 3 (MTP) - Plan and prior'!U70),'Step 3 (MTP) - Plan and prior'!U70,"")</f>
        <v/>
      </c>
      <c r="V85" s="69" t="str">
        <f>IF(ISNUMBER('Step 3 (MTP) - Plan and prior'!V70),'Step 3 (MTP) - Plan and prior'!V70,"")</f>
        <v/>
      </c>
      <c r="W85" s="69" t="str">
        <f>IF(ISNUMBER('Step 3 (MTP) - Plan and prior'!W70),'Step 3 (MTP) - Plan and prior'!W70,"")</f>
        <v/>
      </c>
      <c r="X85" t="str">
        <f>IF(ISNUMBER('Step 3 (MTP) - Plan and prior'!X70),'Step 3 (MTP) - Plan and prior'!X70,"")</f>
        <v/>
      </c>
    </row>
    <row r="86" spans="2:35" customFormat="1" x14ac:dyDescent="0.4">
      <c r="B86" s="83" t="s">
        <v>322</v>
      </c>
      <c r="C86" s="15"/>
      <c r="D86" s="69" t="str">
        <f>IF(ISNUMBER('Step 3 (MTP) - Plan and prior'!D71),'Step 3 (MTP) - Plan and prior'!D71,"")</f>
        <v/>
      </c>
      <c r="E86" s="69" t="str">
        <f>IF(ISNUMBER('Step 3 (MTP) - Plan and prior'!E71),'Step 3 (MTP) - Plan and prior'!E71,"")</f>
        <v/>
      </c>
      <c r="F86" s="69" t="str">
        <f>IF(ISNUMBER('Step 3 (MTP) - Plan and prior'!F71),'Step 3 (MTP) - Plan and prior'!F71,"")</f>
        <v/>
      </c>
      <c r="G86" s="69" t="str">
        <f>IF(ISNUMBER('Step 3 (MTP) - Plan and prior'!G71),'Step 3 (MTP) - Plan and prior'!G71,"")</f>
        <v/>
      </c>
      <c r="H86" s="69" t="str">
        <f>IF(ISNUMBER('Step 3 (MTP) - Plan and prior'!H71),'Step 3 (MTP) - Plan and prior'!H71,"")</f>
        <v/>
      </c>
      <c r="I86" s="69" t="str">
        <f>IF(ISNUMBER('Step 3 (MTP) - Plan and prior'!I71),'Step 3 (MTP) - Plan and prior'!I71,"")</f>
        <v/>
      </c>
      <c r="J86" s="69">
        <f>IF(ISNUMBER('Step 3 (MTP) - Plan and prior'!J71),'Step 3 (MTP) - Plan and prior'!J71,"")</f>
        <v>128.69999999999999</v>
      </c>
      <c r="K86" s="69">
        <f>IF(ISNUMBER('Step 3 (MTP) - Plan and prior'!K71),'Step 3 (MTP) - Plan and prior'!K71,"")</f>
        <v>123.1</v>
      </c>
      <c r="L86" s="69">
        <f>IF(ISNUMBER('Step 3 (MTP) - Plan and prior'!L71),'Step 3 (MTP) - Plan and prior'!L71,"")</f>
        <v>118.6</v>
      </c>
      <c r="M86" s="69">
        <f>IF(ISNUMBER('Step 3 (MTP) - Plan and prior'!M71),'Step 3 (MTP) - Plan and prior'!M71,"")</f>
        <v>114.1</v>
      </c>
      <c r="N86" s="69">
        <f>IF(ISNUMBER('Step 3 (MTP) - Plan and prior'!N71),'Step 3 (MTP) - Plan and prior'!N71,"")</f>
        <v>111.3</v>
      </c>
      <c r="O86" s="69" t="str">
        <f>IF(ISNUMBER('Step 3 (MTP) - Plan and prior'!O71),'Step 3 (MTP) - Plan and prior'!O71,"")</f>
        <v/>
      </c>
      <c r="P86" s="69" t="str">
        <f>IF(ISNUMBER('Step 3 (MTP) - Plan and prior'!P71),'Step 3 (MTP) - Plan and prior'!P71,"")</f>
        <v/>
      </c>
      <c r="Q86" s="69" t="str">
        <f>IF(ISNUMBER('Step 3 (MTP) - Plan and prior'!Q71),'Step 3 (MTP) - Plan and prior'!Q71,"")</f>
        <v/>
      </c>
      <c r="R86" s="69" t="str">
        <f>IF(ISNUMBER('Step 3 (MTP) - Plan and prior'!R71),'Step 3 (MTP) - Plan and prior'!R71,"")</f>
        <v/>
      </c>
      <c r="S86" s="69" t="str">
        <f>IF(ISNUMBER('Step 3 (MTP) - Plan and prior'!S71),'Step 3 (MTP) - Plan and prior'!S71,"")</f>
        <v/>
      </c>
      <c r="T86" s="69" t="str">
        <f>IF(ISNUMBER('Step 3 (MTP) - Plan and prior'!T71),'Step 3 (MTP) - Plan and prior'!T71,"")</f>
        <v/>
      </c>
      <c r="U86" s="69" t="str">
        <f>IF(ISNUMBER('Step 3 (MTP) - Plan and prior'!U71),'Step 3 (MTP) - Plan and prior'!U71,"")</f>
        <v/>
      </c>
      <c r="V86" s="69" t="str">
        <f>IF(ISNUMBER('Step 3 (MTP) - Plan and prior'!V71),'Step 3 (MTP) - Plan and prior'!V71,"")</f>
        <v/>
      </c>
      <c r="W86" s="69" t="str">
        <f>IF(ISNUMBER('Step 3 (MTP) - Plan and prior'!W71),'Step 3 (MTP) - Plan and prior'!W71,"")</f>
        <v/>
      </c>
      <c r="X86" s="71" t="str">
        <f>IF(ISNUMBER('Step 3 (MTP) - Plan and prior'!X71),'Step 3 (MTP) - Plan and prior'!X71,"")</f>
        <v/>
      </c>
    </row>
    <row r="87" spans="2:35" customFormat="1" x14ac:dyDescent="0.4">
      <c r="B87" s="83" t="s">
        <v>323</v>
      </c>
      <c r="C87" s="15"/>
      <c r="D87" s="69" t="str">
        <f>IF(ISNUMBER('Step 3 (MTP) - Plan and prior'!D72),'Step 3 (MTP) - Plan and prior'!D72,"")</f>
        <v/>
      </c>
      <c r="E87" s="69" t="str">
        <f>IF(ISNUMBER('Step 3 (MTP) - Plan and prior'!E72),'Step 3 (MTP) - Plan and prior'!E72,"")</f>
        <v/>
      </c>
      <c r="F87" s="69" t="str">
        <f>IF(ISNUMBER('Step 3 (MTP) - Plan and prior'!F72),'Step 3 (MTP) - Plan and prior'!F72,"")</f>
        <v/>
      </c>
      <c r="G87" s="69" t="str">
        <f>IF(ISNUMBER('Step 3 (MTP) - Plan and prior'!G72),'Step 3 (MTP) - Plan and prior'!G72,"")</f>
        <v/>
      </c>
      <c r="H87" s="69" t="str">
        <f>IF(ISNUMBER('Step 3 (MTP) - Plan and prior'!H72),'Step 3 (MTP) - Plan and prior'!H72,"")</f>
        <v/>
      </c>
      <c r="I87" s="69" t="str">
        <f>IF(ISNUMBER('Step 3 (MTP) - Plan and prior'!I72),'Step 3 (MTP) - Plan and prior'!I72,"")</f>
        <v/>
      </c>
      <c r="J87" s="69">
        <f>IF(ISNUMBER('Step 3 (MTP) - Plan and prior'!J72),'Step 3 (MTP) - Plan and prior'!J72,"")</f>
        <v>133.30000000000001</v>
      </c>
      <c r="K87" s="69">
        <f>IF(ISNUMBER('Step 3 (MTP) - Plan and prior'!K72),'Step 3 (MTP) - Plan and prior'!K72,"")</f>
        <v>129.6</v>
      </c>
      <c r="L87" s="69">
        <f>IF(ISNUMBER('Step 3 (MTP) - Plan and prior'!L72),'Step 3 (MTP) - Plan and prior'!L72,"")</f>
        <v>126.1</v>
      </c>
      <c r="M87" s="69">
        <f>IF(ISNUMBER('Step 3 (MTP) - Plan and prior'!M72),'Step 3 (MTP) - Plan and prior'!M72,"")</f>
        <v>122.9</v>
      </c>
      <c r="N87" s="69">
        <f>IF(ISNUMBER('Step 3 (MTP) - Plan and prior'!N72),'Step 3 (MTP) - Plan and prior'!N72,"")</f>
        <v>121.1</v>
      </c>
      <c r="O87" s="69" t="str">
        <f>IF(ISNUMBER('Step 3 (MTP) - Plan and prior'!O72),'Step 3 (MTP) - Plan and prior'!O72,"")</f>
        <v/>
      </c>
      <c r="P87" s="69" t="str">
        <f>IF(ISNUMBER('Step 3 (MTP) - Plan and prior'!P72),'Step 3 (MTP) - Plan and prior'!P72,"")</f>
        <v/>
      </c>
      <c r="Q87" s="69" t="str">
        <f>IF(ISNUMBER('Step 3 (MTP) - Plan and prior'!Q72),'Step 3 (MTP) - Plan and prior'!Q72,"")</f>
        <v/>
      </c>
      <c r="R87" s="69" t="str">
        <f>IF(ISNUMBER('Step 3 (MTP) - Plan and prior'!R72),'Step 3 (MTP) - Plan and prior'!R72,"")</f>
        <v/>
      </c>
      <c r="S87" s="69" t="str">
        <f>IF(ISNUMBER('Step 3 (MTP) - Plan and prior'!S72),'Step 3 (MTP) - Plan and prior'!S72,"")</f>
        <v/>
      </c>
      <c r="T87" s="69" t="str">
        <f>IF(ISNUMBER('Step 3 (MTP) - Plan and prior'!T72),'Step 3 (MTP) - Plan and prior'!T72,"")</f>
        <v/>
      </c>
      <c r="U87" s="69" t="str">
        <f>IF(ISNUMBER('Step 3 (MTP) - Plan and prior'!U72),'Step 3 (MTP) - Plan and prior'!U72,"")</f>
        <v/>
      </c>
      <c r="V87" s="69" t="str">
        <f>IF(ISNUMBER('Step 3 (MTP) - Plan and prior'!V72),'Step 3 (MTP) - Plan and prior'!V72,"")</f>
        <v/>
      </c>
      <c r="W87" s="69" t="str">
        <f>IF(ISNUMBER('Step 3 (MTP) - Plan and prior'!W72),'Step 3 (MTP) - Plan and prior'!W72,"")</f>
        <v/>
      </c>
      <c r="X87" s="71" t="str">
        <f>IF(ISNUMBER('Step 3 (MTP) - Plan and prior'!X72),'Step 3 (MTP) - Plan and prior'!X72,"")</f>
        <v/>
      </c>
    </row>
    <row r="88" spans="2:35" customFormat="1" x14ac:dyDescent="0.4">
      <c r="B88" s="83" t="s">
        <v>324</v>
      </c>
      <c r="C88" s="15"/>
      <c r="D88" s="69" t="str">
        <f>IF(ISNUMBER('Step 3 (MTP) - Plan and prior'!D73),'Step 3 (MTP) - Plan and prior'!D73,"")</f>
        <v/>
      </c>
      <c r="E88" s="69" t="str">
        <f>IF(ISNUMBER('Step 3 (MTP) - Plan and prior'!E73),'Step 3 (MTP) - Plan and prior'!E73,"")</f>
        <v/>
      </c>
      <c r="F88" s="69" t="str">
        <f>IF(ISNUMBER('Step 3 (MTP) - Plan and prior'!F73),'Step 3 (MTP) - Plan and prior'!F73,"")</f>
        <v/>
      </c>
      <c r="G88" s="69" t="str">
        <f>IF(ISNUMBER('Step 3 (MTP) - Plan and prior'!G73),'Step 3 (MTP) - Plan and prior'!G73,"")</f>
        <v/>
      </c>
      <c r="H88" s="69" t="str">
        <f>IF(ISNUMBER('Step 3 (MTP) - Plan and prior'!H73),'Step 3 (MTP) - Plan and prior'!H73,"")</f>
        <v/>
      </c>
      <c r="I88" s="69" t="str">
        <f>IF(ISNUMBER('Step 3 (MTP) - Plan and prior'!I73),'Step 3 (MTP) - Plan and prior'!I73,"")</f>
        <v/>
      </c>
      <c r="J88" s="69">
        <f>IF(ISNUMBER('Step 3 (MTP) - Plan and prior'!J73),'Step 3 (MTP) - Plan and prior'!J73,"")</f>
        <v>138.1</v>
      </c>
      <c r="K88" s="69">
        <f>IF(ISNUMBER('Step 3 (MTP) - Plan and prior'!K73),'Step 3 (MTP) - Plan and prior'!K73,"")</f>
        <v>136</v>
      </c>
      <c r="L88" s="69">
        <f>IF(ISNUMBER('Step 3 (MTP) - Plan and prior'!L73),'Step 3 (MTP) - Plan and prior'!L73,"")</f>
        <v>134.30000000000001</v>
      </c>
      <c r="M88" s="69">
        <f>IF(ISNUMBER('Step 3 (MTP) - Plan and prior'!M73),'Step 3 (MTP) - Plan and prior'!M73,"")</f>
        <v>132.9</v>
      </c>
      <c r="N88" s="69">
        <f>IF(ISNUMBER('Step 3 (MTP) - Plan and prior'!N73),'Step 3 (MTP) - Plan and prior'!N73,"")</f>
        <v>132.19999999999999</v>
      </c>
      <c r="O88" s="69" t="str">
        <f>IF(ISNUMBER('Step 3 (MTP) - Plan and prior'!O73),'Step 3 (MTP) - Plan and prior'!O73,"")</f>
        <v/>
      </c>
      <c r="P88" s="69" t="str">
        <f>IF(ISNUMBER('Step 3 (MTP) - Plan and prior'!P73),'Step 3 (MTP) - Plan and prior'!P73,"")</f>
        <v/>
      </c>
      <c r="Q88" s="69" t="str">
        <f>IF(ISNUMBER('Step 3 (MTP) - Plan and prior'!Q73),'Step 3 (MTP) - Plan and prior'!Q73,"")</f>
        <v/>
      </c>
      <c r="R88" s="69" t="str">
        <f>IF(ISNUMBER('Step 3 (MTP) - Plan and prior'!R73),'Step 3 (MTP) - Plan and prior'!R73,"")</f>
        <v/>
      </c>
      <c r="S88" s="69" t="str">
        <f>IF(ISNUMBER('Step 3 (MTP) - Plan and prior'!S73),'Step 3 (MTP) - Plan and prior'!S73,"")</f>
        <v/>
      </c>
      <c r="T88" s="69" t="str">
        <f>IF(ISNUMBER('Step 3 (MTP) - Plan and prior'!T73),'Step 3 (MTP) - Plan and prior'!T73,"")</f>
        <v/>
      </c>
      <c r="U88" s="69" t="str">
        <f>IF(ISNUMBER('Step 3 (MTP) - Plan and prior'!U73),'Step 3 (MTP) - Plan and prior'!U73,"")</f>
        <v/>
      </c>
      <c r="V88" s="69" t="str">
        <f>IF(ISNUMBER('Step 3 (MTP) - Plan and prior'!V73),'Step 3 (MTP) - Plan and prior'!V73,"")</f>
        <v/>
      </c>
      <c r="W88" s="69" t="str">
        <f>IF(ISNUMBER('Step 3 (MTP) - Plan and prior'!W73),'Step 3 (MTP) - Plan and prior'!W73,"")</f>
        <v/>
      </c>
      <c r="X88" s="71" t="str">
        <f>IF(ISNUMBER('Step 3 (MTP) - Plan and prior'!X73),'Step 3 (MTP) - Plan and prior'!X73,"")</f>
        <v/>
      </c>
    </row>
    <row r="89" spans="2:35" customFormat="1" x14ac:dyDescent="0.4">
      <c r="B89" s="84" t="s">
        <v>325</v>
      </c>
      <c r="C89" s="20"/>
      <c r="D89" s="69" t="str">
        <f>IF(ISNUMBER('Step 3 (MTP) - Plan and prior'!D74),'Step 3 (MTP) - Plan and prior'!D74,"")</f>
        <v/>
      </c>
      <c r="E89" s="69" t="str">
        <f>IF(ISNUMBER('Step 3 (MTP) - Plan and prior'!E74),'Step 3 (MTP) - Plan and prior'!E74,"")</f>
        <v/>
      </c>
      <c r="F89" s="69" t="str">
        <f>IF(ISNUMBER('Step 3 (MTP) - Plan and prior'!F74),'Step 3 (MTP) - Plan and prior'!F74,"")</f>
        <v/>
      </c>
      <c r="G89" s="69" t="str">
        <f>IF(ISNUMBER('Step 3 (MTP) - Plan and prior'!G74),'Step 3 (MTP) - Plan and prior'!G74,"")</f>
        <v/>
      </c>
      <c r="H89" s="69" t="str">
        <f>IF(ISNUMBER('Step 3 (MTP) - Plan and prior'!H74),'Step 3 (MTP) - Plan and prior'!H74,"")</f>
        <v/>
      </c>
      <c r="I89" s="69" t="str">
        <f>IF(ISNUMBER('Step 3 (MTP) - Plan and prior'!I74),'Step 3 (MTP) - Plan and prior'!I74,"")</f>
        <v/>
      </c>
      <c r="J89" s="69">
        <f>IF(ISNUMBER('Step 3 (MTP) - Plan and prior'!J74),'Step 3 (MTP) - Plan and prior'!J74,"")</f>
        <v>145.1</v>
      </c>
      <c r="K89" s="69">
        <f>IF(ISNUMBER('Step 3 (MTP) - Plan and prior'!K74),'Step 3 (MTP) - Plan and prior'!K74,"")</f>
        <v>146.30000000000001</v>
      </c>
      <c r="L89" s="69">
        <f>IF(ISNUMBER('Step 3 (MTP) - Plan and prior'!L74),'Step 3 (MTP) - Plan and prior'!L74,"")</f>
        <v>146.6</v>
      </c>
      <c r="M89" s="69">
        <f>IF(ISNUMBER('Step 3 (MTP) - Plan and prior'!M74),'Step 3 (MTP) - Plan and prior'!M74,"")</f>
        <v>147</v>
      </c>
      <c r="N89" s="69">
        <f>IF(ISNUMBER('Step 3 (MTP) - Plan and prior'!N74),'Step 3 (MTP) - Plan and prior'!N74,"")</f>
        <v>148.19999999999999</v>
      </c>
      <c r="O89" s="69" t="str">
        <f>IF(ISNUMBER('Step 3 (MTP) - Plan and prior'!O74),'Step 3 (MTP) - Plan and prior'!O74,"")</f>
        <v/>
      </c>
      <c r="P89" s="69" t="str">
        <f>IF(ISNUMBER('Step 3 (MTP) - Plan and prior'!P74),'Step 3 (MTP) - Plan and prior'!P74,"")</f>
        <v/>
      </c>
      <c r="Q89" s="69" t="str">
        <f>IF(ISNUMBER('Step 3 (MTP) - Plan and prior'!Q74),'Step 3 (MTP) - Plan and prior'!Q74,"")</f>
        <v/>
      </c>
      <c r="R89" s="69" t="str">
        <f>IF(ISNUMBER('Step 3 (MTP) - Plan and prior'!R74),'Step 3 (MTP) - Plan and prior'!R74,"")</f>
        <v/>
      </c>
      <c r="S89" s="69" t="str">
        <f>IF(ISNUMBER('Step 3 (MTP) - Plan and prior'!S74),'Step 3 (MTP) - Plan and prior'!S74,"")</f>
        <v/>
      </c>
      <c r="T89" s="69" t="str">
        <f>IF(ISNUMBER('Step 3 (MTP) - Plan and prior'!T74),'Step 3 (MTP) - Plan and prior'!T74,"")</f>
        <v/>
      </c>
      <c r="U89" s="69" t="str">
        <f>IF(ISNUMBER('Step 3 (MTP) - Plan and prior'!U74),'Step 3 (MTP) - Plan and prior'!U74,"")</f>
        <v/>
      </c>
      <c r="V89" s="69" t="str">
        <f>IF(ISNUMBER('Step 3 (MTP) - Plan and prior'!V74),'Step 3 (MTP) - Plan and prior'!V74,"")</f>
        <v/>
      </c>
      <c r="W89" s="69" t="str">
        <f>IF(ISNUMBER('Step 3 (MTP) - Plan and prior'!W74),'Step 3 (MTP) - Plan and prior'!W74,"")</f>
        <v/>
      </c>
      <c r="X89" s="71" t="str">
        <f>IF(ISNUMBER('Step 3 (MTP) - Plan and prior'!X74),'Step 3 (MTP) - Plan and prior'!X74,"")</f>
        <v/>
      </c>
    </row>
    <row r="90" spans="2:35" customFormat="1" x14ac:dyDescent="0.4">
      <c r="B90" s="47"/>
      <c r="F90" s="71"/>
      <c r="G90" s="71"/>
      <c r="H90" s="71"/>
      <c r="I90" s="71"/>
      <c r="J90" s="71"/>
      <c r="K90" s="71"/>
      <c r="L90" s="71"/>
      <c r="M90" s="71"/>
      <c r="N90" s="71"/>
      <c r="O90" s="71"/>
      <c r="P90" s="71"/>
      <c r="Q90" s="71"/>
      <c r="R90" s="71"/>
      <c r="S90" s="71"/>
      <c r="T90" s="71"/>
      <c r="U90" s="71"/>
      <c r="V90" s="71"/>
      <c r="W90" s="71"/>
    </row>
    <row r="91" spans="2:35" ht="31.9" x14ac:dyDescent="1">
      <c r="B91" s="78" t="s">
        <v>458</v>
      </c>
    </row>
    <row r="92" spans="2:35" ht="18" x14ac:dyDescent="0.55000000000000004">
      <c r="B92" s="51" t="s">
        <v>470</v>
      </c>
      <c r="D92" s="18"/>
      <c r="J92" s="72"/>
      <c r="K92" s="72"/>
      <c r="L92" s="72"/>
      <c r="M92" s="72"/>
      <c r="N92" s="72"/>
      <c r="O92" s="72"/>
      <c r="P92" s="72"/>
      <c r="Q92" s="72"/>
      <c r="R92" s="72"/>
      <c r="S92" s="72"/>
      <c r="T92" s="72"/>
      <c r="U92" s="72"/>
      <c r="V92" s="72"/>
      <c r="W92" s="72"/>
      <c r="X92" s="72"/>
      <c r="Y92" s="72"/>
      <c r="Z92" s="72"/>
      <c r="AA92" s="72"/>
      <c r="AB92" s="72"/>
      <c r="AC92" s="72"/>
      <c r="AD92" s="72"/>
      <c r="AE92" s="72"/>
      <c r="AF92" s="72"/>
      <c r="AG92" s="72"/>
      <c r="AH92" s="72"/>
      <c r="AI92" s="72"/>
    </row>
    <row r="93" spans="2:35" ht="15.75" x14ac:dyDescent="0.5">
      <c r="B93" s="80" t="s">
        <v>465</v>
      </c>
      <c r="D93" s="18"/>
      <c r="J93" s="72"/>
      <c r="K93" s="72"/>
      <c r="L93" s="72"/>
      <c r="M93" s="72"/>
      <c r="N93" s="72"/>
      <c r="O93" s="72"/>
      <c r="P93" s="72"/>
      <c r="Q93" s="72"/>
      <c r="R93" s="72"/>
      <c r="S93" s="72"/>
      <c r="T93" s="72"/>
      <c r="U93" s="72"/>
      <c r="V93" s="72"/>
      <c r="W93" s="72"/>
      <c r="X93" s="72"/>
      <c r="Y93" s="72"/>
      <c r="Z93" s="72"/>
      <c r="AA93" s="72"/>
      <c r="AB93" s="72"/>
      <c r="AC93" s="72"/>
      <c r="AD93" s="72"/>
      <c r="AE93" s="72"/>
      <c r="AF93" s="72"/>
      <c r="AG93" s="72"/>
      <c r="AH93" s="72"/>
      <c r="AI93" s="72"/>
    </row>
    <row r="94" spans="2:35" ht="14.25" x14ac:dyDescent="0.45">
      <c r="B94" t="s">
        <v>469</v>
      </c>
      <c r="C94" s="16" t="b" cm="1">
        <f t="array" ref="C94">IF(OutturnThrough&lt;MTP_YearT,"Not yet assessable", SUMPRODUCT(((4:4&gt;=MTP_YearT)*(4:4&lt;=OutturnThrough)*(34:34&lt;15:15)))=0)</f>
        <v>1</v>
      </c>
      <c r="E94" s="106" t="s">
        <v>467</v>
      </c>
      <c r="J94" s="72"/>
      <c r="K94" s="72"/>
      <c r="L94" s="72"/>
      <c r="M94" s="72"/>
      <c r="N94" s="72"/>
      <c r="O94" s="72"/>
      <c r="P94" s="72"/>
      <c r="Q94" s="72"/>
      <c r="R94" s="72"/>
      <c r="S94" s="72"/>
      <c r="T94" s="72"/>
      <c r="U94" s="72"/>
      <c r="V94" s="72"/>
      <c r="W94" s="72"/>
      <c r="X94" s="72"/>
      <c r="Y94" s="72"/>
      <c r="Z94" s="72"/>
      <c r="AA94" s="72"/>
      <c r="AB94" s="72"/>
      <c r="AC94" s="72" t="s">
        <v>259</v>
      </c>
      <c r="AD94" s="72"/>
      <c r="AE94" s="72"/>
      <c r="AF94" s="72"/>
      <c r="AG94" s="72"/>
      <c r="AH94" s="72"/>
      <c r="AI94" s="72"/>
    </row>
    <row r="95" spans="2:35" ht="14.25" x14ac:dyDescent="0.45">
      <c r="B95" t="s">
        <v>466</v>
      </c>
      <c r="C95" s="16" t="b" cm="1">
        <f t="array" ref="C95">IF(
   AssessmentEnd &lt;= OutturnThrough,
   NA(),
   SUMPRODUCT(
      (4:4 &gt;= OutturnThrough+1) *
      (4:4 &lt;= AssessmentEnd) *
      (34:34 &lt; 15:15)
   ) = 0
)</f>
        <v>0</v>
      </c>
      <c r="E95" s="106" t="s">
        <v>468</v>
      </c>
      <c r="J95" s="72"/>
      <c r="K95" s="72"/>
      <c r="L95" s="72"/>
      <c r="M95" s="72"/>
      <c r="N95" s="72"/>
      <c r="O95" s="72"/>
      <c r="P95" s="72"/>
      <c r="Q95" s="72"/>
      <c r="R95" s="72"/>
      <c r="S95" s="72"/>
      <c r="T95" s="72"/>
      <c r="U95" s="72"/>
      <c r="V95" s="72"/>
      <c r="W95" s="72"/>
      <c r="X95" s="72"/>
      <c r="Y95" s="72"/>
      <c r="Z95" s="72"/>
      <c r="AA95" s="72"/>
      <c r="AB95" s="72"/>
      <c r="AC95" s="72" t="s">
        <v>259</v>
      </c>
      <c r="AD95" s="72"/>
      <c r="AE95" s="72"/>
      <c r="AF95" s="72"/>
      <c r="AG95" s="72"/>
      <c r="AH95" s="72"/>
      <c r="AI95" s="72"/>
    </row>
    <row r="96" spans="2:35" x14ac:dyDescent="0.4">
      <c r="B96" t="s">
        <v>712</v>
      </c>
      <c r="C96" s="16" t="b" cm="1">
        <f t="array" ref="C96">IF(
  SUMPRODUCT(
    (4:4&gt;=MTP_YearT+1)*
    (4:4&lt;=AssessmentEnd)*
    (34:34&lt;15:15)
  )=0,
  "Not applicable (all years adhere to the net expenditure path)",
  SUMPRODUCT(
    (4:4&gt;=MTP_YearT+1)*
    (4:4&lt;=AssessmentEnd)*
    (34:34&lt;15:15)*
    (1-IFERROR(--INDEX('Step 1 - Set global parameters'!$12:$12, MATCH(4:4, 'Step 1 - Set global parameters'!$10:$10, 0)),0))
  )=0
)</f>
        <v>1</v>
      </c>
      <c r="J96" s="72"/>
      <c r="K96" s="72"/>
      <c r="L96" s="72"/>
      <c r="M96" s="72"/>
      <c r="N96" s="72"/>
      <c r="O96" s="72"/>
      <c r="P96" s="72"/>
      <c r="Q96" s="72"/>
      <c r="R96" s="72"/>
      <c r="S96" s="72"/>
      <c r="T96" s="72"/>
      <c r="U96" s="72"/>
      <c r="V96" s="72"/>
      <c r="W96" s="72"/>
      <c r="X96" s="72"/>
      <c r="Y96" s="72"/>
      <c r="Z96" s="72"/>
      <c r="AA96" s="72"/>
      <c r="AB96" s="72"/>
      <c r="AC96" s="72"/>
      <c r="AD96" s="72"/>
      <c r="AE96" s="72"/>
      <c r="AF96" s="72"/>
      <c r="AG96" s="72"/>
      <c r="AH96" s="72"/>
      <c r="AI96" s="72"/>
    </row>
    <row r="97" spans="1:35" x14ac:dyDescent="0.4">
      <c r="C97" s="16"/>
      <c r="J97" s="72"/>
      <c r="K97" s="72"/>
      <c r="L97" s="72"/>
      <c r="M97" s="72"/>
      <c r="N97" s="72"/>
      <c r="O97" s="72"/>
      <c r="P97" s="72"/>
      <c r="Q97" s="72"/>
      <c r="R97" s="72"/>
      <c r="S97" s="72"/>
      <c r="T97" s="72"/>
      <c r="U97" s="72"/>
      <c r="V97" s="72"/>
      <c r="W97" s="72"/>
      <c r="X97" s="72"/>
      <c r="Y97" s="72"/>
      <c r="Z97" s="72"/>
      <c r="AA97" s="72"/>
      <c r="AB97" s="72"/>
      <c r="AC97" s="72"/>
      <c r="AD97" s="72"/>
      <c r="AE97" s="72"/>
      <c r="AF97" s="72"/>
      <c r="AG97" s="72"/>
      <c r="AH97" s="72"/>
      <c r="AI97" s="72"/>
    </row>
    <row r="98" spans="1:35" x14ac:dyDescent="0.4">
      <c r="B98" s="15" t="s">
        <v>258</v>
      </c>
      <c r="C98" s="103" t="str" cm="1">
        <f t="array" ref="C98">_xlfn.IFS(
  ISTEXT(C94),
    Country &amp; "'s observed net expenditure cannot yet be assessed against its latest Council-endorsed MTP — no plan year has closed (most recent outturn year is " &amp; OutturnThrough &amp; "; first plan year is " &amp; MTP_YearT+1 &amp; "). " &amp;
    IF(ISNA(C95), "",
      IF(OR(C95=TRUE, C96="Not applicable (all years adhere to the net expenditure path)"),
        "Planned net expenditure to " &amp; AssessmentEnd &amp; " adheres to the net expenditure path in the MTP.",
        "Planned net expenditure to " &amp; AssessmentEnd &amp; " does not adhere to the net expenditure path in the MTP." &amp;
        IF(C96=TRUE,
          " Deviations occur only in years covered by an escape clause.",
          " At least one year of deviation is not covered by an escape clause."
        )
      )
    ),
  C96="Not applicable (all years adhere to the net expenditure path)",
    Country &amp; "'s observed net expenditure to " &amp; OutturnThrough &amp;
      IF(ISNA(C95), "", " and planned net expenditure to " &amp; AssessmentEnd) &amp;
      " adheres to the net expenditure path in its latest Council-endorsed MTP.",
  AND(C94=FALSE, ISNA(C95), C96=TRUE),
    Country &amp; "'s observed net expenditure to " &amp; OutturnThrough &amp;
      " does not adhere to the net expenditure path in its latest Council-endorsed MTP." &amp;
      " Deviations occur only in years covered by an escape clause.",
  AND(C94=FALSE, ISNA(C95), C96=FALSE),
    Country &amp; "'s observed net expenditure to " &amp; OutturnThrough &amp;
      " does not adhere to the net expenditure path in its latest Council-endorsed MTP." &amp;
      " At least one year of deviation is not covered by an escape clause.",
  AND(C94=TRUE, C95=FALSE, C96=TRUE),
    Country &amp; "'s observed net expenditure to " &amp; OutturnThrough &amp;
      " adheres to the net expenditure path in its latest Council-endorsed MTP," &amp;
      " but planned net expenditure to " &amp; AssessmentEnd &amp; " does not." &amp;
      " Deviations occur only in years covered by an escape clause.",
  AND(C94=TRUE, C95=FALSE, C96=FALSE),
    Country &amp; "'s observed net expenditure to " &amp; OutturnThrough &amp;
      " adheres to the net expenditure path in its latest Council-endorsed MTP," &amp;
      " but planned net expenditure to " &amp; AssessmentEnd &amp; " does not." &amp;
      " At least one year of deviation is not covered by an escape clause.",
  AND(C94=FALSE, C95=TRUE, C96=TRUE),
    Country &amp; "'s observed net expenditure to " &amp; OutturnThrough &amp;
      " does not adhere to the net expenditure path in its latest Council-endorsed MTP," &amp;
      " but planned net expenditure to " &amp; AssessmentEnd &amp; " does." &amp;
      " Deviations occur only in years covered by an escape clause.",
  AND(C94=FALSE, C95=TRUE, C96=FALSE),
    Country &amp; "'s observed net expenditure to " &amp; OutturnThrough &amp;
      " does not adhere to the net expenditure path in its latest Council-endorsed MTP," &amp;
      " but planned net expenditure to " &amp; AssessmentEnd &amp; " does." &amp;
      " At least one year of deviation is not covered by an escape clause.",
  AND(C94=FALSE, C95=FALSE, C96=TRUE),
    Country &amp; "'s observed net expenditure to " &amp; OutturnThrough &amp;
      " and planned net expenditure to " &amp; AssessmentEnd &amp;
      " do not adhere to the net expenditure path in its latest Council-endorsed MTP." &amp;
      " Deviations occur only in years covered by an escape clause.",
  AND(C94=FALSE, C95=FALSE, C96=FALSE),
    Country &amp; "'s observed net expenditure to " &amp; OutturnThrough &amp;
      " and planned net expenditure to " &amp; AssessmentEnd &amp;
      " do not adhere to the net expenditure path in its latest Council-endorsed MTP." &amp;
      " At least one year of deviation is not covered by an escape clause.",
  TRUE, ""
)</f>
        <v>Greece's observed net expenditure to 2025 adheres to the net expenditure path in its latest Council-endorsed MTP, but planned net expenditure to 2026 does not. Deviations occur only in years covered by an escape clause.</v>
      </c>
      <c r="J98" s="72"/>
      <c r="K98" s="72"/>
      <c r="L98" s="72"/>
      <c r="M98" s="72"/>
      <c r="N98" s="72"/>
      <c r="O98" s="72"/>
      <c r="P98" s="72"/>
      <c r="Q98" s="72"/>
      <c r="R98" s="72"/>
      <c r="S98" s="72"/>
      <c r="T98" s="72"/>
      <c r="U98" s="72"/>
      <c r="V98" s="72"/>
      <c r="W98" s="72"/>
      <c r="X98" s="72"/>
      <c r="Y98" s="72"/>
      <c r="Z98" s="72"/>
      <c r="AA98" s="72"/>
      <c r="AB98" s="72"/>
      <c r="AC98" s="72"/>
      <c r="AD98" s="72"/>
      <c r="AE98" s="72"/>
      <c r="AF98" s="72"/>
      <c r="AG98" s="72"/>
      <c r="AH98" s="72"/>
      <c r="AI98" s="72"/>
    </row>
    <row r="99" spans="1:35" x14ac:dyDescent="0.4">
      <c r="C99" s="103"/>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row>
    <row r="100" spans="1:35" ht="18" x14ac:dyDescent="0.55000000000000004">
      <c r="B100" s="51" t="s">
        <v>457</v>
      </c>
      <c r="D100" s="18"/>
      <c r="J100" s="72"/>
      <c r="K100" s="72"/>
      <c r="L100" s="72"/>
      <c r="M100" s="72"/>
      <c r="N100" s="72"/>
      <c r="O100" s="72"/>
      <c r="P100" s="72"/>
      <c r="Q100" s="72"/>
      <c r="R100" s="72"/>
      <c r="S100" s="72"/>
      <c r="T100" s="72"/>
      <c r="U100" s="72"/>
      <c r="V100" s="72"/>
      <c r="W100" s="72"/>
      <c r="X100" s="72"/>
      <c r="Y100" s="72"/>
      <c r="Z100" s="72"/>
      <c r="AA100" s="72"/>
      <c r="AB100" s="72"/>
      <c r="AC100" s="72"/>
      <c r="AD100" s="72"/>
      <c r="AE100" s="72"/>
      <c r="AF100" s="72"/>
      <c r="AG100" s="72"/>
      <c r="AH100" s="72"/>
      <c r="AI100" s="72"/>
    </row>
    <row r="101" spans="1:35" ht="14.25" x14ac:dyDescent="0.45">
      <c r="B101" s="106" t="s">
        <v>651</v>
      </c>
      <c r="D101" s="18"/>
      <c r="J101" s="72"/>
      <c r="K101" s="72"/>
      <c r="L101" s="72"/>
      <c r="M101" s="72"/>
      <c r="N101" s="72"/>
      <c r="O101" s="72"/>
      <c r="P101" s="72"/>
      <c r="Q101" s="72"/>
      <c r="R101" s="72"/>
      <c r="S101" s="72"/>
      <c r="T101" s="72"/>
      <c r="U101" s="72"/>
      <c r="V101" s="72"/>
      <c r="W101" s="72"/>
      <c r="X101" s="72"/>
      <c r="Y101" s="72"/>
      <c r="Z101" s="72"/>
      <c r="AA101" s="72"/>
      <c r="AB101" s="72"/>
      <c r="AC101" s="72"/>
      <c r="AD101" s="72"/>
      <c r="AE101" s="72"/>
      <c r="AF101" s="72"/>
      <c r="AG101" s="72"/>
      <c r="AH101" s="72"/>
      <c r="AI101" s="72"/>
    </row>
    <row r="102" spans="1:35" x14ac:dyDescent="0.4">
      <c r="B102" s="90"/>
      <c r="C102" s="90"/>
      <c r="D102" s="3" cm="1">
        <f t="array" ref="D102:G102">_xlfn.SEQUENCE(1, AssessmentEnd-MTP_BaseYear+1, MTP_BaseYear)</f>
        <v>2023</v>
      </c>
      <c r="E102" s="3">
        <v>2024</v>
      </c>
      <c r="F102" s="3">
        <v>2025</v>
      </c>
      <c r="G102" s="3">
        <v>2026</v>
      </c>
      <c r="H102" s="3"/>
      <c r="I102" s="3"/>
      <c r="J102" s="3"/>
      <c r="K102" s="3"/>
      <c r="L102"/>
      <c r="M102"/>
      <c r="N102"/>
      <c r="O102"/>
      <c r="P102"/>
      <c r="Q102"/>
      <c r="R102" s="72"/>
      <c r="S102" s="72"/>
      <c r="T102" s="72"/>
      <c r="U102" s="72"/>
      <c r="V102" s="72"/>
      <c r="W102" s="72"/>
      <c r="X102" s="72"/>
      <c r="Y102" s="72"/>
      <c r="Z102" s="72"/>
      <c r="AA102" s="72"/>
      <c r="AB102" s="72"/>
      <c r="AC102" s="72"/>
      <c r="AD102" s="72"/>
      <c r="AE102" s="72"/>
      <c r="AF102" s="72"/>
      <c r="AG102" s="72"/>
      <c r="AH102" s="72"/>
      <c r="AI102" s="72"/>
    </row>
    <row r="103" spans="1:35" x14ac:dyDescent="0.4">
      <c r="B103" s="7"/>
      <c r="C103" s="7"/>
      <c r="D103" s="3" t="str" cm="1">
        <f t="array" ref="D103:G103">IF(_xlfn.SEQUENCE(1,COLUMNS(_xlfn.ANCHORARRAY(D102)),-1)=-1,"T-1",IF(_xlfn.SEQUENCE(1,COLUMNS(_xlfn.ANCHORARRAY(D102)),-1)=0,"T","T+"&amp;_xlfn.SEQUENCE(1,COLUMNS(_xlfn.ANCHORARRAY(D102)),-1)))</f>
        <v>T-1</v>
      </c>
      <c r="E103" s="3" t="str">
        <v>T</v>
      </c>
      <c r="F103" s="3" t="str">
        <v>T+1</v>
      </c>
      <c r="G103" s="3" t="str">
        <v>T+2</v>
      </c>
      <c r="H103" s="3"/>
      <c r="I103" s="3"/>
      <c r="J103" s="3"/>
      <c r="K103" s="3"/>
      <c r="L103"/>
      <c r="M103"/>
      <c r="N103"/>
      <c r="O103"/>
      <c r="P103"/>
      <c r="Q103"/>
      <c r="R103" s="72"/>
      <c r="S103" s="72"/>
      <c r="T103" s="72"/>
      <c r="U103" s="72"/>
      <c r="V103" s="72"/>
      <c r="W103" s="72"/>
      <c r="X103" s="72"/>
      <c r="Y103" s="72"/>
      <c r="Z103" s="72"/>
      <c r="AA103" s="72"/>
      <c r="AB103" s="72"/>
      <c r="AC103" s="72"/>
      <c r="AD103" s="72"/>
      <c r="AE103" s="72"/>
      <c r="AF103" s="72"/>
      <c r="AG103" s="72"/>
      <c r="AH103" s="72"/>
      <c r="AI103" s="72"/>
    </row>
    <row r="104" spans="1:35" x14ac:dyDescent="0.4">
      <c r="B104" s="125" t="s">
        <v>635</v>
      </c>
      <c r="C104"/>
      <c r="D104"/>
      <c r="E104"/>
      <c r="F104"/>
      <c r="G104"/>
      <c r="H104"/>
      <c r="I104"/>
      <c r="J104"/>
      <c r="K104"/>
      <c r="L104"/>
      <c r="M104"/>
      <c r="N104"/>
      <c r="O104"/>
      <c r="P104"/>
      <c r="Q104"/>
      <c r="R104" s="72"/>
      <c r="S104" s="72"/>
      <c r="T104" s="72"/>
      <c r="U104" s="72"/>
      <c r="V104" s="72"/>
      <c r="W104" s="72"/>
      <c r="X104" s="72"/>
      <c r="Y104" s="72"/>
      <c r="Z104" s="72"/>
      <c r="AA104" s="72"/>
      <c r="AB104" s="72"/>
      <c r="AC104" s="72"/>
      <c r="AD104" s="72"/>
      <c r="AE104" s="72"/>
      <c r="AF104" s="72"/>
      <c r="AG104" s="72"/>
      <c r="AH104" s="72"/>
      <c r="AI104" s="72"/>
    </row>
    <row r="105" spans="1:35" x14ac:dyDescent="0.4">
      <c r="A105" s="3">
        <v>1</v>
      </c>
      <c r="B105" s="5" t="s">
        <v>257</v>
      </c>
      <c r="C105" t="s">
        <v>6</v>
      </c>
      <c r="D105" s="145">
        <f t="shared" ref="D105:J105" si="2">IF(ISNUMBER(D102),D6,"")</f>
        <v>111.255</v>
      </c>
      <c r="E105" s="145">
        <f t="shared" si="2"/>
        <v>113.87</v>
      </c>
      <c r="F105" s="145">
        <f t="shared" si="2"/>
        <v>119.875</v>
      </c>
      <c r="G105" s="145">
        <f t="shared" si="2"/>
        <v>131.1565823848</v>
      </c>
      <c r="H105" s="145" t="str">
        <f t="shared" si="2"/>
        <v/>
      </c>
      <c r="I105" s="145" t="str">
        <f t="shared" si="2"/>
        <v/>
      </c>
      <c r="J105" s="145" t="str">
        <f t="shared" si="2"/>
        <v/>
      </c>
      <c r="K105" s="145"/>
      <c r="L105"/>
      <c r="M105"/>
      <c r="N105"/>
      <c r="O105"/>
      <c r="P105"/>
      <c r="Q105"/>
      <c r="R105" s="72"/>
      <c r="S105" s="72"/>
      <c r="T105" s="72"/>
      <c r="U105" s="72"/>
      <c r="V105" s="72"/>
      <c r="W105" s="72"/>
      <c r="X105" s="72"/>
      <c r="Y105" s="72"/>
      <c r="Z105" s="72"/>
      <c r="AA105" s="72"/>
      <c r="AB105" s="72"/>
      <c r="AC105" s="72"/>
      <c r="AD105" s="72"/>
      <c r="AE105" s="72"/>
      <c r="AF105" s="72"/>
      <c r="AG105" s="72"/>
      <c r="AH105" s="72"/>
      <c r="AI105" s="72"/>
    </row>
    <row r="106" spans="1:35" x14ac:dyDescent="0.4">
      <c r="A106" s="3">
        <v>2</v>
      </c>
      <c r="B106" s="5" t="s">
        <v>25</v>
      </c>
      <c r="C106" t="s">
        <v>6</v>
      </c>
      <c r="D106" s="145">
        <f t="shared" ref="D106:J106" si="3">IF(ISNUMBER(D102),D7,"")</f>
        <v>7.6120000000000001</v>
      </c>
      <c r="E106" s="145">
        <f t="shared" si="3"/>
        <v>8.2249999999999996</v>
      </c>
      <c r="F106" s="145">
        <f t="shared" si="3"/>
        <v>7.8410000000000002</v>
      </c>
      <c r="G106" s="145">
        <f t="shared" si="3"/>
        <v>7.8380427719999997</v>
      </c>
      <c r="H106" s="145" t="str">
        <f t="shared" si="3"/>
        <v/>
      </c>
      <c r="I106" s="145" t="str">
        <f t="shared" si="3"/>
        <v/>
      </c>
      <c r="J106" s="145" t="str">
        <f t="shared" si="3"/>
        <v/>
      </c>
      <c r="K106" s="145"/>
      <c r="L106"/>
      <c r="M106"/>
      <c r="N106"/>
      <c r="O106"/>
      <c r="P106"/>
      <c r="Q106"/>
      <c r="R106" s="72"/>
      <c r="S106" s="72"/>
      <c r="T106" s="72"/>
      <c r="U106" s="72"/>
      <c r="V106" s="72"/>
      <c r="W106" s="72"/>
      <c r="X106" s="72"/>
      <c r="Y106" s="72"/>
      <c r="Z106" s="72"/>
      <c r="AA106" s="72"/>
      <c r="AB106" s="72"/>
      <c r="AC106" s="72"/>
      <c r="AD106" s="72"/>
      <c r="AE106" s="72"/>
      <c r="AF106" s="72"/>
      <c r="AG106" s="72"/>
      <c r="AH106" s="72"/>
      <c r="AI106" s="72"/>
    </row>
    <row r="107" spans="1:35" x14ac:dyDescent="0.4">
      <c r="A107" s="3">
        <v>3</v>
      </c>
      <c r="B107" s="5" t="s">
        <v>276</v>
      </c>
      <c r="C107" t="s">
        <v>6</v>
      </c>
      <c r="D107" s="145">
        <f t="shared" ref="D107:J107" si="4">IF(ISNUMBER(D102),D8,"")</f>
        <v>0.3</v>
      </c>
      <c r="E107" s="145">
        <f t="shared" si="4"/>
        <v>0.1</v>
      </c>
      <c r="F107" s="145">
        <f t="shared" si="4"/>
        <v>-0.1</v>
      </c>
      <c r="G107" s="145">
        <f t="shared" si="4"/>
        <v>-0.26126809239999998</v>
      </c>
      <c r="H107" s="145" t="str">
        <f t="shared" si="4"/>
        <v/>
      </c>
      <c r="I107" s="145" t="str">
        <f t="shared" si="4"/>
        <v/>
      </c>
      <c r="J107" s="145" t="str">
        <f t="shared" si="4"/>
        <v/>
      </c>
      <c r="K107" s="145"/>
      <c r="L107"/>
      <c r="M107"/>
      <c r="N107"/>
      <c r="O107"/>
      <c r="P107"/>
      <c r="Q107"/>
      <c r="R107" s="72"/>
      <c r="S107" s="72"/>
      <c r="T107" s="72"/>
      <c r="U107" s="72"/>
      <c r="V107" s="72"/>
      <c r="W107" s="72"/>
      <c r="X107" s="72"/>
      <c r="Y107" s="72"/>
      <c r="Z107" s="72"/>
      <c r="AA107" s="72"/>
      <c r="AB107" s="72"/>
      <c r="AC107" s="72"/>
      <c r="AD107" s="72"/>
      <c r="AE107" s="72"/>
      <c r="AF107" s="72"/>
      <c r="AG107" s="72"/>
      <c r="AH107" s="72"/>
      <c r="AI107" s="72"/>
    </row>
    <row r="108" spans="1:35" x14ac:dyDescent="0.4">
      <c r="A108" s="3">
        <v>4</v>
      </c>
      <c r="B108" s="5" t="s">
        <v>636</v>
      </c>
      <c r="C108" t="s">
        <v>6</v>
      </c>
      <c r="D108" s="145">
        <f t="shared" ref="D108:J108" si="5">IF(ISNUMBER(D102),D9,"")</f>
        <v>5.6639999999999997</v>
      </c>
      <c r="E108" s="145">
        <f t="shared" si="5"/>
        <v>5.8730000000000002</v>
      </c>
      <c r="F108" s="145">
        <f t="shared" si="5"/>
        <v>8.43</v>
      </c>
      <c r="G108" s="145">
        <f t="shared" si="5"/>
        <v>12.5408684352</v>
      </c>
      <c r="H108" s="145" t="str">
        <f t="shared" si="5"/>
        <v/>
      </c>
      <c r="I108" s="145" t="str">
        <f t="shared" si="5"/>
        <v/>
      </c>
      <c r="J108" s="145" t="str">
        <f t="shared" si="5"/>
        <v/>
      </c>
      <c r="K108" s="145"/>
      <c r="L108"/>
      <c r="M108"/>
      <c r="N108"/>
      <c r="O108"/>
      <c r="P108"/>
      <c r="Q108"/>
      <c r="R108" s="72"/>
      <c r="S108" s="72"/>
      <c r="T108" s="72"/>
      <c r="U108" s="72"/>
      <c r="V108" s="72"/>
      <c r="W108" s="72"/>
      <c r="X108" s="72"/>
      <c r="Y108" s="72"/>
      <c r="Z108" s="72"/>
      <c r="AA108" s="72"/>
      <c r="AB108" s="72"/>
      <c r="AC108" s="72"/>
      <c r="AD108" s="72"/>
      <c r="AE108" s="72"/>
      <c r="AF108" s="72"/>
      <c r="AG108" s="72"/>
      <c r="AH108" s="72"/>
      <c r="AI108" s="72"/>
    </row>
    <row r="109" spans="1:35" x14ac:dyDescent="0.4">
      <c r="A109" s="3">
        <v>5</v>
      </c>
      <c r="B109" s="5" t="s">
        <v>278</v>
      </c>
      <c r="C109" t="s">
        <v>6</v>
      </c>
      <c r="D109" s="145">
        <f t="shared" ref="D109:J109" si="6">IF(ISNUMBER(D102),D10,"")</f>
        <v>0.73899999999999999</v>
      </c>
      <c r="E109" s="145">
        <f t="shared" si="6"/>
        <v>0.70499999999999996</v>
      </c>
      <c r="F109" s="145">
        <f t="shared" si="6"/>
        <v>0.78</v>
      </c>
      <c r="G109" s="145">
        <f t="shared" si="6"/>
        <v>1.3063404620000001</v>
      </c>
      <c r="H109" s="145" t="str">
        <f t="shared" si="6"/>
        <v/>
      </c>
      <c r="I109" s="145" t="str">
        <f t="shared" si="6"/>
        <v/>
      </c>
      <c r="J109" s="145" t="str">
        <f t="shared" si="6"/>
        <v/>
      </c>
      <c r="K109" s="145"/>
      <c r="L109"/>
      <c r="M109"/>
      <c r="N109"/>
      <c r="O109"/>
      <c r="P109"/>
      <c r="Q109"/>
      <c r="R109" s="72"/>
      <c r="S109" s="72"/>
      <c r="T109" s="72"/>
      <c r="U109" s="72"/>
      <c r="V109" s="72"/>
      <c r="W109" s="72"/>
      <c r="X109" s="72"/>
      <c r="Y109" s="72"/>
      <c r="Z109" s="72"/>
      <c r="AA109" s="72"/>
      <c r="AB109" s="72"/>
      <c r="AC109" s="72"/>
      <c r="AD109" s="72"/>
      <c r="AE109" s="72"/>
      <c r="AF109" s="72"/>
      <c r="AG109" s="72"/>
      <c r="AH109" s="72"/>
      <c r="AI109" s="72"/>
    </row>
    <row r="110" spans="1:35" x14ac:dyDescent="0.4">
      <c r="A110" s="3">
        <v>6</v>
      </c>
      <c r="B110" s="5" t="s">
        <v>637</v>
      </c>
      <c r="C110" t="s">
        <v>6</v>
      </c>
      <c r="D110" s="145">
        <f t="shared" ref="D110:J110" si="7">IF(ISNUMBER(D102),D11,"")</f>
        <v>0.30199999999999999</v>
      </c>
      <c r="E110" s="145">
        <f t="shared" si="7"/>
        <v>0.4</v>
      </c>
      <c r="F110" s="145">
        <f t="shared" si="7"/>
        <v>0.436</v>
      </c>
      <c r="G110" s="145">
        <f t="shared" si="7"/>
        <v>0</v>
      </c>
      <c r="H110" s="145" t="str">
        <f t="shared" si="7"/>
        <v/>
      </c>
      <c r="I110" s="145" t="str">
        <f t="shared" si="7"/>
        <v/>
      </c>
      <c r="J110" s="145" t="str">
        <f t="shared" si="7"/>
        <v/>
      </c>
      <c r="K110" s="145"/>
      <c r="L110"/>
      <c r="M110"/>
      <c r="N110"/>
      <c r="O110"/>
      <c r="P110"/>
      <c r="Q110"/>
      <c r="R110" s="72"/>
      <c r="S110" s="72"/>
      <c r="T110" s="72"/>
      <c r="U110" s="72"/>
      <c r="V110" s="72"/>
      <c r="W110" s="72"/>
      <c r="X110" s="72"/>
      <c r="Y110" s="72"/>
      <c r="Z110" s="72"/>
      <c r="AA110" s="72"/>
      <c r="AB110" s="72"/>
      <c r="AC110" s="72"/>
      <c r="AD110" s="72"/>
      <c r="AE110" s="72"/>
      <c r="AF110" s="72"/>
      <c r="AG110" s="72"/>
      <c r="AH110" s="72"/>
      <c r="AI110" s="72"/>
    </row>
    <row r="111" spans="1:35" x14ac:dyDescent="0.4">
      <c r="A111" s="3">
        <v>7</v>
      </c>
      <c r="B111" s="5" t="s">
        <v>638</v>
      </c>
      <c r="C111" t="s">
        <v>6</v>
      </c>
      <c r="D111" s="145">
        <f t="shared" ref="D111:J111" si="8">IF(ISNUMBER(D102),D12,"")</f>
        <v>96.642539999999997</v>
      </c>
      <c r="E111" s="145">
        <f t="shared" si="8"/>
        <v>98.517420000000001</v>
      </c>
      <c r="F111" s="145">
        <f t="shared" si="8"/>
        <v>102.40949000000001</v>
      </c>
      <c r="G111" s="145">
        <f t="shared" si="8"/>
        <v>109.73259880799999</v>
      </c>
      <c r="H111" s="145" t="str">
        <f t="shared" si="8"/>
        <v/>
      </c>
      <c r="I111" s="145" t="str">
        <f t="shared" si="8"/>
        <v/>
      </c>
      <c r="J111" s="145" t="str">
        <f t="shared" si="8"/>
        <v/>
      </c>
      <c r="K111" s="145"/>
      <c r="L111"/>
      <c r="M111"/>
      <c r="N111"/>
      <c r="O111"/>
      <c r="P111"/>
      <c r="Q111"/>
      <c r="R111" s="72"/>
      <c r="S111" s="72"/>
      <c r="T111" s="72"/>
      <c r="U111" s="72"/>
      <c r="V111" s="72"/>
      <c r="W111" s="72"/>
      <c r="X111" s="72"/>
      <c r="Y111" s="72"/>
      <c r="Z111" s="72"/>
      <c r="AA111" s="72"/>
      <c r="AB111" s="72"/>
      <c r="AC111" s="72"/>
      <c r="AD111" s="72"/>
      <c r="AE111" s="72"/>
      <c r="AF111" s="72"/>
      <c r="AG111" s="72"/>
      <c r="AH111" s="72"/>
      <c r="AI111" s="72"/>
    </row>
    <row r="112" spans="1:35" x14ac:dyDescent="0.4">
      <c r="A112" s="3">
        <v>8</v>
      </c>
      <c r="B112" s="5" t="s">
        <v>639</v>
      </c>
      <c r="C112" t="s">
        <v>6</v>
      </c>
      <c r="E112" s="92">
        <f>IF(ISNUMBER(E102),E111-D111,"")</f>
        <v>1.8748800000000045</v>
      </c>
      <c r="F112" s="92">
        <f t="shared" ref="F112:J112" si="9">IF(ISNUMBER(F102),F111-E111,"")</f>
        <v>3.8920700000000039</v>
      </c>
      <c r="G112" s="92">
        <f t="shared" si="9"/>
        <v>7.3231088079999864</v>
      </c>
      <c r="H112" s="92" t="str">
        <f t="shared" si="9"/>
        <v/>
      </c>
      <c r="I112" s="92" t="str">
        <f t="shared" si="9"/>
        <v/>
      </c>
      <c r="J112" s="92" t="str">
        <f t="shared" si="9"/>
        <v/>
      </c>
      <c r="K112" s="92"/>
      <c r="L112" s="92"/>
      <c r="M112"/>
      <c r="N112"/>
      <c r="O112"/>
      <c r="P112"/>
      <c r="Q112"/>
      <c r="R112" s="72"/>
      <c r="S112" s="72"/>
      <c r="T112" s="72"/>
      <c r="U112" s="72"/>
      <c r="V112" s="72"/>
      <c r="W112" s="72"/>
      <c r="X112" s="72"/>
      <c r="Y112" s="72"/>
      <c r="Z112" s="72"/>
      <c r="AA112" s="72"/>
      <c r="AB112" s="72"/>
      <c r="AC112" s="72"/>
      <c r="AD112" s="72"/>
      <c r="AE112" s="72"/>
      <c r="AF112" s="72"/>
      <c r="AG112" s="72"/>
      <c r="AH112" s="72"/>
      <c r="AI112" s="72"/>
    </row>
    <row r="113" spans="1:35" x14ac:dyDescent="0.4">
      <c r="A113" s="3">
        <v>9</v>
      </c>
      <c r="B113" s="5" t="s">
        <v>640</v>
      </c>
      <c r="C113" t="s">
        <v>6</v>
      </c>
      <c r="D113" s="145"/>
      <c r="E113" s="145">
        <f t="shared" ref="E113:J113" si="10">IF(ISNUMBER(E102),E13,"")</f>
        <v>2</v>
      </c>
      <c r="F113" s="145">
        <f t="shared" si="10"/>
        <v>1.1000000000000001</v>
      </c>
      <c r="G113" s="145">
        <f t="shared" si="10"/>
        <v>-0.52253618479999997</v>
      </c>
      <c r="H113" s="145" t="str">
        <f t="shared" si="10"/>
        <v/>
      </c>
      <c r="I113" s="145" t="str">
        <f t="shared" si="10"/>
        <v/>
      </c>
      <c r="J113" s="145" t="str">
        <f t="shared" si="10"/>
        <v/>
      </c>
      <c r="K113" s="145"/>
      <c r="L113"/>
      <c r="M113"/>
      <c r="N113"/>
      <c r="O113"/>
      <c r="P113"/>
      <c r="Q113"/>
      <c r="R113" s="72"/>
      <c r="S113" s="72"/>
      <c r="T113" s="72"/>
      <c r="U113" s="72"/>
      <c r="V113" s="72"/>
      <c r="W113" s="72"/>
      <c r="X113" s="72"/>
      <c r="Y113" s="72"/>
      <c r="Z113" s="72"/>
      <c r="AA113" s="72"/>
      <c r="AB113" s="72"/>
      <c r="AC113" s="72"/>
      <c r="AD113" s="72"/>
      <c r="AE113" s="72"/>
      <c r="AF113" s="72"/>
      <c r="AG113" s="72"/>
      <c r="AH113" s="72"/>
      <c r="AI113" s="72"/>
    </row>
    <row r="114" spans="1:35" x14ac:dyDescent="0.4">
      <c r="A114" s="3">
        <v>10</v>
      </c>
      <c r="B114" s="5" t="s">
        <v>641</v>
      </c>
      <c r="C114" t="s">
        <v>6</v>
      </c>
      <c r="D114" s="145"/>
      <c r="E114" s="145">
        <f>IF(ISNUMBER(E102),E112-E113,"")</f>
        <v>-0.12511999999999546</v>
      </c>
      <c r="F114" s="145">
        <f t="shared" ref="F114:J114" si="11">IF(ISNUMBER(F102),F112-F113,"")</f>
        <v>2.7920700000000038</v>
      </c>
      <c r="G114" s="145">
        <f t="shared" si="11"/>
        <v>7.8456449927999863</v>
      </c>
      <c r="H114" s="145" t="str">
        <f t="shared" si="11"/>
        <v/>
      </c>
      <c r="I114" s="145" t="str">
        <f t="shared" si="11"/>
        <v/>
      </c>
      <c r="J114" s="145" t="str">
        <f t="shared" si="11"/>
        <v/>
      </c>
      <c r="K114" s="145"/>
      <c r="L114"/>
      <c r="M114"/>
      <c r="N114"/>
      <c r="O114"/>
      <c r="P114"/>
      <c r="Q114"/>
      <c r="R114" s="72"/>
      <c r="S114" s="72"/>
      <c r="T114" s="72"/>
      <c r="U114" s="72"/>
      <c r="V114" s="72"/>
      <c r="W114" s="72"/>
      <c r="X114" s="72"/>
      <c r="Y114" s="72"/>
      <c r="Z114" s="72"/>
      <c r="AA114" s="72"/>
      <c r="AB114" s="72"/>
      <c r="AC114" s="72"/>
      <c r="AD114" s="72"/>
      <c r="AE114" s="72"/>
      <c r="AF114" s="72"/>
      <c r="AG114" s="72"/>
      <c r="AH114" s="72"/>
      <c r="AI114" s="72"/>
    </row>
    <row r="115" spans="1:35" x14ac:dyDescent="0.4">
      <c r="A115" s="3"/>
      <c r="B115" s="125" t="s">
        <v>981</v>
      </c>
      <c r="C115"/>
      <c r="D115" s="145"/>
      <c r="E115" s="145"/>
      <c r="F115" s="145"/>
      <c r="G115" s="145"/>
      <c r="H115" s="145"/>
      <c r="I115" s="145"/>
      <c r="J115" s="145"/>
      <c r="K115" s="145"/>
      <c r="L115"/>
      <c r="M115"/>
      <c r="N115"/>
      <c r="O115"/>
      <c r="P115"/>
      <c r="Q115"/>
      <c r="R115" s="72"/>
      <c r="S115" s="72"/>
      <c r="T115" s="72"/>
      <c r="U115" s="72"/>
      <c r="V115" s="72"/>
      <c r="W115" s="72"/>
      <c r="X115" s="72"/>
      <c r="Y115" s="72"/>
      <c r="Z115" s="72"/>
      <c r="AA115" s="72"/>
      <c r="AB115" s="72"/>
      <c r="AC115" s="72"/>
      <c r="AD115" s="72"/>
      <c r="AE115" s="72"/>
      <c r="AF115" s="72"/>
      <c r="AG115" s="72"/>
      <c r="AH115" s="72"/>
      <c r="AI115" s="72"/>
    </row>
    <row r="116" spans="1:35" x14ac:dyDescent="0.4">
      <c r="A116" s="3">
        <v>11</v>
      </c>
      <c r="B116" s="5" t="s">
        <v>643</v>
      </c>
      <c r="C116" t="s">
        <v>612</v>
      </c>
      <c r="D116" s="145"/>
      <c r="E116" s="145">
        <f>IF(ISNUMBER(E102),E114/D111*100,"")</f>
        <v>-0.12946679588512</v>
      </c>
      <c r="F116" s="145">
        <f t="shared" ref="F116:J116" si="12">IF(ISNUMBER(F102),F114/E111*100,"")</f>
        <v>2.8340876161799646</v>
      </c>
      <c r="G116" s="145">
        <f t="shared" si="12"/>
        <v>7.6610526942376005</v>
      </c>
      <c r="H116" s="145" t="str">
        <f t="shared" si="12"/>
        <v/>
      </c>
      <c r="I116" s="145" t="str">
        <f t="shared" si="12"/>
        <v/>
      </c>
      <c r="J116" s="145" t="str">
        <f t="shared" si="12"/>
        <v/>
      </c>
      <c r="K116" s="145"/>
      <c r="L116"/>
      <c r="M116"/>
      <c r="N116"/>
      <c r="O116"/>
      <c r="P116"/>
      <c r="Q116"/>
      <c r="R116" s="72"/>
      <c r="S116" s="72"/>
      <c r="T116" s="72"/>
      <c r="U116" s="72"/>
      <c r="V116" s="72"/>
      <c r="W116" s="72"/>
      <c r="X116" s="72"/>
      <c r="Y116" s="72"/>
      <c r="Z116" s="72"/>
      <c r="AA116" s="72"/>
      <c r="AB116" s="72"/>
      <c r="AC116" s="72"/>
      <c r="AD116" s="72"/>
      <c r="AE116" s="72"/>
      <c r="AF116" s="72"/>
      <c r="AG116" s="72"/>
      <c r="AH116" s="72"/>
      <c r="AI116" s="72"/>
    </row>
    <row r="117" spans="1:35" x14ac:dyDescent="0.4">
      <c r="A117" s="3">
        <v>12</v>
      </c>
      <c r="B117" s="5" t="s">
        <v>1000</v>
      </c>
      <c r="C117" t="s">
        <v>612</v>
      </c>
      <c r="D117" s="145"/>
      <c r="E117" s="264">
        <f t="shared" ref="E117:J117" si="13">IF(ISNUMBER(E102),E34,"")</f>
        <v>2.6</v>
      </c>
      <c r="F117" s="145">
        <f t="shared" si="13"/>
        <v>3.6999999999999997</v>
      </c>
      <c r="G117" s="145">
        <f t="shared" si="13"/>
        <v>3.6000000000000005</v>
      </c>
      <c r="H117" s="145" t="str">
        <f t="shared" si="13"/>
        <v/>
      </c>
      <c r="I117" s="145" t="str">
        <f t="shared" si="13"/>
        <v/>
      </c>
      <c r="J117" s="145" t="str">
        <f t="shared" si="13"/>
        <v/>
      </c>
      <c r="K117" s="145"/>
      <c r="L117"/>
      <c r="M117"/>
      <c r="N117"/>
      <c r="O117"/>
      <c r="P117"/>
      <c r="Q117"/>
      <c r="R117" s="72"/>
      <c r="S117" s="72"/>
      <c r="T117" s="72"/>
      <c r="U117" s="72"/>
      <c r="V117" s="72"/>
      <c r="W117" s="72"/>
      <c r="X117" s="72"/>
      <c r="Y117" s="72"/>
      <c r="Z117" s="72"/>
      <c r="AA117" s="72"/>
      <c r="AB117" s="72"/>
      <c r="AC117" s="72"/>
      <c r="AD117" s="72"/>
      <c r="AE117" s="72"/>
      <c r="AF117" s="72"/>
      <c r="AG117" s="72"/>
      <c r="AH117" s="72"/>
      <c r="AI117" s="72"/>
    </row>
    <row r="118" spans="1:35" x14ac:dyDescent="0.4">
      <c r="A118" s="3">
        <v>13</v>
      </c>
      <c r="B118" s="5" t="s">
        <v>982</v>
      </c>
      <c r="C118" t="s">
        <v>6</v>
      </c>
      <c r="D118" s="145"/>
      <c r="E118" s="264">
        <f>IF(ISNUMBER(E102),((E116-E117)/100)*D111,"")</f>
        <v>-2.6378260399999953</v>
      </c>
      <c r="F118" s="145">
        <f t="shared" ref="F118:J118" si="14">IF(ISNUMBER(F102),((F116-F117)/100)*E111,"")</f>
        <v>-0.85307453999999605</v>
      </c>
      <c r="G118" s="145">
        <f t="shared" si="14"/>
        <v>4.1589033527999852</v>
      </c>
      <c r="H118" s="145" t="str">
        <f t="shared" si="14"/>
        <v/>
      </c>
      <c r="I118" s="145" t="str">
        <f t="shared" si="14"/>
        <v/>
      </c>
      <c r="J118" s="145" t="str">
        <f t="shared" si="14"/>
        <v/>
      </c>
      <c r="K118" s="145"/>
      <c r="L118"/>
      <c r="M118"/>
      <c r="N118"/>
      <c r="O118"/>
      <c r="P118"/>
      <c r="Q118"/>
      <c r="R118" s="72"/>
      <c r="S118" s="72"/>
      <c r="T118" s="72"/>
      <c r="U118" s="72"/>
      <c r="V118" s="72"/>
      <c r="W118" s="72"/>
      <c r="X118" s="72"/>
      <c r="Y118" s="72"/>
      <c r="Z118" s="72"/>
      <c r="AA118" s="72"/>
      <c r="AB118" s="72"/>
      <c r="AC118" s="72"/>
      <c r="AD118" s="72"/>
      <c r="AE118" s="72"/>
      <c r="AF118" s="72"/>
      <c r="AG118" s="72"/>
      <c r="AH118" s="72"/>
      <c r="AI118" s="72"/>
    </row>
    <row r="119" spans="1:35" x14ac:dyDescent="0.4">
      <c r="A119" s="3">
        <v>14</v>
      </c>
      <c r="B119" s="144" t="s">
        <v>983</v>
      </c>
      <c r="C119" s="7" t="s">
        <v>6</v>
      </c>
      <c r="D119" s="145"/>
      <c r="E119" s="264">
        <f>IF(ISNUMBER(E102),E118+IF(ISNUMBER(D102),D119,0),"")</f>
        <v>-2.6378260399999953</v>
      </c>
      <c r="F119" s="145">
        <f t="shared" ref="F119:J119" si="15">IF(ISNUMBER(F102),F118+IF(ISNUMBER(E102),E119,0),"")</f>
        <v>-3.4909005799999915</v>
      </c>
      <c r="G119" s="145">
        <f t="shared" si="15"/>
        <v>0.66800277279999376</v>
      </c>
      <c r="H119" s="145" t="str">
        <f t="shared" si="15"/>
        <v/>
      </c>
      <c r="I119" s="145" t="str">
        <f t="shared" si="15"/>
        <v/>
      </c>
      <c r="J119" s="145" t="str">
        <f t="shared" si="15"/>
        <v/>
      </c>
      <c r="K119" s="145"/>
      <c r="L119"/>
      <c r="M119"/>
      <c r="N119"/>
      <c r="O119"/>
      <c r="P119"/>
      <c r="Q119"/>
      <c r="R119" s="72"/>
      <c r="S119" s="72"/>
      <c r="T119" s="72"/>
      <c r="U119" s="72"/>
      <c r="V119" s="72"/>
      <c r="W119" s="72"/>
      <c r="X119" s="72"/>
      <c r="Y119" s="72"/>
      <c r="Z119" s="72"/>
      <c r="AA119" s="72"/>
      <c r="AB119" s="72"/>
      <c r="AC119" s="72"/>
      <c r="AD119" s="72"/>
      <c r="AE119" s="72"/>
      <c r="AF119" s="72"/>
      <c r="AG119" s="72"/>
      <c r="AH119" s="72"/>
      <c r="AI119" s="72"/>
    </row>
    <row r="120" spans="1:35" x14ac:dyDescent="0.4">
      <c r="A120" s="3">
        <v>15</v>
      </c>
      <c r="B120" s="5" t="s">
        <v>9</v>
      </c>
      <c r="C120" t="s">
        <v>6</v>
      </c>
      <c r="D120" s="145">
        <f t="shared" ref="D120:J120" si="16">IF(ISNUMBER(D102),D27,"")</f>
        <v>224.68620000000001</v>
      </c>
      <c r="E120" s="145">
        <f t="shared" si="16"/>
        <v>236.73599999999999</v>
      </c>
      <c r="F120" s="145">
        <f t="shared" si="16"/>
        <v>248.3537</v>
      </c>
      <c r="G120" s="145">
        <f t="shared" si="16"/>
        <v>261.2680924</v>
      </c>
      <c r="H120" s="145" t="str">
        <f t="shared" si="16"/>
        <v/>
      </c>
      <c r="I120" s="145" t="str">
        <f t="shared" si="16"/>
        <v/>
      </c>
      <c r="J120" s="145" t="str">
        <f t="shared" si="16"/>
        <v/>
      </c>
      <c r="K120" s="145"/>
      <c r="L120" s="9"/>
      <c r="M120" s="9"/>
      <c r="N120"/>
      <c r="O120"/>
      <c r="P120"/>
      <c r="Q120"/>
      <c r="R120" s="72"/>
      <c r="S120" s="72"/>
      <c r="T120" s="72"/>
      <c r="U120" s="72"/>
      <c r="V120" s="72"/>
      <c r="W120" s="72"/>
      <c r="X120" s="72"/>
      <c r="Y120" s="72"/>
      <c r="Z120" s="72"/>
      <c r="AA120" s="72"/>
      <c r="AB120" s="72"/>
      <c r="AC120" s="72"/>
      <c r="AD120" s="72"/>
      <c r="AE120" s="72"/>
      <c r="AF120" s="72"/>
      <c r="AG120" s="72"/>
      <c r="AH120" s="72"/>
      <c r="AI120" s="72"/>
    </row>
    <row r="121" spans="1:35" ht="21.4" customHeight="1" x14ac:dyDescent="0.4">
      <c r="B121" s="7" t="s">
        <v>652</v>
      </c>
      <c r="C121" s="20"/>
      <c r="D121" s="3"/>
      <c r="E121" s="3"/>
      <c r="F121" s="3"/>
      <c r="G121" s="3"/>
      <c r="H121" s="3"/>
      <c r="I121" s="3"/>
      <c r="J121" s="3"/>
      <c r="K121" s="3"/>
      <c r="L121"/>
      <c r="M121"/>
      <c r="N121"/>
      <c r="O121"/>
      <c r="P121"/>
      <c r="Q121"/>
      <c r="R121" s="72"/>
      <c r="S121" s="72"/>
      <c r="T121" s="72"/>
      <c r="U121" s="72"/>
      <c r="V121" s="72"/>
      <c r="W121" s="72"/>
      <c r="X121" s="72"/>
      <c r="Y121" s="72"/>
      <c r="Z121" s="72"/>
      <c r="AA121" s="72"/>
      <c r="AB121" s="72"/>
      <c r="AC121" s="72"/>
      <c r="AD121" s="72"/>
      <c r="AE121" s="72"/>
      <c r="AF121" s="72"/>
      <c r="AG121" s="72"/>
      <c r="AH121" s="72"/>
      <c r="AI121" s="72"/>
    </row>
    <row r="122" spans="1:35" x14ac:dyDescent="0.4">
      <c r="A122" s="3">
        <v>16</v>
      </c>
      <c r="B122" s="5" t="s">
        <v>613</v>
      </c>
      <c r="C122" t="s">
        <v>614</v>
      </c>
      <c r="D122"/>
      <c r="E122" s="263">
        <f>IF(ISNUMBER(E102),E118/E$120*100,"")</f>
        <v>-1.1142479555285194</v>
      </c>
      <c r="F122" s="4">
        <f t="shared" ref="F122:J122" si="17">IF(ISNUMBER(F102),F118/F$120*100,"")</f>
        <v>-0.34349177805685849</v>
      </c>
      <c r="G122" s="4">
        <f t="shared" si="17"/>
        <v>1.5918144900881073</v>
      </c>
      <c r="H122" s="4" t="str">
        <f t="shared" si="17"/>
        <v/>
      </c>
      <c r="I122" s="4" t="str">
        <f t="shared" si="17"/>
        <v/>
      </c>
      <c r="J122" s="4" t="str">
        <f t="shared" si="17"/>
        <v/>
      </c>
      <c r="K122" s="4"/>
      <c r="L122"/>
      <c r="M122"/>
      <c r="N122"/>
      <c r="O122"/>
      <c r="P122"/>
      <c r="Q122"/>
      <c r="R122" s="72"/>
      <c r="S122" s="72"/>
      <c r="T122" s="72"/>
      <c r="U122" s="72"/>
      <c r="V122" s="72"/>
      <c r="W122" s="72"/>
      <c r="X122" s="72"/>
      <c r="Y122" s="72"/>
      <c r="Z122" s="72"/>
      <c r="AA122" s="72"/>
      <c r="AB122" s="72"/>
      <c r="AC122" s="72"/>
      <c r="AD122" s="72"/>
      <c r="AE122" s="72"/>
      <c r="AF122" s="72"/>
      <c r="AG122" s="72"/>
      <c r="AH122" s="72"/>
      <c r="AI122" s="72"/>
    </row>
    <row r="123" spans="1:35" x14ac:dyDescent="0.4">
      <c r="A123" s="3">
        <v>17</v>
      </c>
      <c r="B123" s="5" t="s">
        <v>999</v>
      </c>
      <c r="C123" t="s">
        <v>614</v>
      </c>
      <c r="D123"/>
      <c r="E123" s="263">
        <f>IF(ISNUMBER(E102),E119/E$120*100,"")</f>
        <v>-1.1142479555285194</v>
      </c>
      <c r="F123" s="4">
        <f t="shared" ref="F123:J123" si="18">IF(ISNUMBER(F102),F119/F$120*100,"")</f>
        <v>-1.4056164977610526</v>
      </c>
      <c r="G123" s="4">
        <f t="shared" si="18"/>
        <v>0.2556771348019356</v>
      </c>
      <c r="H123" s="4" t="str">
        <f t="shared" si="18"/>
        <v/>
      </c>
      <c r="I123" s="4" t="str">
        <f t="shared" si="18"/>
        <v/>
      </c>
      <c r="J123" s="4" t="str">
        <f t="shared" si="18"/>
        <v/>
      </c>
      <c r="K123" s="4"/>
      <c r="L123"/>
      <c r="M123"/>
      <c r="N123"/>
      <c r="O123"/>
      <c r="P123"/>
      <c r="Q123"/>
      <c r="R123" s="72"/>
      <c r="S123" s="72"/>
      <c r="T123" s="72"/>
      <c r="U123" s="72"/>
      <c r="V123" s="72"/>
      <c r="W123" s="72"/>
      <c r="X123" s="72"/>
      <c r="Y123" s="72"/>
      <c r="Z123" s="72"/>
      <c r="AA123" s="72"/>
      <c r="AB123" s="72"/>
      <c r="AC123" s="72"/>
      <c r="AD123" s="72"/>
      <c r="AE123" s="72"/>
      <c r="AF123" s="72"/>
      <c r="AG123" s="72"/>
      <c r="AH123" s="72"/>
      <c r="AI123" s="72"/>
    </row>
    <row r="124" spans="1:35" ht="20.85" customHeight="1" x14ac:dyDescent="0.4">
      <c r="A124" s="3"/>
      <c r="B124" s="7" t="s">
        <v>984</v>
      </c>
      <c r="C124" s="20"/>
      <c r="D124" s="3"/>
      <c r="E124" s="3"/>
      <c r="F124" s="3"/>
      <c r="G124" s="3"/>
      <c r="H124" s="3"/>
      <c r="I124" s="3"/>
      <c r="J124" s="3"/>
      <c r="K124" s="3"/>
      <c r="L124"/>
      <c r="M124"/>
      <c r="N124"/>
      <c r="O124"/>
      <c r="P124"/>
      <c r="Q124"/>
      <c r="R124" s="72"/>
      <c r="S124" s="72"/>
      <c r="T124" s="72"/>
      <c r="U124" s="72"/>
      <c r="V124" s="72"/>
      <c r="W124" s="72"/>
      <c r="X124" s="72"/>
      <c r="Y124" s="72"/>
      <c r="Z124" s="72"/>
      <c r="AA124" s="72"/>
      <c r="AB124" s="72"/>
      <c r="AC124" s="72"/>
      <c r="AD124" s="72"/>
      <c r="AE124" s="72"/>
      <c r="AF124" s="72"/>
      <c r="AG124" s="72"/>
      <c r="AH124" s="72"/>
      <c r="AI124" s="72"/>
    </row>
    <row r="125" spans="1:35" x14ac:dyDescent="0.4">
      <c r="A125" s="3" t="s">
        <v>659</v>
      </c>
      <c r="B125" s="5" t="s">
        <v>613</v>
      </c>
      <c r="C125" t="s">
        <v>614</v>
      </c>
      <c r="D125"/>
      <c r="E125" s="4">
        <f>IF(ISNUMBER(E102),E118/E$120*100,"")</f>
        <v>-1.1142479555285194</v>
      </c>
      <c r="F125" s="4">
        <f t="shared" ref="F125:J125" si="19">IF(ISNUMBER(F102),F118/F$120*100,"")</f>
        <v>-0.34349177805685849</v>
      </c>
      <c r="G125" s="4">
        <f t="shared" si="19"/>
        <v>1.5918144900881073</v>
      </c>
      <c r="H125" s="4" t="str">
        <f t="shared" si="19"/>
        <v/>
      </c>
      <c r="I125" s="4" t="str">
        <f t="shared" si="19"/>
        <v/>
      </c>
      <c r="J125" s="4" t="str">
        <f t="shared" si="19"/>
        <v/>
      </c>
      <c r="K125" s="4"/>
      <c r="L125"/>
      <c r="M125"/>
      <c r="N125"/>
      <c r="O125"/>
      <c r="P125"/>
      <c r="Q125"/>
      <c r="R125" s="72"/>
      <c r="S125" s="72"/>
      <c r="T125" s="72"/>
      <c r="U125" s="72"/>
      <c r="V125" s="72"/>
      <c r="W125" s="72"/>
      <c r="X125" s="72"/>
      <c r="Y125" s="72"/>
      <c r="Z125" s="72"/>
      <c r="AA125" s="72"/>
      <c r="AB125" s="72"/>
      <c r="AC125" s="72"/>
      <c r="AD125" s="72"/>
      <c r="AE125" s="72"/>
      <c r="AF125" s="72"/>
      <c r="AG125" s="72"/>
      <c r="AH125" s="72"/>
      <c r="AI125" s="72"/>
    </row>
    <row r="126" spans="1:35" x14ac:dyDescent="0.4">
      <c r="A126" s="3"/>
      <c r="B126" s="5" t="s">
        <v>609</v>
      </c>
      <c r="C126" t="s">
        <v>6</v>
      </c>
      <c r="D126" s="145">
        <f t="shared" ref="D126:J126" si="20">IF(ISNUMBER(D102),D14,"")</f>
        <v>5.2</v>
      </c>
      <c r="E126" s="145">
        <f t="shared" si="20"/>
        <v>5.2880000000000003</v>
      </c>
      <c r="F126" s="145">
        <f t="shared" si="20"/>
        <v>5.9859999999999998</v>
      </c>
      <c r="G126" s="145">
        <f t="shared" si="20"/>
        <v>6.7929704024000008</v>
      </c>
      <c r="H126" s="145" t="str">
        <f t="shared" si="20"/>
        <v/>
      </c>
      <c r="I126" s="145" t="str">
        <f t="shared" si="20"/>
        <v/>
      </c>
      <c r="J126" s="145" t="str">
        <f t="shared" si="20"/>
        <v/>
      </c>
      <c r="K126" s="145"/>
      <c r="L126"/>
      <c r="M126"/>
      <c r="N126"/>
      <c r="O126"/>
      <c r="P126"/>
      <c r="Q126"/>
      <c r="R126" s="72"/>
      <c r="S126" s="72"/>
      <c r="T126" s="72"/>
      <c r="U126" s="72"/>
      <c r="V126" s="72"/>
      <c r="W126" s="72"/>
      <c r="X126" s="72"/>
      <c r="Y126" s="72"/>
      <c r="Z126" s="72"/>
      <c r="AA126" s="72"/>
      <c r="AB126" s="72"/>
      <c r="AC126" s="72"/>
      <c r="AD126" s="72"/>
      <c r="AE126" s="72"/>
      <c r="AF126" s="72"/>
      <c r="AG126" s="72"/>
      <c r="AH126" s="72"/>
      <c r="AI126" s="72"/>
    </row>
    <row r="127" spans="1:35" x14ac:dyDescent="0.4">
      <c r="A127" s="3"/>
      <c r="B127" s="5" t="s">
        <v>609</v>
      </c>
      <c r="C127" t="s">
        <v>614</v>
      </c>
      <c r="D127" s="4">
        <f t="shared" ref="D127:J127" si="21">IF(ISNUMBER(D102),D14/D120*100,"")</f>
        <v>2.3143388423499083</v>
      </c>
      <c r="E127" s="4">
        <f t="shared" si="21"/>
        <v>2.2337118140037848</v>
      </c>
      <c r="F127" s="4">
        <f t="shared" si="21"/>
        <v>2.4102721239909046</v>
      </c>
      <c r="G127" s="4">
        <f t="shared" si="21"/>
        <v>2.6</v>
      </c>
      <c r="H127" s="4" t="str">
        <f t="shared" si="21"/>
        <v/>
      </c>
      <c r="I127" s="4" t="str">
        <f t="shared" si="21"/>
        <v/>
      </c>
      <c r="J127" s="4" t="str">
        <f t="shared" si="21"/>
        <v/>
      </c>
      <c r="K127" s="4"/>
      <c r="L127"/>
      <c r="M127"/>
      <c r="N127"/>
      <c r="O127"/>
      <c r="P127"/>
      <c r="Q127"/>
      <c r="R127" s="72"/>
      <c r="S127" s="72"/>
      <c r="T127" s="72"/>
      <c r="U127" s="72"/>
      <c r="V127" s="72"/>
      <c r="W127" s="72"/>
      <c r="X127" s="72"/>
      <c r="Y127" s="72"/>
      <c r="Z127" s="72"/>
      <c r="AA127" s="72"/>
      <c r="AB127" s="72"/>
      <c r="AC127" s="72"/>
      <c r="AD127" s="72"/>
      <c r="AE127" s="72"/>
      <c r="AF127" s="72"/>
      <c r="AG127" s="72"/>
      <c r="AH127" s="72"/>
      <c r="AI127" s="72"/>
    </row>
    <row r="128" spans="1:35" x14ac:dyDescent="0.4">
      <c r="A128" s="3"/>
      <c r="B128" s="5" t="s">
        <v>658</v>
      </c>
      <c r="C128" t="s">
        <v>6</v>
      </c>
      <c r="D128" s="4"/>
      <c r="E128" s="4">
        <f>IF(ISNUMBER(E102),E126-D126,"")</f>
        <v>8.8000000000000078E-2</v>
      </c>
      <c r="F128" s="4">
        <f t="shared" ref="F128:J128" si="22">IF(ISNUMBER(F102),F126-E126,"")</f>
        <v>0.69799999999999951</v>
      </c>
      <c r="G128" s="4">
        <f t="shared" si="22"/>
        <v>0.80697040240000106</v>
      </c>
      <c r="H128" s="4" t="str">
        <f t="shared" si="22"/>
        <v/>
      </c>
      <c r="I128" s="4" t="str">
        <f t="shared" si="22"/>
        <v/>
      </c>
      <c r="J128" s="4" t="str">
        <f t="shared" si="22"/>
        <v/>
      </c>
      <c r="K128" s="4"/>
      <c r="L128"/>
      <c r="M128"/>
      <c r="N128"/>
      <c r="O128"/>
      <c r="P128"/>
      <c r="Q128"/>
      <c r="R128" s="72"/>
      <c r="S128" s="72"/>
      <c r="T128" s="72"/>
      <c r="U128" s="72"/>
      <c r="V128" s="72"/>
      <c r="W128" s="72"/>
      <c r="X128" s="72"/>
      <c r="Y128" s="72"/>
      <c r="Z128" s="72"/>
      <c r="AA128" s="72"/>
      <c r="AB128" s="72"/>
      <c r="AC128" s="72"/>
      <c r="AD128" s="72"/>
      <c r="AE128" s="72"/>
      <c r="AF128" s="72"/>
      <c r="AG128" s="72"/>
      <c r="AH128" s="72"/>
      <c r="AI128" s="72"/>
    </row>
    <row r="129" spans="1:35" x14ac:dyDescent="0.4">
      <c r="B129" s="5" t="s">
        <v>658</v>
      </c>
      <c r="C129" t="s">
        <v>614</v>
      </c>
      <c r="E129" s="4">
        <f>IF(ISNUMBER(E102),E128/E$27*100,"")</f>
        <v>3.7172208705055457E-2</v>
      </c>
      <c r="F129" s="4">
        <f>IF(ISNUMBER(F102),F128/F$27*100,"")</f>
        <v>0.28105077556726538</v>
      </c>
      <c r="G129" s="4">
        <f t="shared" ref="G129:J129" si="23">IF(ISNUMBER(G102),G128/G$27*100,"")</f>
        <v>0.30886680229001479</v>
      </c>
      <c r="H129" s="4" t="str">
        <f t="shared" si="23"/>
        <v/>
      </c>
      <c r="I129" s="4" t="str">
        <f t="shared" si="23"/>
        <v/>
      </c>
      <c r="J129" s="4" t="str">
        <f t="shared" si="23"/>
        <v/>
      </c>
      <c r="K129" s="4"/>
    </row>
    <row r="130" spans="1:35" x14ac:dyDescent="0.4">
      <c r="B130" s="5" t="str">
        <f>"Growth of defence expenditure since "&amp;'Step 1 - Set global parameters'!B17&amp;""</f>
        <v>Growth of defence expenditure since 2024</v>
      </c>
      <c r="C130" t="s">
        <v>6</v>
      </c>
      <c r="E130" s="4">
        <f>IF(ISNUMBER(E102),E131/100*E$27,"")</f>
        <v>7.9807999999999615E-2</v>
      </c>
      <c r="F130" s="4">
        <f t="shared" ref="F130:G130" si="24">IF(ISNUMBER(F102),F131/100*F$27,"")</f>
        <v>0.52221859999999887</v>
      </c>
      <c r="G130" s="4">
        <f t="shared" si="24"/>
        <v>1.0450723695999997</v>
      </c>
      <c r="H130" s="4"/>
      <c r="I130" s="4"/>
      <c r="J130" s="4"/>
      <c r="K130" s="4"/>
    </row>
    <row r="131" spans="1:35" x14ac:dyDescent="0.4">
      <c r="B131" s="5" t="str">
        <f>"Growth of defence expenditure since "&amp;'Step 1 - Set global parameters'!B17&amp;""</f>
        <v>Growth of defence expenditure since 2024</v>
      </c>
      <c r="C131" t="s">
        <v>614</v>
      </c>
      <c r="E131" s="4">
        <f>IF(ISNUMBER(E102),E127-'Step 1 - Set global parameters'!$B$18,"")</f>
        <v>3.3711814003784646E-2</v>
      </c>
      <c r="F131" s="4">
        <f>IF(ISNUMBER(F102),F127-'Step 1 - Set global parameters'!$B$18,"")</f>
        <v>0.21027212399090445</v>
      </c>
      <c r="G131" s="4">
        <f>IF(ISNUMBER(G102),G127-'Step 1 - Set global parameters'!$B$18,"")</f>
        <v>0.39999999999999991</v>
      </c>
      <c r="H131" s="4" t="str">
        <f>IF(ISNUMBER(H102),H127-'Step 1 - Set global parameters'!$B$18,"")</f>
        <v/>
      </c>
      <c r="I131" s="4" t="str">
        <f>IF(ISNUMBER(I102),I127-'Step 1 - Set global parameters'!$B$18,"")</f>
        <v/>
      </c>
      <c r="J131" s="4" t="str">
        <f>IF(ISNUMBER(J102),J127-'Step 1 - Set global parameters'!$B$18,"")</f>
        <v/>
      </c>
      <c r="K131" s="4"/>
    </row>
    <row r="132" spans="1:35" x14ac:dyDescent="0.4">
      <c r="B132" s="5" t="s">
        <v>661</v>
      </c>
      <c r="C132" s="15" t="s">
        <v>614</v>
      </c>
      <c r="E132" s="118">
        <f t="shared" ref="E132:J132" si="25">IF(ISNUMBER(E102),IF((E125-E131)&gt;0,E125-E131,0),"")</f>
        <v>0</v>
      </c>
      <c r="F132" s="118">
        <f t="shared" si="25"/>
        <v>0</v>
      </c>
      <c r="G132" s="118">
        <f t="shared" si="25"/>
        <v>1.1918144900881074</v>
      </c>
      <c r="H132" s="118" t="str">
        <f t="shared" si="25"/>
        <v/>
      </c>
      <c r="I132" s="118" t="str">
        <f t="shared" si="25"/>
        <v/>
      </c>
      <c r="J132" s="118" t="str">
        <f t="shared" si="25"/>
        <v/>
      </c>
      <c r="K132" s="118"/>
    </row>
    <row r="133" spans="1:35" s="45" customFormat="1" x14ac:dyDescent="0.4">
      <c r="B133" s="83" t="s">
        <v>663</v>
      </c>
      <c r="C133" s="45" t="s">
        <v>662</v>
      </c>
      <c r="E133" s="49">
        <f>IF(ISNUMBER(E102),E118,"")</f>
        <v>-2.6378260399999953</v>
      </c>
      <c r="F133" s="49">
        <f t="shared" ref="F133:J133" si="26">IF(ISNUMBER(F102),F118,"")</f>
        <v>-0.85307453999999605</v>
      </c>
      <c r="G133" s="49">
        <f t="shared" si="26"/>
        <v>4.1589033527999852</v>
      </c>
      <c r="H133" s="49" t="str">
        <f t="shared" si="26"/>
        <v/>
      </c>
      <c r="I133" s="49" t="str">
        <f t="shared" si="26"/>
        <v/>
      </c>
      <c r="J133" s="49" t="str">
        <f t="shared" si="26"/>
        <v/>
      </c>
      <c r="K133" s="49"/>
    </row>
    <row r="134" spans="1:35" s="45" customFormat="1" x14ac:dyDescent="0.4">
      <c r="B134" s="91" t="s">
        <v>249</v>
      </c>
      <c r="C134" s="45" t="s">
        <v>662</v>
      </c>
      <c r="D134" s="49"/>
      <c r="E134" s="49">
        <f>IF(ISNUMBER(E102),IF(OR(E133="",ISNA(E133)),"",MAX(E133,0)),"")</f>
        <v>0</v>
      </c>
      <c r="F134" s="49">
        <f t="shared" ref="F134:J134" si="27">IF(ISNUMBER(F102),IF(OR(F133="",ISNA(F133)),"",MAX(F133,0)),"")</f>
        <v>0</v>
      </c>
      <c r="G134" s="49">
        <f t="shared" si="27"/>
        <v>4.1589033527999852</v>
      </c>
      <c r="H134" s="49" t="str">
        <f t="shared" si="27"/>
        <v/>
      </c>
      <c r="I134" s="49" t="str">
        <f t="shared" si="27"/>
        <v/>
      </c>
      <c r="J134" s="49" t="str">
        <f t="shared" si="27"/>
        <v/>
      </c>
      <c r="K134" s="49"/>
    </row>
    <row r="135" spans="1:35" s="45" customFormat="1" x14ac:dyDescent="0.4">
      <c r="B135" s="91" t="s">
        <v>660</v>
      </c>
      <c r="C135" s="45" t="s">
        <v>662</v>
      </c>
      <c r="E135" s="49">
        <f>IF(ISNUMBER(E102),IF((E134-MAX(E130,0))&gt;0,E134-MAX(E130,0),0),"")</f>
        <v>0</v>
      </c>
      <c r="F135" s="49">
        <f t="shared" ref="F135:G135" si="28">IF(ISNUMBER(F102),IF((F134-MAX(F130,0))&gt;0,F134-MAX(F130,0),0),"")</f>
        <v>0</v>
      </c>
      <c r="G135" s="49">
        <f t="shared" si="28"/>
        <v>3.1138309831999855</v>
      </c>
      <c r="H135" s="49" t="str">
        <f t="shared" ref="H135:J135" si="29">IF(ISNUMBER(H102),IF((H134-MAX(H128,0))&gt;0,H134-MAX(H128,0),0),"")</f>
        <v/>
      </c>
      <c r="I135" s="49" t="str">
        <f t="shared" si="29"/>
        <v/>
      </c>
      <c r="J135" s="49" t="str">
        <f t="shared" si="29"/>
        <v/>
      </c>
      <c r="K135" s="49"/>
    </row>
    <row r="136" spans="1:35" s="45" customFormat="1" x14ac:dyDescent="0.4">
      <c r="B136" s="91" t="s">
        <v>250</v>
      </c>
      <c r="C136" s="45" t="s">
        <v>662</v>
      </c>
      <c r="D136" s="49"/>
      <c r="E136" s="49">
        <f>IF(ISNUMBER(E102),IF(OR(E133="",ISNA(E133)),"",ABS(MIN(E133,0))),"")</f>
        <v>2.6378260399999953</v>
      </c>
      <c r="F136" s="49">
        <f t="shared" ref="F136:J136" si="30">IF(ISNUMBER(F102),IF(OR(F133="",ISNA(F133)),"",ABS(MIN(F133,0))),"")</f>
        <v>0.85307453999999605</v>
      </c>
      <c r="G136" s="49">
        <f t="shared" si="30"/>
        <v>0</v>
      </c>
      <c r="H136" s="49" t="str">
        <f t="shared" si="30"/>
        <v/>
      </c>
      <c r="I136" s="49" t="str">
        <f t="shared" si="30"/>
        <v/>
      </c>
      <c r="J136" s="49" t="str">
        <f t="shared" si="30"/>
        <v/>
      </c>
      <c r="K136" s="49"/>
    </row>
    <row r="137" spans="1:35" s="45" customFormat="1" x14ac:dyDescent="0.4">
      <c r="B137" s="56" t="s">
        <v>664</v>
      </c>
      <c r="C137" s="45" t="s">
        <v>662</v>
      </c>
      <c r="E137" s="49">
        <f>IF(ISNUMBER(E102),IF(E142=FALSE,E134-E136,IF(E143=TRUE,E135-E136,E136)),"")</f>
        <v>-2.6378260399999953</v>
      </c>
      <c r="F137" s="49">
        <f t="shared" ref="F137:J137" si="31">IF(ISNUMBER(F102),IF(F142=FALSE,F134-F136,IF(F143=TRUE,F135-F136,F136)),"")</f>
        <v>-0.85307453999999605</v>
      </c>
      <c r="G137" s="49">
        <f t="shared" si="31"/>
        <v>3.1138309831999855</v>
      </c>
      <c r="H137" s="49" t="str">
        <f t="shared" si="31"/>
        <v/>
      </c>
      <c r="I137" s="49" t="str">
        <f t="shared" si="31"/>
        <v/>
      </c>
      <c r="J137" s="49" t="str">
        <f t="shared" si="31"/>
        <v/>
      </c>
      <c r="K137" s="49"/>
    </row>
    <row r="138" spans="1:35" s="45" customFormat="1" x14ac:dyDescent="0.4">
      <c r="B138" s="56" t="s">
        <v>708</v>
      </c>
      <c r="C138" s="45" t="s">
        <v>662</v>
      </c>
      <c r="E138" s="49">
        <f>IF(ISNUMBER(E102),E137+IF(ISNUMBER(D102),D138,0),"")</f>
        <v>-2.6378260399999953</v>
      </c>
      <c r="F138" s="49">
        <f>IF(ISNUMBER(F102),F137+IF(ISNUMBER(E102),E138,0),"")</f>
        <v>-3.4909005799999915</v>
      </c>
      <c r="G138" s="49">
        <f>IF(ISNUMBER(G102),G137+IF(ISNUMBER(F102),F138,0),"")</f>
        <v>-0.37706959680000596</v>
      </c>
      <c r="H138" s="49" t="str">
        <f t="shared" ref="H138:J138" si="32">IF(ISNUMBER(H102),H137+IF(ISNUMBER(G102),G138,0),"")</f>
        <v/>
      </c>
      <c r="I138" s="49" t="str">
        <f t="shared" si="32"/>
        <v/>
      </c>
      <c r="J138" s="49" t="str">
        <f t="shared" si="32"/>
        <v/>
      </c>
      <c r="K138" s="49"/>
    </row>
    <row r="139" spans="1:35" x14ac:dyDescent="0.4">
      <c r="A139" s="3"/>
      <c r="B139" s="5" t="s">
        <v>664</v>
      </c>
      <c r="C139" t="s">
        <v>614</v>
      </c>
      <c r="D139"/>
      <c r="E139" s="4">
        <f>IF(ISNUMBER(E102),E137/E120*100,"")</f>
        <v>-1.1142479555285194</v>
      </c>
      <c r="F139" s="4">
        <f t="shared" ref="F139:J139" si="33">IF(ISNUMBER(F102),F137/F120*100,"")</f>
        <v>-0.34349177805685849</v>
      </c>
      <c r="G139" s="4">
        <f t="shared" si="33"/>
        <v>1.1918144900881076</v>
      </c>
      <c r="H139" s="4" t="str">
        <f t="shared" si="33"/>
        <v/>
      </c>
      <c r="I139" s="4" t="str">
        <f t="shared" si="33"/>
        <v/>
      </c>
      <c r="J139" s="4" t="str">
        <f t="shared" si="33"/>
        <v/>
      </c>
      <c r="K139" s="4"/>
      <c r="L139"/>
      <c r="M139"/>
      <c r="N139"/>
      <c r="O139"/>
      <c r="P139"/>
      <c r="Q139"/>
      <c r="R139" s="72"/>
      <c r="S139" s="72"/>
      <c r="T139" s="72"/>
      <c r="U139" s="72"/>
      <c r="V139" s="72"/>
      <c r="W139" s="72"/>
      <c r="X139" s="72"/>
      <c r="Y139" s="72"/>
      <c r="Z139" s="72"/>
      <c r="AA139" s="72"/>
      <c r="AB139" s="72"/>
      <c r="AC139" s="72"/>
      <c r="AD139" s="72"/>
      <c r="AE139" s="72"/>
      <c r="AF139" s="72"/>
      <c r="AG139" s="72"/>
      <c r="AH139" s="72"/>
      <c r="AI139" s="72"/>
    </row>
    <row r="140" spans="1:35" x14ac:dyDescent="0.4">
      <c r="A140" s="3"/>
      <c r="B140" s="5" t="s">
        <v>989</v>
      </c>
      <c r="C140" t="s">
        <v>614</v>
      </c>
      <c r="D140"/>
      <c r="E140" s="4">
        <f>IF(ISNUMBER(E102),E138/E$120*100,"")</f>
        <v>-1.1142479555285194</v>
      </c>
      <c r="F140" s="4">
        <f t="shared" ref="F140:J140" si="34">IF(ISNUMBER(F102),F138/F$120*100,"")</f>
        <v>-1.4056164977610526</v>
      </c>
      <c r="G140" s="4">
        <f t="shared" si="34"/>
        <v>-0.14432286519806425</v>
      </c>
      <c r="H140" s="4" t="str">
        <f t="shared" si="34"/>
        <v/>
      </c>
      <c r="I140" s="4" t="str">
        <f t="shared" si="34"/>
        <v/>
      </c>
      <c r="J140" s="4" t="str">
        <f t="shared" si="34"/>
        <v/>
      </c>
      <c r="K140" s="4"/>
      <c r="L140"/>
      <c r="M140"/>
      <c r="N140"/>
      <c r="O140"/>
      <c r="P140"/>
      <c r="Q140"/>
      <c r="R140" s="72"/>
      <c r="S140" s="72"/>
      <c r="T140" s="72"/>
      <c r="U140" s="72"/>
      <c r="V140" s="72"/>
      <c r="W140" s="72"/>
      <c r="X140" s="72"/>
      <c r="Y140" s="72"/>
      <c r="Z140" s="72"/>
      <c r="AA140" s="72"/>
      <c r="AB140" s="72"/>
      <c r="AC140" s="72"/>
      <c r="AD140" s="72"/>
      <c r="AE140" s="72"/>
      <c r="AF140" s="72"/>
      <c r="AG140" s="72"/>
      <c r="AH140" s="72"/>
      <c r="AI140" s="72"/>
    </row>
    <row r="141" spans="1:35" x14ac:dyDescent="0.4">
      <c r="A141" s="3"/>
      <c r="B141" s="5" t="s">
        <v>990</v>
      </c>
      <c r="C141"/>
      <c r="D141"/>
      <c r="E141" s="4">
        <f>IF(ISNUMBER(E102),E123-E131,"")</f>
        <v>-1.1479597695323041</v>
      </c>
      <c r="F141" s="4">
        <f t="shared" ref="F141:J141" si="35">IF(ISNUMBER(F102),F123-F131,"")</f>
        <v>-1.615888621751957</v>
      </c>
      <c r="G141" s="4">
        <f t="shared" si="35"/>
        <v>-0.14432286519806431</v>
      </c>
      <c r="H141" s="4" t="str">
        <f t="shared" si="35"/>
        <v/>
      </c>
      <c r="I141" s="4" t="str">
        <f t="shared" si="35"/>
        <v/>
      </c>
      <c r="J141" s="4" t="str">
        <f t="shared" si="35"/>
        <v/>
      </c>
      <c r="K141" s="4"/>
      <c r="L141"/>
      <c r="M141"/>
      <c r="N141"/>
      <c r="O141"/>
      <c r="P141"/>
      <c r="Q141"/>
      <c r="R141" s="72"/>
      <c r="S141" s="72"/>
      <c r="T141" s="72"/>
      <c r="U141" s="72"/>
      <c r="V141" s="72"/>
      <c r="W141" s="72"/>
      <c r="X141" s="72"/>
      <c r="Y141" s="72"/>
      <c r="Z141" s="72"/>
      <c r="AA141" s="72"/>
      <c r="AB141" s="72"/>
      <c r="AC141" s="72"/>
      <c r="AD141" s="72"/>
      <c r="AE141" s="72"/>
      <c r="AF141" s="72"/>
      <c r="AG141" s="72"/>
      <c r="AH141" s="72"/>
      <c r="AI141" s="72"/>
    </row>
    <row r="142" spans="1:35" x14ac:dyDescent="0.4">
      <c r="B142" s="56" t="str">
        <f>'Step 1 - Set global parameters'!A12</f>
        <v>Years for which an escape clause has been activated</v>
      </c>
      <c r="C142" s="45"/>
      <c r="D142" s="149"/>
      <c r="E142" s="149" t="b">
        <f>'Step 1 - Set global parameters'!B12</f>
        <v>0</v>
      </c>
      <c r="F142" s="149" t="b">
        <f>'Step 1 - Set global parameters'!C12</f>
        <v>1</v>
      </c>
      <c r="G142" s="149" t="b">
        <f>'Step 1 - Set global parameters'!D12</f>
        <v>1</v>
      </c>
      <c r="H142" s="149" t="b">
        <f>'Step 1 - Set global parameters'!E12</f>
        <v>1</v>
      </c>
      <c r="I142" s="149" t="b">
        <f>'Step 1 - Set global parameters'!F12</f>
        <v>1</v>
      </c>
      <c r="J142" s="149" t="b">
        <f>'Step 1 - Set global parameters'!G12</f>
        <v>0</v>
      </c>
      <c r="K142" s="149"/>
      <c r="L142" s="96"/>
      <c r="M142" s="96"/>
      <c r="N142" s="96"/>
      <c r="O142" s="96"/>
      <c r="P142" s="96"/>
      <c r="Q142" s="96"/>
      <c r="R142" s="59"/>
      <c r="S142" s="59"/>
    </row>
    <row r="143" spans="1:35" x14ac:dyDescent="0.4">
      <c r="B143" s="56" t="s">
        <v>649</v>
      </c>
      <c r="C143" s="45"/>
      <c r="D143" s="96"/>
      <c r="E143" s="149" t="e">
        <f>IF('Step 1 - Set global parameters'!B12,IF('Step 1 - Set global parameters'!B14="Defence", TRUE, FALSE),NA())</f>
        <v>#N/A</v>
      </c>
      <c r="F143" s="149" t="b">
        <f>IF('Step 1 - Set global parameters'!C12,IF('Step 1 - Set global parameters'!C14="Defence", TRUE, FALSE),NA())</f>
        <v>1</v>
      </c>
      <c r="G143" s="149" t="b">
        <f>IF('Step 1 - Set global parameters'!D12,IF('Step 1 - Set global parameters'!D14="Defence", TRUE, FALSE),NA())</f>
        <v>1</v>
      </c>
      <c r="H143" s="149" t="b">
        <f>IF('Step 1 - Set global parameters'!E12,IF('Step 1 - Set global parameters'!E14="Defence", TRUE, FALSE),NA())</f>
        <v>1</v>
      </c>
      <c r="I143" s="149" t="b">
        <f>IF('Step 1 - Set global parameters'!F12,IF('Step 1 - Set global parameters'!F14="Defence", TRUE, FALSE),NA())</f>
        <v>1</v>
      </c>
      <c r="J143" s="149" t="e">
        <f>IF('Step 1 - Set global parameters'!G12,IF('Step 1 - Set global parameters'!G14="Defence", TRUE, FALSE),NA())</f>
        <v>#N/A</v>
      </c>
      <c r="K143" s="149"/>
      <c r="L143" s="149"/>
      <c r="M143" s="149"/>
      <c r="N143" s="96"/>
      <c r="O143" s="96"/>
      <c r="P143" s="96"/>
      <c r="Q143" s="96"/>
      <c r="R143" s="59"/>
      <c r="S143" s="59"/>
    </row>
    <row r="144" spans="1:35" x14ac:dyDescent="0.4">
      <c r="B144" s="56" t="s">
        <v>987</v>
      </c>
      <c r="C144" s="45" t="s">
        <v>614</v>
      </c>
      <c r="D144" s="96"/>
      <c r="E144" s="149" t="e">
        <f>IF('Step 1 - Set global parameters'!B12,'Step 1 - Set global parameters'!B15,NA())</f>
        <v>#N/A</v>
      </c>
      <c r="F144" s="149">
        <f>IF('Step 1 - Set global parameters'!C12,'Step 1 - Set global parameters'!C15,NA())</f>
        <v>1.5</v>
      </c>
      <c r="G144" s="149">
        <f>IF('Step 1 - Set global parameters'!D12,'Step 1 - Set global parameters'!D15,NA())</f>
        <v>1.5</v>
      </c>
      <c r="H144" s="149">
        <f>IF('Step 1 - Set global parameters'!E12,'Step 1 - Set global parameters'!E15,NA())</f>
        <v>1.5</v>
      </c>
      <c r="I144" s="149">
        <f>IF('Step 1 - Set global parameters'!F12,'Step 1 - Set global parameters'!F15,NA())</f>
        <v>1.5</v>
      </c>
      <c r="J144" s="149" t="e">
        <f>IF('Step 1 - Set global parameters'!G12,'Step 1 - Set global parameters'!G15,NA())</f>
        <v>#N/A</v>
      </c>
      <c r="K144" s="149"/>
      <c r="L144" s="149"/>
      <c r="M144" s="149"/>
      <c r="N144" s="96"/>
      <c r="O144" s="96"/>
      <c r="P144" s="96"/>
      <c r="Q144" s="96"/>
      <c r="R144" s="59"/>
      <c r="S144" s="59"/>
    </row>
    <row r="145" spans="1:35" x14ac:dyDescent="0.4">
      <c r="B145" t="s">
        <v>471</v>
      </c>
      <c r="C145" s="38"/>
      <c r="D145" s="77"/>
      <c r="E145" s="77"/>
      <c r="F145" s="77" t="b">
        <f>F139 &gt; 0.3</f>
        <v>0</v>
      </c>
      <c r="G145" s="77" t="b">
        <f>G139 &gt; 0.3</f>
        <v>1</v>
      </c>
      <c r="H145" s="77" t="b">
        <f>H139 &gt; 0.3</f>
        <v>1</v>
      </c>
      <c r="I145" s="77" t="b">
        <f>I139 &gt; 0.3</f>
        <v>1</v>
      </c>
      <c r="J145" s="77" t="b">
        <f>J139 &gt; 0.3</f>
        <v>1</v>
      </c>
      <c r="K145" s="77"/>
      <c r="L145" s="77"/>
      <c r="M145" s="38"/>
      <c r="N145" s="38"/>
      <c r="O145" s="72"/>
      <c r="P145" s="72"/>
      <c r="Q145" s="72"/>
      <c r="R145" s="72"/>
      <c r="S145" s="72"/>
      <c r="T145" s="72"/>
      <c r="U145" s="72"/>
      <c r="V145" s="72"/>
      <c r="W145" s="72"/>
      <c r="X145" s="72"/>
      <c r="Y145" s="72"/>
      <c r="Z145" s="72"/>
      <c r="AA145" s="72"/>
      <c r="AB145" s="72"/>
      <c r="AC145" s="72"/>
      <c r="AD145" s="72"/>
      <c r="AE145" s="72"/>
      <c r="AF145" s="72"/>
      <c r="AG145" s="72"/>
      <c r="AH145" s="72"/>
      <c r="AI145" s="72"/>
    </row>
    <row r="146" spans="1:35" x14ac:dyDescent="0.4">
      <c r="B146" s="7" t="s">
        <v>472</v>
      </c>
      <c r="C146" s="94"/>
      <c r="D146" s="121"/>
      <c r="E146" s="120"/>
      <c r="F146" s="120" t="b">
        <f>IF(F140 &gt; 0.6, TRUE, FALSE)</f>
        <v>0</v>
      </c>
      <c r="G146" s="120" t="b">
        <f>IF(G140 &gt; 0.6, TRUE, FALSE)</f>
        <v>0</v>
      </c>
      <c r="H146" s="120" t="b">
        <f>IF(H140 &gt; 0.6, TRUE, FALSE)</f>
        <v>1</v>
      </c>
      <c r="I146" s="120" t="b">
        <f>IF(I140 &gt; 0.6, TRUE, FALSE)</f>
        <v>1</v>
      </c>
      <c r="J146" s="120" t="b">
        <f>IF(J140 &gt; 0.6, TRUE, FALSE)</f>
        <v>1</v>
      </c>
      <c r="K146" s="120"/>
      <c r="L146" s="120"/>
      <c r="M146" s="38"/>
      <c r="N146" s="38"/>
      <c r="O146" s="72"/>
      <c r="P146" s="72"/>
      <c r="Q146" s="72"/>
      <c r="R146" s="72"/>
      <c r="S146" s="72"/>
      <c r="T146" s="72"/>
      <c r="U146" s="72"/>
      <c r="V146" s="72"/>
      <c r="W146" s="72"/>
      <c r="X146" s="72"/>
      <c r="Y146" s="72"/>
      <c r="Z146" s="72"/>
      <c r="AA146" s="72"/>
      <c r="AB146" s="72"/>
      <c r="AC146" s="72"/>
      <c r="AD146" s="72"/>
      <c r="AE146" s="72"/>
      <c r="AF146" s="72"/>
      <c r="AG146" s="72"/>
      <c r="AH146" s="72"/>
      <c r="AI146" s="72"/>
    </row>
    <row r="147" spans="1:35" x14ac:dyDescent="0.4">
      <c r="A147" s="3"/>
      <c r="B147" s="5"/>
      <c r="D147"/>
      <c r="E147" s="4"/>
      <c r="F147" s="4"/>
      <c r="G147" s="4"/>
      <c r="H147" s="4"/>
      <c r="I147" s="4"/>
      <c r="J147"/>
      <c r="K147"/>
      <c r="L147"/>
      <c r="M147"/>
      <c r="N147"/>
      <c r="O147"/>
      <c r="P147"/>
      <c r="Q147"/>
      <c r="R147" s="72"/>
      <c r="S147" s="72"/>
      <c r="T147" s="72"/>
      <c r="U147" s="72"/>
      <c r="V147" s="72"/>
      <c r="W147" s="72"/>
      <c r="X147" s="72"/>
      <c r="Y147" s="72"/>
      <c r="Z147" s="72"/>
      <c r="AA147" s="72"/>
      <c r="AB147" s="72"/>
      <c r="AC147" s="72"/>
      <c r="AD147" s="72"/>
      <c r="AE147" s="72"/>
      <c r="AF147" s="72"/>
      <c r="AG147" s="72"/>
      <c r="AH147" s="72"/>
      <c r="AI147" s="72"/>
    </row>
    <row r="148" spans="1:35" x14ac:dyDescent="0.4">
      <c r="B148" s="47" t="s">
        <v>665</v>
      </c>
      <c r="C148" s="47" t="b">
        <f>MAX(INDEX(139:139,_xlfn.XMATCH(MTP_YearT,102:102,0)):INDEX(139:139,_xlfn.XMATCH(AssessmentEnd,102:102,0)))&gt;0.3</f>
        <v>1</v>
      </c>
      <c r="D148" s="59"/>
      <c r="E148" s="59"/>
      <c r="F148" s="59"/>
      <c r="G148" s="59"/>
      <c r="H148" s="59"/>
      <c r="I148" s="59"/>
      <c r="J148" s="59"/>
      <c r="K148" s="59"/>
      <c r="L148" s="59"/>
      <c r="M148" s="59"/>
      <c r="N148" s="59"/>
      <c r="O148" s="59"/>
      <c r="P148" s="59"/>
      <c r="Q148" s="59"/>
      <c r="R148" s="59"/>
      <c r="S148" s="59"/>
      <c r="T148" s="59"/>
    </row>
    <row r="149" spans="1:35" x14ac:dyDescent="0.4">
      <c r="B149" s="47" t="s">
        <v>672</v>
      </c>
      <c r="C149" s="47" t="b">
        <f>MAX(INDEX(140:140,_xlfn.XMATCH(MTP_YearT,102:102,0)):INDEX(140:140,_xlfn.XMATCH(AssessmentEnd,102:102,0)))&gt;0.6</f>
        <v>0</v>
      </c>
      <c r="D149" s="59"/>
      <c r="E149" s="59"/>
      <c r="F149" s="59"/>
      <c r="G149" s="59"/>
      <c r="H149" s="59"/>
      <c r="I149" s="59"/>
      <c r="J149" s="59"/>
      <c r="K149" s="59"/>
      <c r="L149" s="59"/>
      <c r="M149" s="59"/>
      <c r="N149" s="59"/>
      <c r="O149" s="59"/>
      <c r="P149" s="59"/>
      <c r="Q149" s="59"/>
      <c r="R149" s="59"/>
      <c r="S149" s="59"/>
      <c r="T149" s="59"/>
    </row>
    <row r="150" spans="1:35" x14ac:dyDescent="0.4">
      <c r="B150" s="47" t="s">
        <v>666</v>
      </c>
      <c r="C150" s="47" t="b">
        <f>MAX(INDEX(139:139,_xlfn.XMATCH(MTP_YearT,102:102,0)):INDEX(139:139,_xlfn.XMATCH(OutturnThrough,102:102,0)))&gt;0.3</f>
        <v>0</v>
      </c>
      <c r="D150" s="59"/>
      <c r="E150" s="59"/>
      <c r="F150" s="59"/>
      <c r="G150" s="59"/>
      <c r="H150" s="59"/>
      <c r="I150" s="59"/>
      <c r="J150" s="59"/>
      <c r="K150" s="59"/>
      <c r="L150" s="59"/>
      <c r="M150" s="59"/>
      <c r="N150" s="59"/>
      <c r="O150" s="59"/>
      <c r="P150" s="59"/>
      <c r="Q150" s="59"/>
      <c r="R150" s="59"/>
      <c r="S150" s="59"/>
      <c r="T150" s="59"/>
    </row>
    <row r="151" spans="1:35" x14ac:dyDescent="0.4">
      <c r="B151" s="47" t="s">
        <v>673</v>
      </c>
      <c r="C151" s="47" t="b">
        <f>MAX(INDEX(140:140,_xlfn.XMATCH(MTP_YearT,102:102,0)):INDEX(140:140,_xlfn.XMATCH(OutturnThrough,102:102,0)))&gt;0.6</f>
        <v>0</v>
      </c>
      <c r="D151" s="59"/>
      <c r="E151" s="59"/>
      <c r="F151" s="59"/>
      <c r="G151" s="59"/>
      <c r="H151" s="59"/>
      <c r="I151" s="59"/>
      <c r="J151" s="59"/>
      <c r="K151" s="59"/>
      <c r="L151" s="59"/>
      <c r="M151" s="59"/>
      <c r="N151" s="59"/>
      <c r="O151" s="59"/>
      <c r="P151" s="59"/>
      <c r="Q151" s="59"/>
      <c r="R151" s="59"/>
      <c r="S151" s="59"/>
      <c r="T151" s="59"/>
    </row>
    <row r="152" spans="1:35" x14ac:dyDescent="0.4">
      <c r="B152" s="47" t="s">
        <v>668</v>
      </c>
      <c r="C152" s="47" t="b" cm="1">
        <f t="array" ref="C152">IF(SUMPRODUCT((INDEX(142:142,_xlfn.XMATCH(MTP_YearT,102:102,0)+_xlfn.SEQUENCE(1,AssessmentEnd-MTP_YearT+1)-1)=TRUE)*1)=0,NA(),ISNUMBER(MATCH(TRUE,IF(INDEX(142:142,_xlfn.XMATCH(MTP_YearT,102:102,0)+_xlfn.SEQUENCE(1,AssessmentEnd-MTP_YearT+1)-1)=TRUE,INDEX(140:140,_xlfn.XMATCH(MTP_YearT,102:102,0)+_xlfn.SEQUENCE(1,AssessmentEnd-MTP_YearT+1)-1)&gt;INDEX(144:144,_xlfn.XMATCH(MTP_YearT,102:102,0)+_xlfn.SEQUENCE(1,AssessmentEnd-MTP_YearT+1)-1),FALSE),0)))</f>
        <v>0</v>
      </c>
      <c r="D152" s="59"/>
      <c r="E152" s="59"/>
      <c r="F152" s="59"/>
      <c r="G152" s="59"/>
      <c r="H152" s="59"/>
      <c r="I152" s="59"/>
      <c r="J152" s="59"/>
      <c r="K152" s="59"/>
      <c r="L152" s="59"/>
      <c r="M152" s="59"/>
      <c r="N152" s="59"/>
      <c r="O152" s="59"/>
      <c r="P152" s="59"/>
      <c r="Q152" s="59"/>
      <c r="R152" s="59"/>
      <c r="S152" s="59"/>
      <c r="T152" s="59"/>
    </row>
    <row r="153" spans="1:35" x14ac:dyDescent="0.4">
      <c r="B153" s="47" t="s">
        <v>669</v>
      </c>
      <c r="C153" s="47" t="b" cm="1">
        <f t="array" ref="C153">IF(SUMPRODUCT((INDEX(142:142,_xlfn.XMATCH(MTP_YearT,102:102,0)+_xlfn.SEQUENCE(1,OutturnThrough-MTP_YearT+1)-1)=TRUE)*1)=0,NA(),ISNUMBER(MATCH(TRUE,IF(INDEX(142:142,_xlfn.XMATCH(MTP_YearT,102:102,0)+_xlfn.SEQUENCE(1,OutturnThrough-MTP_YearT+1)-1)=TRUE,INDEX(122:122,_xlfn.XMATCH(MTP_YearT,102:102,0)+_xlfn.SEQUENCE(1,OutturnThrough-MTP_YearT+1)-1)&gt;INDEX(144:144,_xlfn.XMATCH(MTP_YearT,102:102,0)+_xlfn.SEQUENCE(1,OutturnThrough-MTP_YearT+1)-1),FALSE),0)))</f>
        <v>0</v>
      </c>
      <c r="D153" s="59"/>
      <c r="E153" s="59"/>
      <c r="F153" s="59"/>
      <c r="G153" s="59"/>
      <c r="H153" s="59"/>
      <c r="I153" s="59"/>
      <c r="J153" s="59"/>
      <c r="K153" s="59"/>
      <c r="L153" s="59"/>
      <c r="M153" s="59"/>
      <c r="N153" s="59"/>
      <c r="O153" s="59"/>
      <c r="P153" s="59"/>
      <c r="Q153" s="59"/>
      <c r="R153" s="59"/>
      <c r="S153" s="59"/>
      <c r="T153" s="59"/>
    </row>
    <row r="154" spans="1:35" x14ac:dyDescent="0.4">
      <c r="B154" s="47" t="s">
        <v>705</v>
      </c>
      <c r="C154" s="47" t="b" cm="1">
        <f t="array" ref="C154">IF(SUMPRODUCT(((INDEX(139:139,_xlfn.XMATCH(MTP_YearT,102:102,0)+_xlfn.SEQUENCE(1,AssessmentEnd-MTP_YearT+1)-1)&gt;0.3)+(INDEX(140:140,_xlfn.XMATCH(MTP_YearT,102:102,0)+_xlfn.SEQUENCE(1,AssessmentEnd-MTP_YearT+1)-1)&gt;0.6))*1)=0,FALSE,SUMPRODUCT(((INDEX(139:139,_xlfn.XMATCH(MTP_YearT,102:102,0)+_xlfn.SEQUENCE(1,AssessmentEnd-MTP_YearT+1)-1)&gt;0.3)+(INDEX(140:140,_xlfn.XMATCH(MTP_YearT,102:102,0)+_xlfn.SEQUENCE(1,AssessmentEnd-MTP_YearT+1)-1)&gt;0.6))*(INDEX(142:142,_xlfn.XMATCH(MTP_YearT,102:102,0)+_xlfn.SEQUENCE(1,AssessmentEnd-MTP_YearT+1)-1)=TRUE)*1)=SUMPRODUCT(((INDEX(139:139,_xlfn.XMATCH(MTP_YearT,102:102,0)+_xlfn.SEQUENCE(1,AssessmentEnd-MTP_YearT+1)-1)&gt;0.3)+(INDEX(140:140,_xlfn.XMATCH(MTP_YearT,102:102,0)+_xlfn.SEQUENCE(1,AssessmentEnd-MTP_YearT+1)-1)&gt;0.6))*1))</f>
        <v>1</v>
      </c>
      <c r="D154" s="59"/>
      <c r="E154" s="59"/>
      <c r="F154" s="59"/>
      <c r="G154" s="59"/>
      <c r="H154" s="59"/>
      <c r="I154" s="59"/>
      <c r="J154" s="59"/>
      <c r="K154" s="59"/>
      <c r="L154" s="59"/>
      <c r="M154" s="59"/>
      <c r="N154" s="59"/>
      <c r="O154" s="59"/>
      <c r="P154" s="59"/>
      <c r="Q154" s="59"/>
      <c r="R154" s="59"/>
      <c r="S154" s="59"/>
      <c r="T154" s="59"/>
    </row>
    <row r="155" spans="1:35" x14ac:dyDescent="0.4">
      <c r="B155" s="47" t="s">
        <v>706</v>
      </c>
      <c r="C155" s="47" t="b" cm="1">
        <f t="array" ref="C155">IF(SUMPRODUCT(((INDEX(139:139,_xlfn.XMATCH(MTP_YearT,102:102,0)+_xlfn.SEQUENCE(1,AssessmentEnd-MTP_YearT+1)-1)&gt;0.3)+(INDEX(140:140,_xlfn.XMATCH(MTP_YearT,102:102,0)+_xlfn.SEQUENCE(1,AssessmentEnd-MTP_YearT+1)-1)&gt;0.6))*(IFERROR(INDEX(143:143,_xlfn.XMATCH(MTP_YearT,102:102,0)+_xlfn.SEQUENCE(1,AssessmentEnd-MTP_YearT+1)-1)=TRUE,FALSE))*1)&gt;0,TRUE,FALSE)</f>
        <v>1</v>
      </c>
      <c r="D155" s="59"/>
      <c r="E155" s="59"/>
      <c r="F155" s="59"/>
      <c r="G155" s="59"/>
      <c r="H155" s="59"/>
      <c r="I155" s="59"/>
      <c r="J155" s="59"/>
      <c r="K155" s="59"/>
      <c r="L155" s="59"/>
      <c r="M155" s="59"/>
      <c r="N155" s="59"/>
      <c r="O155" s="59"/>
      <c r="P155" s="59"/>
      <c r="Q155" s="59"/>
      <c r="R155" s="59"/>
      <c r="S155" s="59"/>
      <c r="T155" s="59"/>
    </row>
    <row r="156" spans="1:35" x14ac:dyDescent="0.4">
      <c r="B156" s="47"/>
      <c r="C156" s="45"/>
      <c r="D156" s="59"/>
      <c r="E156" s="59"/>
      <c r="F156" s="59"/>
      <c r="G156" s="59"/>
      <c r="H156" s="59"/>
      <c r="I156" s="59"/>
      <c r="J156" s="59"/>
      <c r="K156" s="59"/>
      <c r="L156" s="59"/>
      <c r="M156" s="59"/>
      <c r="N156" s="59"/>
      <c r="O156" s="59"/>
      <c r="P156" s="59"/>
      <c r="Q156" s="59"/>
      <c r="R156" s="59"/>
      <c r="S156" s="59"/>
      <c r="T156" s="59"/>
    </row>
    <row r="157" spans="1:35" x14ac:dyDescent="0.4">
      <c r="B157" s="15" t="s">
        <v>266</v>
      </c>
      <c r="C157" s="103" t="str">
        <f>_xlfn.LET(
  _xlpm.bal, INDEX(140:140, MATCH(AssessmentEnd,102:102,0)),
  _xlpm.balText,
    IF(_xlpm.bal&gt;0,
       "a debit (overspend) of " &amp; TEXT(_xlpm.bal,"0.0"),
       IF(_xlpm.bal&lt;0,
          "a credit (underspend) of " &amp; TEXT(-_xlpm.bal,"0.0"),
          "zero"
       )
    ),
  _xlpm.annOut, C150,
  _xlpm.cumOut, C151,
  _xlpm.threshOut, IF(ISNA(C153), FALSE, C153),
  _xlpm.threshPlan, IF(ISNA(C152), FALSE, AND(C152, NOT(_xlpm.threshOut))),
  _xlpm.escClause, C154,
  _xlpm.defenceClause, C155,
  _xlpm.annPlan, AND(C148, NOT(C150)),
  _xlpm.cumPlan, AND(C149, NOT(C151)),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annual caps apply; observed and planned deviations exceed this cap.",
                IF(_xlpm.threshOut,
                   " An escape clause is active in " &amp; _xlpm.escYears &amp; ". As this is a defence-related escape clause, annual caps apply; observed deviations do not exceed this cap.",
                   IF(_xlpm.threshPlan,
                      " An escape clause is active in " &amp; _xlpm.escYears &amp; ". As this is a defence-related escape clause, annual caps apply; planned deviations exceed these caps.",
                      " An escape clause is active in " &amp; _xlpm.escYears &amp; ". As this is a defence-related escape clause, annual caps apply; deviations do not exceed these caps."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At the end of the assessment period (2026), the balance in Greece's cumulative control account is a credit (underspend) of 0.1 percentage points of GDP. Observed annual and cumulative deviations do not exceed the respective 0.3 and 0.6 percentage points of GDP limits. However, planned annual deviations exceed the 0.3 percentage point limit. An escape clause is active in all years where deviations exceed the limits. As this is a defence-related escape clause, annual caps apply; deviations do not exceed these caps.</v>
      </c>
      <c r="D157" s="39"/>
      <c r="E157" s="18"/>
      <c r="J157" s="72"/>
      <c r="K157" s="72"/>
      <c r="L157" s="72"/>
      <c r="M157" s="72"/>
      <c r="N157" s="72"/>
      <c r="O157" s="72"/>
      <c r="P157" s="72"/>
      <c r="Q157" s="72"/>
      <c r="R157" s="72"/>
      <c r="S157" s="72"/>
      <c r="T157" s="72"/>
      <c r="U157" s="72"/>
      <c r="V157" s="72"/>
      <c r="W157" s="72"/>
      <c r="X157" s="72"/>
      <c r="Y157" s="72"/>
      <c r="Z157" s="72"/>
      <c r="AA157" s="72"/>
      <c r="AB157" s="72"/>
      <c r="AC157" s="72"/>
      <c r="AD157" s="72"/>
      <c r="AE157" s="72"/>
      <c r="AF157" s="72"/>
      <c r="AG157" s="72"/>
      <c r="AH157" s="72"/>
      <c r="AI157" s="72"/>
    </row>
    <row r="158" spans="1:35" x14ac:dyDescent="0.4">
      <c r="C158" s="103"/>
      <c r="D158" s="39"/>
      <c r="E158" s="18"/>
      <c r="J158" s="72"/>
      <c r="K158" s="72"/>
      <c r="L158" s="72"/>
      <c r="M158" s="72"/>
      <c r="N158" s="72"/>
      <c r="O158" s="72"/>
      <c r="P158" s="72"/>
      <c r="Q158" s="72"/>
      <c r="R158" s="72"/>
      <c r="S158" s="72"/>
      <c r="T158" s="72"/>
      <c r="U158" s="72"/>
      <c r="V158" s="72"/>
      <c r="W158" s="72"/>
      <c r="X158" s="72"/>
      <c r="Y158" s="72"/>
      <c r="Z158" s="72"/>
      <c r="AA158" s="72"/>
      <c r="AB158" s="72"/>
      <c r="AC158" s="72"/>
      <c r="AD158" s="72"/>
      <c r="AE158" s="72"/>
      <c r="AF158" s="72"/>
      <c r="AG158" s="72"/>
      <c r="AH158" s="72"/>
      <c r="AI158" s="72"/>
    </row>
    <row r="159" spans="1:35" ht="18" x14ac:dyDescent="0.55000000000000004">
      <c r="B159" s="51" t="s">
        <v>474</v>
      </c>
      <c r="D159" s="18"/>
      <c r="J159" s="72"/>
      <c r="K159" s="72"/>
      <c r="L159" s="72" t="s">
        <v>256</v>
      </c>
      <c r="M159" s="72"/>
      <c r="N159" s="72"/>
      <c r="O159" s="72"/>
      <c r="P159" s="72"/>
      <c r="Q159" s="72"/>
      <c r="R159" s="72"/>
      <c r="S159" s="72"/>
      <c r="T159" s="72"/>
      <c r="U159" s="72"/>
      <c r="V159" s="72"/>
      <c r="W159" s="72"/>
      <c r="X159" s="72"/>
      <c r="Y159" s="72"/>
      <c r="Z159" s="72"/>
      <c r="AA159" s="72"/>
      <c r="AB159" s="72"/>
      <c r="AC159" s="72"/>
      <c r="AD159" s="72"/>
      <c r="AE159" s="72"/>
      <c r="AF159" s="72"/>
      <c r="AG159" s="72"/>
      <c r="AH159" s="72"/>
      <c r="AI159" s="72"/>
    </row>
    <row r="160" spans="1:35" x14ac:dyDescent="0.4">
      <c r="B160" t="s">
        <v>381</v>
      </c>
      <c r="C160" s="16" t="b">
        <f>MAX(INDEX(20:20,1,COLUMN($D$4)):INDEX(20:20,1,COLUMN($D$4)+COLUMNS(_xlfn.ANCHORARRAY($D$4))-1))&gt;90</f>
        <v>1</v>
      </c>
      <c r="J160" s="72"/>
      <c r="K160" s="72"/>
      <c r="L160" s="72"/>
      <c r="M160" s="72"/>
      <c r="N160" s="72"/>
      <c r="O160" s="72"/>
      <c r="P160" s="72"/>
      <c r="Q160" s="72"/>
      <c r="R160" s="72"/>
      <c r="S160" s="72"/>
      <c r="T160" s="72"/>
      <c r="U160" s="72"/>
      <c r="V160" s="72"/>
      <c r="W160" s="72"/>
      <c r="X160" s="72"/>
      <c r="Y160" s="72"/>
      <c r="Z160" s="72"/>
      <c r="AA160" s="72"/>
      <c r="AB160" s="72"/>
      <c r="AC160" s="72"/>
      <c r="AD160" s="72"/>
      <c r="AE160" s="72"/>
      <c r="AF160" s="72"/>
      <c r="AG160" s="72"/>
      <c r="AH160" s="72"/>
      <c r="AI160" s="72"/>
    </row>
    <row r="161" spans="2:35" x14ac:dyDescent="0.4">
      <c r="B161" t="s">
        <v>382</v>
      </c>
      <c r="C161" s="122" t="b" cm="1">
        <f t="array" ref="C161">SUMPRODUCT(
  --(INDEX(20:20,1,COLUMN($D$4)):INDEX(20:20,1,COLUMN($D$4)+COLUMNS(_xlfn.ANCHORARRAY($D$4))-1)&gt;=60),
  --(INDEX(20:20,1,COLUMN($D$4)):INDEX(20:20,1,COLUMN($D$4)+COLUMNS(_xlfn.ANCHORARRAY($D$4))-1)&lt;=90)
)&gt;0</f>
        <v>0</v>
      </c>
      <c r="J161" s="72"/>
      <c r="K161" s="72"/>
      <c r="L161" s="72"/>
      <c r="M161" s="72"/>
      <c r="N161" s="72"/>
      <c r="O161" s="72"/>
      <c r="P161" s="72"/>
      <c r="Q161" s="72"/>
      <c r="R161" s="72"/>
      <c r="S161" s="72"/>
      <c r="T161" s="72"/>
      <c r="U161" s="72"/>
      <c r="V161" s="72"/>
      <c r="W161" s="72"/>
      <c r="X161" s="72"/>
      <c r="Y161" s="72"/>
      <c r="Z161" s="72"/>
      <c r="AA161" s="72"/>
      <c r="AB161" s="72"/>
      <c r="AC161" s="72"/>
      <c r="AD161" s="72"/>
      <c r="AE161" s="72"/>
      <c r="AF161" s="72"/>
      <c r="AG161" s="72"/>
      <c r="AH161" s="72"/>
      <c r="AI161" s="72"/>
    </row>
    <row r="162" spans="2:35" x14ac:dyDescent="0.4">
      <c r="B162" t="s">
        <v>267</v>
      </c>
      <c r="C162" s="122" t="b" cm="1">
        <f t="array" ref="C162">IF(C160,IFERROR(
  (
    INDEX(20:20, COLUMN($D$4)+_xlfn.XMATCH(IF(OR('Step 1 - Set global parameters'!$B$21,'Step 1 - Set global parameters'!$B$23), Validation!$Q$6, MTP_BaseYear-1),_xlfn.ANCHORARRAY( $D$4), 1)-1)
    -
    INDEX(20:20, COLUMN($D$4)+_xlfn.XMATCH(
      LOOKUP(9^9, IF(
        (_xlfn.ANCHORARRAY($D$4)&gt;=IF(OR('Step 1 - Set global parameters'!$B$21,'Step 1 - Set global parameters'!$B$23), Validation!$Q$6, MTP_BaseYear-1))*
        (_xlfn.ANCHORARRAY($D$4)&lt;=AssessmentEnd)*
        (INDEX(20:20, COLUMN($D$4)+_xlfn.SEQUENCE(1, COLUMNS(_xlfn.ANCHORARRAY($D$4)), 0))&gt;90),_xlfn.ANCHORARRAY(
        $D$4))
      ),_xlfn.ANCHORARRAY(
      $D$4), 1)-1)
  )
  /
  (
    LOOKUP(9^9, IF(
      (_xlfn.ANCHORARRAY($D$4)&gt;=IF(OR('Step 1 - Set global parameters'!$B$21,'Step 1 - Set global parameters'!$B$23), Validation!$Q$6, MTP_BaseYear-1))*
      (_xlfn.ANCHORARRAY($D$4)&lt;=AssessmentEnd)*
      (INDEX(20:20, COLUMN($D$4)+_xlfn.SEQUENCE(1, COLUMNS(_xlfn.ANCHORARRAY($D$4)), 0))&gt;90),_xlfn.ANCHORARRAY(
      $D$4))
    )
    - IF(OR('Step 1 - Set global parameters'!$B$21,'Step 1 - Set global parameters'!$B$23), Validation!$Q$6, MTP_BaseYear-1)
  ) &gt;= 1,
  TRUE
),NA())</f>
        <v>1</v>
      </c>
    </row>
    <row r="163" spans="2:35" x14ac:dyDescent="0.4">
      <c r="B163" t="s">
        <v>268</v>
      </c>
      <c r="C163" s="122" t="e" cm="1">
        <f t="array" ref="C163">IF(C161,IFERROR(
  (
    INDEX(20:20, COLUMN($D$4)+_xlfn.XMATCH(IF(OR('Step 1 - Set global parameters'!$B$21,'Step 1 - Set global parameters'!$B$23), Validation!$Q$6, MTP_BaseYear-1),_xlfn.ANCHORARRAY( $D$4), 1)-1)
    -
    INDEX(20:20, COLUMN($D$4)+_xlfn.XMATCH(
      LOOKUP(9^9, IF(
        (_xlfn.ANCHORARRAY($D$4)&gt;=IF(OR('Step 1 - Set global parameters'!$B$21,'Step 1 - Set global parameters'!$B$23), Validation!$Q$6, MTP_BaseYear-1))*
        (_xlfn.ANCHORARRAY($D$4)&lt;=AssessmentEnd)*
        (INDEX(20:20, COLUMN($D$4)+_xlfn.SEQUENCE(1,COLUMNS(_xlfn.ANCHORARRAY($D$4)),0))&gt;TFEU_Debt),_xlfn.ANCHORARRAY(
        $D$4))
      ),_xlfn.ANCHORARRAY(
      $D$4), 1)-1)
  ) /
  (
    LOOKUP(9^9, IF(
      (_xlfn.ANCHORARRAY($D$4)&gt;=IF(OR('Step 1 - Set global parameters'!$B$21,'Step 1 - Set global parameters'!$B$23), Validation!$Q$6, MTP_BaseYear-1))*
      (_xlfn.ANCHORARRAY($D$4)&lt;=AssessmentEnd)*
      (INDEX(20:20, COLUMN($D$4)+_xlfn.SEQUENCE(1,COLUMNS(_xlfn.ANCHORARRAY($D$4)),0))&gt;TFEU_Debt),_xlfn.ANCHORARRAY(
      $D$4))
    )
    - IF(OR('Step 1 - Set global parameters'!$B$21,'Step 1 - Set global parameters'!$B$23), Validation!$Q$6, MTP_BaseYear-1)
  )
  &gt;= 0.5,
  TRUE
),NA())</f>
        <v>#N/A</v>
      </c>
    </row>
    <row r="164" spans="2:35" x14ac:dyDescent="0.4">
      <c r="C164" s="18"/>
    </row>
    <row r="165" spans="2:35" x14ac:dyDescent="0.4">
      <c r="B165" s="15" t="s">
        <v>266</v>
      </c>
      <c r="C165" s="103" t="str">
        <f>IF(
  NOT(Receives_reference_trajectory),
  Country &amp; " does not receive a reference trajectory and is not assessed against the debt sustainability safeguard.",
  IF(
    OR(C160, C161),
    IF(
      OR(
        IF(C160, NOT(C162), FALSE),
        IF(C161, NOT(C163),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The debt sustainability safeguard applies and Greece's outturn and plans are compliant (diagnostic only—not assessed as a separate compliance criterion during implementation).</v>
      </c>
      <c r="E165" s="18"/>
    </row>
    <row r="166" spans="2:35" x14ac:dyDescent="0.4">
      <c r="C166" s="57"/>
      <c r="E166" s="18"/>
    </row>
    <row r="167" spans="2:35" ht="23.25" x14ac:dyDescent="0.7">
      <c r="B167" s="51" t="s">
        <v>475</v>
      </c>
      <c r="C167" s="14"/>
      <c r="E167" s="18"/>
    </row>
    <row r="168" spans="2:35" customFormat="1" ht="23.25" x14ac:dyDescent="0.7">
      <c r="B168" s="104"/>
      <c r="C168" s="105"/>
      <c r="D168" s="15" cm="1">
        <f t="array" ref="D168:G168">_xlfn.SEQUENCE(1, AssessmentEnd-MTP_BaseYear+1, MTP_BaseYear)</f>
        <v>2023</v>
      </c>
      <c r="E168" s="15">
        <v>2024</v>
      </c>
      <c r="F168" s="18">
        <v>2025</v>
      </c>
      <c r="G168" s="15">
        <v>2026</v>
      </c>
      <c r="H168" s="15"/>
      <c r="I168" s="15"/>
    </row>
    <row r="169" spans="2:35" customFormat="1" x14ac:dyDescent="0.4">
      <c r="B169" t="s">
        <v>383</v>
      </c>
      <c r="C169" s="38"/>
      <c r="D169" s="92" cm="1">
        <f t="array" ref="D169:G169">INDEX(18:18, COLUMN($D$18) + _xlfn.SEQUENCE(1, COLUMNS(_xlfn.ANCHORARRAY(D4))) - 1)</f>
        <v>-1.84205</v>
      </c>
      <c r="E169" s="92">
        <v>0.34606999999999999</v>
      </c>
      <c r="F169" s="92">
        <v>0.48633999999999999</v>
      </c>
      <c r="G169" s="92">
        <v>-1.2</v>
      </c>
      <c r="H169" s="92"/>
      <c r="I169" s="92"/>
      <c r="J169" s="92"/>
      <c r="K169" s="92"/>
      <c r="L169" s="92"/>
      <c r="M169" s="92"/>
      <c r="N169" s="92"/>
    </row>
    <row r="170" spans="2:35" customFormat="1" x14ac:dyDescent="0.4">
      <c r="B170" t="s">
        <v>214</v>
      </c>
      <c r="C170" s="38"/>
      <c r="D170" s="92" cm="1">
        <f t="array" ref="D170:G170">INDEX(19:19, COLUMN($D$19) + _xlfn.SEQUENCE(1, COLUMNS(_xlfn.ANCHORARRAY(D4))) - 1)</f>
        <v>1.54579</v>
      </c>
      <c r="E170" s="92">
        <v>3.8204099999999999</v>
      </c>
      <c r="F170" s="92">
        <v>3.6435300000000002</v>
      </c>
      <c r="G170" s="92">
        <v>1.8</v>
      </c>
      <c r="H170" s="92"/>
      <c r="I170" s="92"/>
      <c r="J170" s="92"/>
      <c r="K170" s="92"/>
      <c r="L170" s="92"/>
      <c r="M170" s="92"/>
    </row>
    <row r="171" spans="2:35" customFormat="1" x14ac:dyDescent="0.4">
      <c r="B171" s="7" t="s">
        <v>384</v>
      </c>
      <c r="C171" s="94"/>
      <c r="D171" s="92"/>
      <c r="E171" s="118" cm="1">
        <f t="array" ref="E171:G171">_xlfn.DROP(_xlfn.ANCHORARRAY(D170),,1) - _xlfn.TAKE(_xlfn.ANCHORARRAY(D170),,COLUMNS(_xlfn.ANCHORARRAY(D168))-1)</f>
        <v>2.2746199999999996</v>
      </c>
      <c r="F171" s="92">
        <v>-0.1768799999999997</v>
      </c>
      <c r="G171" s="92">
        <v>-1.8435300000000001</v>
      </c>
      <c r="H171" s="92"/>
      <c r="I171" s="92"/>
      <c r="J171" s="92"/>
      <c r="K171" s="92"/>
      <c r="L171" s="92"/>
    </row>
    <row r="172" spans="2:35" customFormat="1" x14ac:dyDescent="0.4">
      <c r="B172" t="s">
        <v>671</v>
      </c>
      <c r="D172" s="3" t="b">
        <f>IF(ISNUMBER(D168),D169&lt;-1.5,"")</f>
        <v>1</v>
      </c>
      <c r="E172" s="3" t="b">
        <f t="shared" ref="E172:K172" si="36">IF(ISNUMBER(E168),E169&lt;-1.5,"")</f>
        <v>0</v>
      </c>
      <c r="F172" s="3" t="b">
        <f t="shared" si="36"/>
        <v>0</v>
      </c>
      <c r="G172" s="3" t="b">
        <f t="shared" si="36"/>
        <v>0</v>
      </c>
      <c r="H172" s="3" t="str">
        <f t="shared" si="36"/>
        <v/>
      </c>
      <c r="I172" s="3" t="str">
        <f t="shared" si="36"/>
        <v/>
      </c>
      <c r="J172" s="3" t="str">
        <f t="shared" si="36"/>
        <v/>
      </c>
      <c r="K172" s="3" t="str">
        <f t="shared" si="36"/>
        <v/>
      </c>
      <c r="L172" s="3"/>
      <c r="M172" s="3"/>
      <c r="N172" s="3"/>
      <c r="O172" s="3"/>
      <c r="P172" s="3"/>
    </row>
    <row r="173" spans="2:35" customFormat="1" x14ac:dyDescent="0.4">
      <c r="B173" t="s">
        <v>385</v>
      </c>
      <c r="C173" s="2" t="b" cm="1">
        <f t="array" ref="C173">IF(
  Receives_reference_trajectory,
  SUMPRODUCT(
    --(
      INDEX(172:172,1,COLUMN($D$168)):
      INDEX(172:172,1,COLUMN($D$168)+COLUMNS(_xlfn.ANCHORARRAY($D$168))-1)
    )
  )&gt;0,
  NA()
)</f>
        <v>1</v>
      </c>
    </row>
    <row r="174" spans="2:35" x14ac:dyDescent="0.4">
      <c r="B174" t="s">
        <v>306</v>
      </c>
      <c r="C174" s="16">
        <f>IF(Receives_reference_trajectory,IF(AdjustmentPeriod=4,0.4,0.25),"Not applicable")</f>
        <v>0.4</v>
      </c>
      <c r="E174" s="18"/>
    </row>
    <row r="175" spans="2:35" x14ac:dyDescent="0.4">
      <c r="B175" t="s">
        <v>473</v>
      </c>
      <c r="C175" s="122" t="b" cm="1">
        <f t="array" ref="C175">IF(
  Receives_reference_trajectory,
  IF(
    NOT(IFERROR(C173,FALSE)),
    NA(),
    SUMPRODUCT(
      --(_xlfn.TAKE(IFERROR(_xlfn.CHOOSECOLS(172:172, COLUMN($D$168)+_xlfn.SEQUENCE(1,COLUMNS(_xlfn.ANCHORARRAY($D$168)))-1), FALSE), , COLUMNS(_xlfn.ANCHORARRAY($D$168))-1)),
      --(_xlfn.DROP(_xlfn.CHOOSECOLS(171:171, COLUMN($D$168)+_xlfn.SEQUENCE(1,COLUMNS(_xlfn.ANCHORARRAY($D$168)))-1), , 1) &lt;= C174)
    )=0
  ),
  NA()
)</f>
        <v>1</v>
      </c>
      <c r="E175" s="18"/>
    </row>
    <row r="176" spans="2:35" x14ac:dyDescent="0.4">
      <c r="B176"/>
      <c r="C176" s="16"/>
      <c r="E176" s="18"/>
    </row>
    <row r="177" spans="2:35" x14ac:dyDescent="0.4">
      <c r="B177" s="15" t="s">
        <v>266</v>
      </c>
      <c r="C177" s="103" t="str">
        <f>IF(
  NOT(Receives_reference_trajectory),
  Country &amp; " does not receive a reference trajectory and is not assessed against the deficit resilience safeguard.",IF(
  NOT(C173),
  "The deficit resilience safeguard does not apply, as "&amp;Country&amp;"'s structural deficit never exceeds 1.5 % of GDP over the adjustment period.",
  IF(
    ISNA(C175),
    "The deficit resilience safeguard does not apply, as "&amp;Country&amp;"'s structural deficit never exceeds 1.5 % of GDP over the adjustment period.",
    IF(
      C175,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The deficit resilience safeguard applies and Greece's outturn and plans are compliant (diagnostic only—not assessed as a separate compliance criterion during implementation).</v>
      </c>
      <c r="E177" s="18"/>
    </row>
    <row r="178" spans="2:35" x14ac:dyDescent="0.4">
      <c r="C178" s="57"/>
      <c r="E178" s="18"/>
    </row>
    <row r="179" spans="2:35" ht="18" x14ac:dyDescent="0.55000000000000004">
      <c r="B179" s="129" t="s">
        <v>504</v>
      </c>
      <c r="D179" s="18"/>
      <c r="J179" s="72"/>
      <c r="K179" s="72"/>
      <c r="L179" s="72"/>
      <c r="M179" s="72"/>
      <c r="N179" s="72"/>
      <c r="O179" s="72"/>
      <c r="P179" s="72"/>
      <c r="Q179" s="72"/>
      <c r="R179" s="72"/>
      <c r="S179" s="72"/>
      <c r="T179" s="72"/>
      <c r="U179" s="72"/>
      <c r="V179" s="72"/>
      <c r="W179" s="72"/>
      <c r="X179" s="72"/>
      <c r="Y179" s="72"/>
      <c r="Z179" s="72"/>
      <c r="AA179" s="72"/>
      <c r="AB179" s="72"/>
      <c r="AC179" s="72"/>
      <c r="AD179" s="72"/>
      <c r="AE179" s="72"/>
      <c r="AF179" s="72"/>
      <c r="AG179" s="72"/>
      <c r="AH179" s="72"/>
      <c r="AI179" s="72"/>
    </row>
    <row r="180" spans="2:35" ht="14.25" x14ac:dyDescent="0.45">
      <c r="B180" s="130" t="s">
        <v>455</v>
      </c>
      <c r="D180" s="18"/>
      <c r="J180" s="72"/>
      <c r="K180" s="72"/>
      <c r="L180" s="72"/>
      <c r="M180" s="72"/>
      <c r="N180" s="72"/>
      <c r="O180" s="72"/>
      <c r="P180" s="72"/>
      <c r="Q180" s="72"/>
      <c r="R180" s="72"/>
      <c r="S180" s="72"/>
      <c r="T180" s="72"/>
      <c r="U180" s="72"/>
      <c r="V180" s="72"/>
      <c r="W180" s="72"/>
      <c r="X180" s="72"/>
      <c r="Y180" s="72"/>
      <c r="Z180" s="72"/>
      <c r="AA180" s="72"/>
      <c r="AB180" s="72"/>
      <c r="AC180" s="72"/>
      <c r="AD180" s="72"/>
      <c r="AE180" s="72"/>
      <c r="AF180" s="72"/>
      <c r="AG180" s="72"/>
      <c r="AH180" s="72"/>
      <c r="AI180" s="72"/>
    </row>
    <row r="181" spans="2:35" x14ac:dyDescent="0.4">
      <c r="B181"/>
      <c r="D181" s="18"/>
      <c r="J181" s="72"/>
      <c r="K181" s="72"/>
      <c r="L181" s="72"/>
      <c r="M181" s="72"/>
      <c r="N181" s="72"/>
      <c r="O181" s="72"/>
      <c r="P181" s="72"/>
      <c r="Q181" s="72"/>
      <c r="R181" s="72"/>
      <c r="S181" s="72"/>
      <c r="T181" s="72"/>
      <c r="U181" s="72"/>
      <c r="V181" s="72"/>
      <c r="W181" s="72"/>
      <c r="X181" s="72"/>
      <c r="Y181" s="72"/>
      <c r="Z181" s="72"/>
      <c r="AA181" s="72"/>
      <c r="AB181" s="72"/>
      <c r="AC181" s="72"/>
      <c r="AD181" s="72"/>
      <c r="AE181" s="72"/>
      <c r="AF181" s="72"/>
      <c r="AG181" s="72"/>
      <c r="AH181" s="72"/>
      <c r="AI181" s="72"/>
    </row>
    <row r="182" spans="2:35" x14ac:dyDescent="0.4">
      <c r="B182" t="s">
        <v>676</v>
      </c>
      <c r="C182" s="131" cm="1">
        <f t="array" ref="C182">IF(
  AdjustmentPeriodEnd &gt; OutturnThrough,
  INDEX($37:$37, _xlfn.XMATCH(AdjustmentPeriodEnd, $32:$32, 0)) -
  INDEX($19:$19, _xlfn.XMATCH(OutturnThrough, $4:$4, 0)),
  NA()
)</f>
        <v>-1.3435300000000003</v>
      </c>
      <c r="D182" s="18"/>
      <c r="J182" s="72"/>
      <c r="K182" s="72"/>
      <c r="L182" s="72"/>
      <c r="M182" s="72"/>
      <c r="N182" s="72"/>
      <c r="O182" s="72"/>
      <c r="P182" s="72"/>
      <c r="Q182" s="72"/>
      <c r="R182" s="72"/>
      <c r="S182" s="72"/>
      <c r="T182" s="72"/>
      <c r="U182" s="72"/>
      <c r="V182" s="72"/>
      <c r="W182" s="72"/>
      <c r="X182" s="72"/>
      <c r="Y182" s="72"/>
      <c r="Z182" s="72"/>
      <c r="AA182" s="72"/>
      <c r="AB182" s="72"/>
      <c r="AC182" s="72"/>
      <c r="AD182" s="72"/>
      <c r="AE182" s="72"/>
      <c r="AF182" s="72"/>
      <c r="AG182" s="72"/>
      <c r="AH182" s="72"/>
      <c r="AI182" s="72"/>
    </row>
    <row r="183" spans="2:35" x14ac:dyDescent="0.4">
      <c r="B183" t="s">
        <v>675</v>
      </c>
      <c r="C183" s="131" cm="1">
        <f t="array" ref="C183">IF(
  AdjustmentPeriodEnd &gt; OutturnThrough,
  (
    INDEX($37:$37, _xlfn.XMATCH(AdjustmentPeriodEnd, $32:$32, 0)) -
    INDEX($19:$19, _xlfn.XMATCH(OutturnThrough, $4:$4, 0))
  ) / (AdjustmentPeriodEnd - OutturnThrough),
  NA()
)</f>
        <v>-0.44784333333333343</v>
      </c>
      <c r="D183" s="18"/>
      <c r="J183" s="72"/>
      <c r="K183" s="72"/>
      <c r="L183" s="72"/>
      <c r="M183" s="72"/>
      <c r="N183" s="72"/>
      <c r="O183" s="72"/>
      <c r="P183" s="72"/>
      <c r="Q183" s="72"/>
      <c r="R183" s="72"/>
      <c r="S183" s="72"/>
      <c r="T183" s="72"/>
      <c r="U183" s="72"/>
      <c r="V183" s="72"/>
      <c r="W183" s="72"/>
      <c r="X183" s="72"/>
      <c r="Y183" s="72"/>
      <c r="Z183" s="72"/>
      <c r="AA183" s="72"/>
      <c r="AB183" s="72"/>
      <c r="AC183" s="72"/>
      <c r="AD183" s="72"/>
      <c r="AE183" s="72"/>
      <c r="AF183" s="72"/>
      <c r="AG183" s="72"/>
      <c r="AH183" s="72"/>
      <c r="AI183" s="72"/>
    </row>
    <row r="184" spans="2:35" x14ac:dyDescent="0.4">
      <c r="B184" t="s">
        <v>674</v>
      </c>
      <c r="C184" s="131" cm="1">
        <f t="array" ref="C184">IF(
  AssessmentEnd &gt; OutturnThrough,
  (
    INDEX($19:$19, _xlfn.XMATCH(AssessmentEnd, $4:$4, 0))
    - INDEX($19:$19, _xlfn.XMATCH(OutturnThrough, $4:$4, 0))
  ) / (AssessmentEnd - OutturnThrough),
  NA()
)</f>
        <v>-1.8435300000000001</v>
      </c>
      <c r="D184" s="18"/>
      <c r="J184" s="72"/>
      <c r="K184" s="72"/>
      <c r="L184" s="72"/>
      <c r="M184" s="72"/>
      <c r="N184" s="72"/>
      <c r="O184" s="72"/>
      <c r="P184" s="72"/>
      <c r="Q184" s="72"/>
      <c r="R184" s="72"/>
      <c r="S184" s="72"/>
      <c r="T184" s="72"/>
      <c r="U184" s="72"/>
      <c r="V184" s="72"/>
      <c r="W184" s="72"/>
      <c r="X184" s="72"/>
      <c r="Y184" s="72"/>
      <c r="Z184" s="72"/>
      <c r="AA184" s="72"/>
      <c r="AB184" s="72"/>
      <c r="AC184" s="72"/>
      <c r="AD184" s="72"/>
      <c r="AE184" s="72"/>
      <c r="AF184" s="72"/>
      <c r="AG184" s="72"/>
      <c r="AH184" s="72"/>
      <c r="AI184" s="72"/>
    </row>
    <row r="185" spans="2:35" x14ac:dyDescent="0.4">
      <c r="B185" t="s">
        <v>677</v>
      </c>
      <c r="C185" s="131" cm="1">
        <f t="array" ref="C185">IF(
  AssessmentEnd &gt; MTP_YearT,
  (
    INDEX($19:$19, _xlfn.XMATCH(AssessmentEnd, $4:$4, 0))
    - INDEX($19:$19, _xlfn.XMATCH(MTP_YearT, $4:$4, 0))
  ) / (AssessmentEnd - MTP_YearT),
  NA()
)</f>
        <v>-1.010205</v>
      </c>
      <c r="D185" s="18"/>
      <c r="J185" s="72"/>
      <c r="K185" s="72"/>
      <c r="L185" s="72"/>
      <c r="M185" s="72"/>
      <c r="N185" s="72"/>
      <c r="O185" s="72"/>
      <c r="P185" s="72"/>
      <c r="Q185" s="72"/>
      <c r="R185" s="72"/>
      <c r="S185" s="72"/>
      <c r="T185" s="72"/>
      <c r="U185" s="72"/>
      <c r="V185" s="72"/>
      <c r="W185" s="72"/>
      <c r="X185" s="72"/>
      <c r="Y185" s="72"/>
      <c r="Z185" s="72"/>
      <c r="AA185" s="72"/>
      <c r="AB185" s="72"/>
      <c r="AC185" s="72"/>
      <c r="AD185" s="72"/>
      <c r="AE185" s="72"/>
      <c r="AF185" s="72"/>
      <c r="AG185" s="72"/>
      <c r="AH185" s="72"/>
      <c r="AI185" s="72"/>
    </row>
    <row r="186" spans="2:35" x14ac:dyDescent="0.4">
      <c r="B186" t="s">
        <v>678</v>
      </c>
      <c r="C186" s="132" t="b">
        <f>IF(ISNA(C184), FALSE, AND(ISNUMBER(C184), C184 &gt;= C183))</f>
        <v>0</v>
      </c>
      <c r="D186" s="18"/>
      <c r="J186" s="72"/>
      <c r="K186" s="72"/>
      <c r="L186" s="72"/>
      <c r="M186" s="72"/>
      <c r="N186" s="72"/>
      <c r="O186" s="72"/>
      <c r="P186" s="72"/>
      <c r="Q186" s="72"/>
      <c r="R186" s="72"/>
      <c r="S186" s="72"/>
      <c r="T186" s="72"/>
      <c r="U186" s="72"/>
      <c r="V186" s="72"/>
      <c r="W186" s="72"/>
      <c r="X186" s="72"/>
      <c r="Y186" s="72"/>
      <c r="Z186" s="72"/>
      <c r="AA186" s="72"/>
      <c r="AB186" s="72"/>
      <c r="AC186" s="72"/>
      <c r="AD186" s="72"/>
      <c r="AE186" s="72"/>
      <c r="AF186" s="72"/>
      <c r="AG186" s="72"/>
      <c r="AH186" s="72"/>
      <c r="AI186" s="72"/>
    </row>
    <row r="187" spans="2:35" x14ac:dyDescent="0.4">
      <c r="B187"/>
      <c r="C187" s="2"/>
      <c r="D187" s="18"/>
      <c r="J187" s="72"/>
      <c r="K187" s="72"/>
      <c r="L187" s="72"/>
      <c r="M187" s="72"/>
      <c r="N187" s="72"/>
      <c r="O187" s="72"/>
      <c r="P187" s="72"/>
      <c r="Q187" s="72"/>
      <c r="R187" s="72"/>
      <c r="S187" s="72"/>
      <c r="T187" s="72"/>
      <c r="U187" s="72"/>
      <c r="V187" s="72"/>
      <c r="W187" s="72"/>
      <c r="X187" s="72"/>
      <c r="Y187" s="72"/>
      <c r="Z187" s="72"/>
      <c r="AA187" s="72"/>
      <c r="AB187" s="72"/>
      <c r="AC187" s="72"/>
      <c r="AD187" s="72"/>
      <c r="AE187" s="72"/>
      <c r="AF187" s="72"/>
      <c r="AG187" s="72"/>
      <c r="AH187" s="72"/>
      <c r="AI187" s="72"/>
    </row>
    <row r="188" spans="2:35" x14ac:dyDescent="0.4">
      <c r="B188" s="15" t="s">
        <v>258</v>
      </c>
      <c r="C188" s="103" t="str">
        <f>IFERROR(
  IF(
    AssessmentEnd &lt;= OutturnThrough,
    "Not applicable — the assessment period does not extend beyond the latest outturn year; there is no forward-looking SPB path to assess.",
    IF(
      OR(ISNA(C184), NOT(ISNUMBER(C184))),
      IF(
        C182 &lt; 0,
        Country &amp; "'s SPB already exceeds the target level by " &amp; TEXT(ABS(C182),"0.0") &amp;
          " pp of GDP at the end of the adjustment period. There is fiscal room to allow the SPB to decline while still meeting the target.",
        IF(
          C182 = 0,
          Country &amp; "'s SPB already meets the target level at the end of the adjustment period. No further consolidation is required.",
          Country &amp; "'s total SPB adjustment required over the remaining horizon is " &amp;
            TEXT(C182,"0.0") &amp; " pp of GDP, and the required average annual consolidation is " &amp;
            TEXT(C183,"0.0") &amp; " pp of GDP."
        )
      ),
      IF(
        C182 &lt;= 0,
        IF(
          C184 &lt; 0,
          IF(
            C182 &lt; 0,
            Country &amp; "'s SPB already exceeds the target level by " &amp; TEXT(ABS(C182),"0.0") &amp; " pp of GDP",
            Country &amp; "'s SPB currently meets the target level"
          ) &amp;
            ", but the planned path implies a deterioration of " &amp;
            TEXT(ABS(C184),"0.0") &amp; " pp of GDP per year on average over the assessment period." &amp;
            " Additional adjustment in later years may be needed to maintain the target, creating a risk of backloading." &amp;
            IF(EscapeClauseActivated, " However, an escape clause has been activated.", ""),
          IF(
            C182 &lt; 0,
            Country &amp; "'s SPB already exceeds the target level by " &amp; TEXT(ABS(C182),"0.0") &amp; " pp of GDP",
            Country &amp; "'s SPB already meets the target level"
          ) &amp;
            ". The planned average annual consolidation of " &amp;
            TEXT(C184,"0.0") &amp; " pp of GDP is consistent with maintaining that position."
        ),
        Country &amp; "'s total SPB adjustment required over the remaining horizon is " &amp;
          TEXT(C182,"0.0") &amp; " pp of GDP. The planned average annual consolidation of " &amp;
          TEXT(C184,"0.0") &amp; " pp " &amp;
          IF(
            C184 &gt;= C183,
            "meets or exceeds the required " &amp; TEXT(C183,"0.0") &amp;
              " pp, indicating that adjustment is consistent with achieving the target SPB by the end of the horizon. Adjustment is not backloaded.",
            "falls short of the required " &amp; TEXT(C183,"0.0") &amp;
              " pp, indicating that additional measures may be needed to reach the target SPB. Adjustment may be backloaded." &amp;
              IF(EscapeClauseActivated, " However, an escape clause has been activated.", "")
          )
      )
    )
  ),
  NA()
)</f>
        <v>Greece's SPB already exceeds the target level by 1.3 pp of GDP, but the planned path implies a deterioration of 1.8 pp of GDP per year on average over the assessment period. Additional adjustment in later years may be needed to maintain the target, creating a risk of backloading. However, an escape clause has been activated.</v>
      </c>
      <c r="D188" s="18"/>
      <c r="J188" s="72"/>
      <c r="K188" s="72"/>
      <c r="L188" s="72"/>
      <c r="M188" s="72"/>
      <c r="N188" s="72"/>
      <c r="O188" s="72"/>
      <c r="P188" s="72"/>
      <c r="Q188" s="72"/>
      <c r="R188" s="72"/>
      <c r="S188" s="72"/>
      <c r="T188" s="72"/>
      <c r="U188" s="72"/>
      <c r="V188" s="72"/>
      <c r="W188" s="72"/>
      <c r="X188" s="72"/>
      <c r="Y188" s="72"/>
      <c r="Z188" s="72"/>
      <c r="AA188" s="72"/>
      <c r="AB188" s="72"/>
      <c r="AC188" s="72"/>
      <c r="AD188" s="72"/>
      <c r="AE188" s="72"/>
      <c r="AF188" s="72"/>
      <c r="AG188" s="72"/>
      <c r="AH188" s="72"/>
      <c r="AI188" s="72"/>
    </row>
    <row r="189" spans="2:35" x14ac:dyDescent="0.4">
      <c r="B189"/>
      <c r="D189" s="18"/>
      <c r="J189" s="72"/>
      <c r="K189" s="72"/>
      <c r="L189" s="72"/>
      <c r="M189" s="72"/>
      <c r="N189" s="72"/>
      <c r="O189" s="72"/>
      <c r="P189" s="72"/>
      <c r="Q189" s="72"/>
      <c r="R189" s="72"/>
      <c r="S189" s="72"/>
      <c r="T189" s="72"/>
      <c r="U189" s="72"/>
      <c r="V189" s="72"/>
      <c r="W189" s="72"/>
      <c r="X189" s="72"/>
      <c r="Y189" s="72"/>
      <c r="Z189" s="72"/>
      <c r="AA189" s="72"/>
      <c r="AB189" s="72"/>
      <c r="AC189" s="72"/>
      <c r="AD189" s="72"/>
      <c r="AE189" s="72"/>
      <c r="AF189" s="72"/>
      <c r="AG189" s="72"/>
      <c r="AH189" s="72"/>
      <c r="AI189" s="72"/>
    </row>
    <row r="190" spans="2:35" ht="31.9" x14ac:dyDescent="1">
      <c r="B190" s="78" t="s">
        <v>488</v>
      </c>
    </row>
    <row r="191" spans="2:35" ht="25.15" customHeight="1" x14ac:dyDescent="0.7">
      <c r="B191" s="14" t="s">
        <v>946</v>
      </c>
    </row>
    <row r="192" spans="2:35" ht="14.25" x14ac:dyDescent="0.45">
      <c r="B192" s="106" t="str">
        <f>"That is, whether the Commission prepares and transmits a reference trajectory for net expenditure that "&amp;Country&amp;"'s MTP must not exceed (or "&amp;Country&amp;" must submit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Greece's MTP must not exceed (or Greece must submit an alternative net expenditure path meeting all requirements of Article 16(2) and (3) of Regulation (EU) 2024/1263 and sound and data-driven economic arguments explaining the difference)</v>
      </c>
    </row>
    <row r="193" spans="1:10" s="23" customFormat="1" ht="14.25" x14ac:dyDescent="0.45">
      <c r="A193"/>
      <c r="B193" s="55"/>
      <c r="C193" s="55"/>
      <c r="D193" s="55"/>
      <c r="E193" s="55"/>
      <c r="F193" s="55"/>
    </row>
    <row r="194" spans="1:10" ht="18" x14ac:dyDescent="0.55000000000000004">
      <c r="B194" s="51" t="s">
        <v>943</v>
      </c>
      <c r="C194" s="16"/>
      <c r="F194" s="38"/>
    </row>
    <row r="195" spans="1:10" x14ac:dyDescent="0.4">
      <c r="B195" t="s">
        <v>829</v>
      </c>
      <c r="C195" s="16" t="b">
        <f>INDEX(20:20, MATCH(MTP_PlanFirstYear, 4:4, 0)) &lt; TFEU_Debt</f>
        <v>0</v>
      </c>
      <c r="F195" s="38"/>
    </row>
    <row r="196" spans="1:10" x14ac:dyDescent="0.4">
      <c r="B196" t="s">
        <v>258</v>
      </c>
      <c r="C196" s="103" t="str">
        <f>IF(
  C195,
  Country &amp; "'s gross general government debt in " &amp; MTP_PlanFirstYear &amp; " was " &amp; TEXT(INDEX(20:20, MATCH(MTP_PlanFirstYear, 4:4, 0)), "0.0") &amp;"% of GDP"&amp; ", which does not exceed the 60% TFEU reference value.",
  Country &amp; "'s gross general government debt in " &amp; MTP_PlanFirstYear &amp; " was " &amp; TEXT(INDEX(20:20, MATCH(MTP_PlanFirstYear, 4:4, 0)), "0.0") &amp;"% of GDP"&amp; ", which does not exceed the 60% TFEU reference level."
)</f>
        <v>Greece's gross general government debt in 2023 was 164.3% of GDP, which does not exceed the 60% TFEU reference level.</v>
      </c>
      <c r="F196" s="38"/>
    </row>
    <row r="197" spans="1:10" x14ac:dyDescent="0.4">
      <c r="B197"/>
      <c r="C197" s="103"/>
      <c r="E197" s="19"/>
      <c r="J197" s="17"/>
    </row>
    <row r="198" spans="1:10" ht="18" x14ac:dyDescent="0.55000000000000004">
      <c r="B198" s="51" t="s">
        <v>944</v>
      </c>
      <c r="F198" s="38"/>
    </row>
    <row r="199" spans="1:10" x14ac:dyDescent="0.4">
      <c r="B199" t="s">
        <v>830</v>
      </c>
      <c r="C199" s="16" t="b">
        <f>INDEX(17:17, MATCH(MTP_PlanFirstYear, 4:4, 0)) &gt; -TFEU_Deficit</f>
        <v>1</v>
      </c>
      <c r="F199" s="38"/>
    </row>
    <row r="200" spans="1:10" x14ac:dyDescent="0.4">
      <c r="B200" t="s">
        <v>258</v>
      </c>
      <c r="C200" s="103"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Greece's net borrowing (general government deficit) in 2023 was 1.4% of GDP, which does not exceed the 3% TFEU deficit reference value.</v>
      </c>
      <c r="F200" s="38"/>
    </row>
    <row r="201" spans="1:10" x14ac:dyDescent="0.4">
      <c r="C201" s="103"/>
      <c r="F201" s="38"/>
    </row>
    <row r="202" spans="1:10" ht="18" x14ac:dyDescent="0.55000000000000004">
      <c r="B202" s="51" t="s">
        <v>945</v>
      </c>
      <c r="E202" s="19"/>
      <c r="J202" s="17"/>
    </row>
    <row r="203" spans="1:10" x14ac:dyDescent="0.4">
      <c r="B203" t="s">
        <v>451</v>
      </c>
      <c r="C203" s="16" t="b">
        <f>NOT(AND($C$195,$C$199))</f>
        <v>1</v>
      </c>
      <c r="E203" s="19"/>
      <c r="J203" s="17"/>
    </row>
    <row r="204" spans="1:10" x14ac:dyDescent="0.4">
      <c r="B204" t="s">
        <v>258</v>
      </c>
      <c r="C204" s="103" t="str">
        <f>IF(
  C203,
  IF(
    AND(NOT($C$195), $C$199),
    Country &amp; "'s gross debt was above 60% of GDP in "&amp; MTP_PlanFirstYear &amp; " (T" &amp; IF(MTP_BaseYearIsTminus2,"-2","-1") &amp; "), therefore ",
    IF(
      AND($C$195, NOT($C$199)),
      Country &amp; "'s general government deficit was above 3% of GDP in "&amp; MTP_PlanFirstYear &amp; " (T" &amp; IF(MTP_BaseYearIsTminus2,"-2","-1") &amp; "), therefore ",
      IF(
        AND(NOT($C$195), NOT($C$199)),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exceeds the reference trajectory,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Greece's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Greece must provide sound and data-driven economic arguments explaining the difference.</v>
      </c>
      <c r="E204" s="19"/>
      <c r="J204" s="17"/>
    </row>
    <row r="205" spans="1:10" x14ac:dyDescent="0.4">
      <c r="E205" s="19"/>
      <c r="J205" s="17"/>
    </row>
    <row r="206" spans="1:10" ht="25.15" customHeight="1" x14ac:dyDescent="0.7">
      <c r="B206" s="14" t="s">
        <v>529</v>
      </c>
    </row>
    <row r="207" spans="1:10" ht="14.25" x14ac:dyDescent="0.45">
      <c r="B207" s="106" t="s">
        <v>489</v>
      </c>
    </row>
    <row r="208" spans="1:10" ht="23.25" x14ac:dyDescent="0.7">
      <c r="B208" s="51" t="s">
        <v>957</v>
      </c>
      <c r="C208" s="14"/>
      <c r="E208" s="18"/>
    </row>
    <row r="209" spans="2:10" x14ac:dyDescent="0.4">
      <c r="B209" t="s">
        <v>948</v>
      </c>
      <c r="C209" s="16" t="b">
        <f>'Step 3 (MTP) - Plan and prior'!C7</f>
        <v>1</v>
      </c>
    </row>
    <row r="210" spans="2:10" x14ac:dyDescent="0.4">
      <c r="B210" t="s">
        <v>951</v>
      </c>
      <c r="C210" s="16" t="b">
        <f>IF(C209,IF('Step 4 (MTP) - IFI scrutiny'!D4="Yes",TRUE,FALSE),NA())</f>
        <v>1</v>
      </c>
    </row>
    <row r="211" spans="2:10" x14ac:dyDescent="0.4">
      <c r="B211" t="s">
        <v>952</v>
      </c>
      <c r="C211" s="2" t="b">
        <f>IF(C210,IF('Step 4 (MTP) - IFI scrutiny'!D5="Yes",TRUE,NA()),NA())</f>
        <v>1</v>
      </c>
    </row>
    <row r="212" spans="2:10" x14ac:dyDescent="0.4">
      <c r="B212" t="s">
        <v>953</v>
      </c>
      <c r="C212" s="2" t="b">
        <f>IF(NOT(C209), TRUE, AND(C210, C211))</f>
        <v>1</v>
      </c>
    </row>
    <row r="213" spans="2:10" x14ac:dyDescent="0.4">
      <c r="B213" s="15" t="s">
        <v>258</v>
      </c>
      <c r="C213" s="103" t="str">
        <f>IF(NOT(C209),
  "The MTP uses the same macroeconomic assumptions as the EC's DSA framework.",
  IF(AND(C210,C211),
    "The "&amp;IFI_Name&amp;" has concluded that the MTP's alternative macroeconomic assumptions are based on sound and data-driven arguments and are plausible.",
    IF(AND(C210,NOT(C211)),
      "The "&amp;IFI_Name&amp;" found the rationale for using different assumptions satisfactory, but did not assess the alternative assumptions themselves as plausible.",
      IF(AND(NOT(C210),C211),
        "The "&amp;IFI_Name&amp;" did not find the rationale for using different assumptions satisfactory, though the alternative assumptions were independently assessed as plausible.",
        "The "&amp;IFI_Name&amp;" did not find the rationale for using different assumptions satisfactory, and the alternative macroeconomic assumptions were not assessed as plausible."))))</f>
        <v>The Hellenic Fiscal Council has concluded that the MTP's alternative macroeconomic assumptions are based on sound and data-driven arguments and are plausible.</v>
      </c>
    </row>
    <row r="214" spans="2:10" customFormat="1" x14ac:dyDescent="0.4"/>
    <row r="215" spans="2:10" ht="23.25" x14ac:dyDescent="0.7">
      <c r="B215" s="51" t="s">
        <v>958</v>
      </c>
      <c r="C215" s="14"/>
      <c r="E215" s="18"/>
    </row>
    <row r="216" spans="2:10" x14ac:dyDescent="0.4">
      <c r="B216" t="s">
        <v>462</v>
      </c>
      <c r="C216" s="16" t="b">
        <f>AND('Step 4 (MTP) - IFI scrutiny'!D8:D28)</f>
        <v>1</v>
      </c>
    </row>
    <row r="217" spans="2:10" x14ac:dyDescent="0.4">
      <c r="B217" s="15" t="s">
        <v>258</v>
      </c>
      <c r="C217" s="103" t="str">
        <f>IF(C216,"The "&amp;IFI_Name&amp;" has concluded that the plan contains all information required by Article 13 of Regulation (EU) 2024/1263.","The "&amp;IFI_Name&amp;" has concluded that the plan is missing elements required by Article 13 of Regulation (EU) 2024/1263.")</f>
        <v>The Hellenic Fiscal Council has concluded that the plan contains all information required by Article 13 of Regulation (EU) 2024/1263.</v>
      </c>
    </row>
    <row r="218" spans="2:10" customFormat="1" x14ac:dyDescent="0.4"/>
    <row r="219" spans="2:10" customFormat="1" ht="18" x14ac:dyDescent="0.55000000000000004">
      <c r="B219" s="51" t="s">
        <v>947</v>
      </c>
    </row>
    <row r="220" spans="2:10" customFormat="1" x14ac:dyDescent="0.4">
      <c r="B220" t="s">
        <v>602</v>
      </c>
      <c r="C220" s="2" t="b">
        <f>'Step 4 (MTP) - IFI scrutiny'!D31</f>
        <v>0</v>
      </c>
    </row>
    <row r="221" spans="2:10" customFormat="1" x14ac:dyDescent="0.4">
      <c r="B221" t="s">
        <v>670</v>
      </c>
      <c r="C221" s="16" t="e" cm="1">
        <f t="array" ref="C221">IF(
  NOT(C220),
  NA(),
  AND(
    'Step 4 (MTP) - IFI scrutiny'!D32:D43=TRUE,
    'Step 4 (MTP) - IFI scrutiny'!D32:D43&lt;&gt;"NA"
  )
)</f>
        <v>#N/A</v>
      </c>
    </row>
    <row r="222" spans="2:10" customFormat="1" x14ac:dyDescent="0.4">
      <c r="B222" s="15" t="s">
        <v>258</v>
      </c>
      <c r="C222" s="103" t="str">
        <f>IF(
  AdjustmentPeriod&lt;&gt;7,
  "Not applicable. " &amp; Country &amp; " has not requested an extension of the adjustment period.",
  IF(
    C221,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Greece has not requested an extension of the adjustment period.</v>
      </c>
    </row>
    <row r="223" spans="2:10" customFormat="1" x14ac:dyDescent="0.4"/>
    <row r="224" spans="2:10" ht="23.25" x14ac:dyDescent="0.7">
      <c r="B224" s="14" t="s">
        <v>452</v>
      </c>
      <c r="E224" s="19"/>
      <c r="J224" s="17"/>
    </row>
    <row r="225" spans="2:35" ht="14.25" x14ac:dyDescent="0.45">
      <c r="B225" s="130" t="s">
        <v>373</v>
      </c>
      <c r="E225" s="19"/>
      <c r="J225" s="17"/>
    </row>
    <row r="226" spans="2:35" customFormat="1" x14ac:dyDescent="0.4"/>
    <row r="227" spans="2:35" customFormat="1" ht="18" x14ac:dyDescent="0.55000000000000004">
      <c r="B227" s="51" t="s">
        <v>960</v>
      </c>
    </row>
    <row r="228" spans="2:35" customFormat="1" x14ac:dyDescent="0.4">
      <c r="B228" t="s">
        <v>491</v>
      </c>
      <c r="C228" s="127">
        <f>AVERAGEIFS(
  70:70,
  32:32, "&gt;" &amp; MTP_YearT,
  32:32, "&lt;=" &amp; AdjustmentPeriodEnd
)</f>
        <v>3.0750000000000002</v>
      </c>
    </row>
    <row r="229" spans="2:35" customFormat="1" x14ac:dyDescent="0.4">
      <c r="B229" t="s">
        <v>492</v>
      </c>
      <c r="C229" s="127">
        <f>AVERAGEIFS(
  34:34,
  32:32, "&gt;" &amp; MTP_YearT,
  32:32, "&lt;=" &amp; AdjustmentPeriodEnd
)</f>
        <v>3.35</v>
      </c>
    </row>
    <row r="230" spans="2:35" customFormat="1" x14ac:dyDescent="0.4">
      <c r="B230" t="s">
        <v>493</v>
      </c>
      <c r="C230" s="127" t="b">
        <f>C228-C229&lt;0</f>
        <v>1</v>
      </c>
    </row>
    <row r="231" spans="2:35" x14ac:dyDescent="0.4">
      <c r="B231" s="15" t="s">
        <v>494</v>
      </c>
      <c r="C231" s="16" t="b">
        <f>IF(Receives_reference_trajectory,'Step 4 (MTP) - IFI scrutiny'!D3="Yes","Not applicable")</f>
        <v>1</v>
      </c>
      <c r="J231" s="72"/>
      <c r="K231" s="72"/>
      <c r="L231" s="72"/>
      <c r="M231" s="72"/>
      <c r="N231" s="72"/>
      <c r="O231" s="72"/>
      <c r="P231" s="72"/>
      <c r="Q231" s="72"/>
      <c r="R231" s="72"/>
      <c r="S231" s="72"/>
      <c r="T231" s="72"/>
      <c r="U231" s="72"/>
      <c r="V231" s="72"/>
      <c r="W231" s="72"/>
      <c r="X231" s="72"/>
      <c r="Y231" s="72"/>
      <c r="Z231" s="72"/>
      <c r="AA231" s="72"/>
      <c r="AB231" s="72"/>
      <c r="AC231" s="72" t="s">
        <v>264</v>
      </c>
      <c r="AD231" s="72"/>
      <c r="AE231" s="72"/>
      <c r="AF231" s="72"/>
      <c r="AG231" s="72"/>
      <c r="AH231" s="72"/>
      <c r="AI231" s="72"/>
    </row>
    <row r="232" spans="2:35" customFormat="1" x14ac:dyDescent="0.4">
      <c r="B232" t="s">
        <v>258</v>
      </c>
      <c r="C232" s="128" t="str">
        <f>IF(
  C230,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IF(AND(C230, C231&lt;&gt;"Not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AND(C230, NOT(Receives_reference_trajectory)),
  " but remaining below the technical information path is not required.",
  IF(
    AND(C230, C231&lt;&gt;"Not applicable"),
    IF(
      C231,
      ", but the " &amp; IFI_Name &amp; " deems the explanation and alternative assumptions to be satisfactory.",
      ", and the " &amp; IFI_Name &amp; " does not deem the explanation and alternative assumptions to be satisfactory."
    ),
    ""
  )
)</f>
        <v>The average net expenditure growth reported in Greece's plan over the adjustment period (2025–2028) is higher than the reference trajectory transmitted by the Commission on 30 June 2024, but the Hellenic Fiscal Council deems the explanation and alternative assumptions to be satisfactory.</v>
      </c>
    </row>
    <row r="233" spans="2:35" customFormat="1" x14ac:dyDescent="0.4">
      <c r="C233" s="4"/>
    </row>
    <row r="234" spans="2:35" customFormat="1" ht="26.25" customHeight="1" x14ac:dyDescent="0.55000000000000004">
      <c r="B234" s="51" t="s">
        <v>968</v>
      </c>
    </row>
    <row r="235" spans="2:35" customFormat="1" ht="15.75" x14ac:dyDescent="0.5">
      <c r="B235" s="80" t="s">
        <v>511</v>
      </c>
    </row>
    <row r="236" spans="2:35" x14ac:dyDescent="0.4">
      <c r="B236" s="5" t="s">
        <v>510</v>
      </c>
      <c r="C236" s="16" t="b" cm="1">
        <f t="array" ref="C236">IF(Receives_reference_trajectory,SUMPRODUCT(((46:46&gt;=MTP_YearT)*(46:46&lt;=AdjustmentPeriodEnd)*(65:65&lt;=34:34)))=0,NA())</f>
        <v>0</v>
      </c>
      <c r="E236" s="19"/>
      <c r="J236" s="17"/>
    </row>
    <row r="237" spans="2:35" x14ac:dyDescent="0.4">
      <c r="B237" s="15" t="s">
        <v>519</v>
      </c>
      <c r="C237" s="16" t="b">
        <f>IF(AND(Receives_reference_trajectory,NOT(C236)),'Step 4 (MTP) - IFI scrutiny'!D3="Yes",NA())</f>
        <v>1</v>
      </c>
      <c r="J237" s="72"/>
      <c r="K237" s="72"/>
      <c r="L237" s="72"/>
      <c r="M237" s="72"/>
      <c r="N237" s="72"/>
      <c r="O237" s="72"/>
      <c r="P237" s="72"/>
      <c r="Q237" s="72"/>
      <c r="R237" s="72"/>
      <c r="S237" s="72"/>
      <c r="T237" s="72"/>
      <c r="U237" s="72"/>
      <c r="V237" s="72"/>
      <c r="W237" s="72"/>
      <c r="X237" s="72"/>
      <c r="Y237" s="72"/>
      <c r="Z237" s="72"/>
      <c r="AA237" s="72"/>
      <c r="AB237" s="72"/>
      <c r="AC237" s="72" t="s">
        <v>264</v>
      </c>
      <c r="AD237" s="72"/>
      <c r="AE237" s="72"/>
      <c r="AF237" s="72"/>
      <c r="AG237" s="72"/>
      <c r="AH237" s="72"/>
      <c r="AI237" s="72"/>
    </row>
    <row r="238" spans="2:35" x14ac:dyDescent="0.4">
      <c r="B238" s="15" t="s">
        <v>516</v>
      </c>
      <c r="C238" s="16" t="b">
        <f>IF(
  Receives_reference_trajectory,
  OR(C236, IFERROR(C237, TRUE)),
  NA()
)</f>
        <v>1</v>
      </c>
      <c r="J238" s="72"/>
      <c r="K238" s="72"/>
      <c r="L238" s="72"/>
      <c r="M238" s="72"/>
      <c r="N238" s="72"/>
      <c r="O238" s="72"/>
      <c r="P238" s="72"/>
      <c r="Q238" s="72"/>
      <c r="R238" s="72"/>
      <c r="S238" s="72"/>
      <c r="T238" s="72"/>
      <c r="U238" s="72"/>
      <c r="V238" s="72"/>
      <c r="W238" s="72"/>
      <c r="X238" s="72"/>
      <c r="Y238" s="72"/>
      <c r="Z238" s="72"/>
      <c r="AA238" s="72"/>
      <c r="AB238" s="72"/>
      <c r="AC238" s="72"/>
      <c r="AD238" s="72"/>
      <c r="AE238" s="72"/>
      <c r="AF238" s="72"/>
      <c r="AG238" s="72"/>
      <c r="AH238" s="72"/>
      <c r="AI238" s="72"/>
    </row>
    <row r="239" spans="2:35" x14ac:dyDescent="0.4">
      <c r="B239" s="15" t="s">
        <v>258</v>
      </c>
      <c r="C239" s="103" t="str">
        <f>IF(
  Receives_reference_trajectory,
  IF(
    C236,
    "The net expenditure path in " &amp; Country &amp; "'s latest MTP adheres to the Commission's reference trajectory.",
    IF(
      C237,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The net expenditure path in Greece's latest MTP exceeds the Commission's reference trajectory but the Hellenic Fiscal Council deems the explanation and alternative assumptions to be satisfactory.</v>
      </c>
      <c r="J239" s="72"/>
      <c r="K239" s="72"/>
      <c r="L239" s="72"/>
      <c r="M239" s="72"/>
      <c r="N239" s="72"/>
      <c r="O239" s="72"/>
      <c r="P239" s="72"/>
      <c r="Q239" s="72"/>
      <c r="R239" s="72"/>
      <c r="S239" s="72"/>
      <c r="T239" s="72"/>
      <c r="U239" s="72"/>
      <c r="V239" s="72"/>
      <c r="W239" s="72"/>
      <c r="X239" s="72"/>
      <c r="Y239" s="72"/>
      <c r="Z239" s="72"/>
      <c r="AA239" s="72"/>
      <c r="AB239" s="72"/>
      <c r="AC239" s="72"/>
      <c r="AD239" s="72"/>
      <c r="AE239" s="72"/>
      <c r="AF239" s="72"/>
      <c r="AG239" s="72"/>
      <c r="AH239" s="72"/>
      <c r="AI239" s="72"/>
    </row>
    <row r="240" spans="2:35" x14ac:dyDescent="0.4">
      <c r="C240" s="98"/>
      <c r="J240" s="72"/>
      <c r="K240" s="72"/>
      <c r="L240" s="72"/>
      <c r="M240" s="72"/>
      <c r="N240" s="72"/>
      <c r="O240" s="72"/>
      <c r="P240" s="72"/>
      <c r="Q240" s="72"/>
      <c r="R240" s="72"/>
      <c r="S240" s="72"/>
      <c r="T240" s="72"/>
      <c r="U240" s="72"/>
      <c r="V240" s="72"/>
      <c r="W240" s="72"/>
      <c r="X240" s="72"/>
      <c r="Y240" s="72"/>
      <c r="Z240" s="72"/>
      <c r="AA240" s="72"/>
      <c r="AB240" s="72"/>
      <c r="AC240" s="72"/>
      <c r="AD240" s="72"/>
      <c r="AE240" s="72"/>
      <c r="AF240" s="72"/>
      <c r="AG240" s="72"/>
      <c r="AH240" s="72"/>
      <c r="AI240" s="72"/>
    </row>
    <row r="241" spans="2:35" ht="15.75" x14ac:dyDescent="0.5">
      <c r="B241" s="80" t="s">
        <v>454</v>
      </c>
      <c r="C241" s="38"/>
      <c r="J241" s="72"/>
      <c r="K241" s="72"/>
      <c r="L241" s="72"/>
      <c r="M241" s="72"/>
      <c r="N241" s="72"/>
      <c r="O241" s="72"/>
      <c r="P241" s="72"/>
      <c r="Q241" s="72"/>
      <c r="R241" s="72"/>
      <c r="S241" s="72"/>
      <c r="T241" s="72"/>
      <c r="U241" s="72"/>
      <c r="V241" s="72"/>
      <c r="W241" s="72"/>
      <c r="X241" s="72"/>
      <c r="Y241" s="72"/>
      <c r="Z241" s="72"/>
      <c r="AA241" s="72"/>
      <c r="AB241" s="72"/>
      <c r="AC241" s="72"/>
      <c r="AD241" s="72"/>
      <c r="AE241" s="72"/>
      <c r="AF241" s="72"/>
      <c r="AG241" s="72"/>
      <c r="AH241" s="72"/>
      <c r="AI241" s="72"/>
    </row>
    <row r="242" spans="2:35" x14ac:dyDescent="0.4">
      <c r="B242" t="str">
        <f>"Minimum level of the primary structural balance without safeguard, "&amp;AdjustmentPeriodEnd</f>
        <v>Minimum level of the primary structural balance without safeguard, 2028</v>
      </c>
      <c r="C242" s="139" t="e">
        <f>IF(
  Receives_reference_trajectory,
  NA(),
  INDEX($66:$66, MATCH(AdjustmentPeriodEnd, $63:$63, 0))
)</f>
        <v>#N/A</v>
      </c>
      <c r="J242" s="72"/>
      <c r="K242" s="72"/>
      <c r="L242" s="72"/>
      <c r="M242" s="72"/>
      <c r="N242" s="72"/>
      <c r="O242" s="72"/>
      <c r="P242" s="72"/>
      <c r="Q242" s="72"/>
      <c r="R242" s="72"/>
      <c r="S242" s="72"/>
      <c r="T242" s="72"/>
      <c r="U242" s="72"/>
      <c r="V242" s="72"/>
      <c r="W242" s="72"/>
      <c r="X242" s="72"/>
      <c r="Y242" s="72"/>
      <c r="Z242" s="72"/>
      <c r="AA242" s="72"/>
      <c r="AB242" s="72"/>
      <c r="AC242" s="72"/>
      <c r="AD242" s="72"/>
      <c r="AE242" s="72"/>
      <c r="AF242" s="72"/>
      <c r="AG242" s="72"/>
      <c r="AH242" s="72"/>
      <c r="AI242" s="72"/>
    </row>
    <row r="243" spans="2:35" x14ac:dyDescent="0.4">
      <c r="B243" t="str">
        <f>"Minimum level of the primary structural balance with safeguard, "&amp;AdjustmentPeriodEnd</f>
        <v>Minimum level of the primary structural balance with safeguard, 2028</v>
      </c>
      <c r="C243" s="139" t="e">
        <f>IF(
  Receives_reference_trajectory,
  NA(),
  INDEX($67:$67, MATCH(AdjustmentPeriodEnd, $63:$63, 0))
)</f>
        <v>#N/A</v>
      </c>
      <c r="J243" s="72"/>
      <c r="K243" s="72"/>
      <c r="L243" s="72"/>
      <c r="M243" s="72"/>
      <c r="N243" s="72"/>
      <c r="O243" s="72"/>
      <c r="P243" s="72"/>
      <c r="Q243" s="72"/>
      <c r="R243" s="72"/>
      <c r="S243" s="72"/>
      <c r="T243" s="72"/>
      <c r="U243" s="72"/>
      <c r="V243" s="72"/>
      <c r="W243" s="72"/>
      <c r="X243" s="72"/>
      <c r="Y243" s="72"/>
      <c r="Z243" s="72"/>
      <c r="AA243" s="72"/>
      <c r="AB243" s="72"/>
      <c r="AC243" s="72"/>
      <c r="AD243" s="72"/>
      <c r="AE243" s="72"/>
      <c r="AF243" s="72"/>
      <c r="AG243" s="72"/>
      <c r="AH243" s="72"/>
      <c r="AI243" s="72"/>
    </row>
    <row r="244" spans="2:35" x14ac:dyDescent="0.4">
      <c r="B244" t="str">
        <f>"Primary structural balance in MTP in "&amp;AdjustmentPeriodEnd</f>
        <v>Primary structural balance in MTP in 2028</v>
      </c>
      <c r="C244" s="98" t="e">
        <f>IF(
  Receives_reference_trajectory,
  NA(),
  INDEX(37:37, MATCH(AdjustmentPeriodEnd, 32:32, 0))
)</f>
        <v>#N/A</v>
      </c>
      <c r="J244" s="72"/>
      <c r="K244" s="72"/>
      <c r="L244" s="72"/>
      <c r="M244" s="72"/>
      <c r="N244" s="72"/>
      <c r="O244" s="72"/>
      <c r="P244" s="72"/>
      <c r="Q244" s="72"/>
      <c r="R244" s="72"/>
      <c r="S244" s="72"/>
      <c r="T244" s="72"/>
      <c r="U244" s="72"/>
      <c r="V244" s="72"/>
      <c r="W244" s="72"/>
      <c r="X244" s="72"/>
      <c r="Y244" s="72"/>
      <c r="Z244" s="72"/>
      <c r="AA244" s="72"/>
      <c r="AB244" s="72"/>
      <c r="AC244" s="72"/>
      <c r="AD244" s="72"/>
      <c r="AE244" s="72"/>
      <c r="AF244" s="72"/>
      <c r="AG244" s="72"/>
      <c r="AH244" s="72"/>
      <c r="AI244" s="72"/>
    </row>
    <row r="245" spans="2:35" x14ac:dyDescent="0.4">
      <c r="B245"/>
      <c r="C245" s="98"/>
      <c r="J245" s="72"/>
      <c r="K245" s="72"/>
      <c r="L245" s="72"/>
      <c r="M245" s="72"/>
      <c r="N245" s="72"/>
      <c r="O245" s="72"/>
      <c r="P245" s="72"/>
      <c r="Q245" s="72"/>
      <c r="R245" s="72"/>
      <c r="S245" s="72"/>
      <c r="T245" s="72"/>
      <c r="U245" s="72"/>
      <c r="V245" s="72"/>
      <c r="W245" s="72"/>
      <c r="X245" s="72"/>
      <c r="Y245" s="72"/>
      <c r="Z245" s="72"/>
      <c r="AA245" s="72"/>
      <c r="AB245" s="72"/>
      <c r="AC245" s="72"/>
      <c r="AD245" s="72"/>
      <c r="AE245" s="72"/>
      <c r="AF245" s="72"/>
      <c r="AG245" s="72"/>
      <c r="AH245" s="72"/>
      <c r="AI245" s="72"/>
    </row>
    <row r="246" spans="2:35" x14ac:dyDescent="0.4">
      <c r="B246" t="s">
        <v>512</v>
      </c>
      <c r="C246" s="98" t="e">
        <f>IF(
  Receives_reference_trajectory,
  NA(),
  C244 &gt;= C242
)</f>
        <v>#N/A</v>
      </c>
      <c r="J246" s="72"/>
      <c r="K246" s="72"/>
      <c r="L246" s="72"/>
      <c r="M246" s="72"/>
      <c r="N246" s="72"/>
      <c r="O246" s="72"/>
      <c r="P246" s="72"/>
      <c r="Q246" s="72"/>
      <c r="R246" s="72"/>
      <c r="S246" s="72"/>
      <c r="T246" s="72"/>
      <c r="U246" s="72"/>
      <c r="V246" s="72"/>
      <c r="W246" s="72"/>
      <c r="X246" s="72"/>
      <c r="Y246" s="72"/>
      <c r="Z246" s="72"/>
      <c r="AA246" s="72"/>
      <c r="AB246" s="72"/>
      <c r="AC246" s="72"/>
      <c r="AD246" s="72"/>
      <c r="AE246" s="72"/>
      <c r="AF246" s="72"/>
      <c r="AG246" s="72"/>
      <c r="AH246" s="72"/>
      <c r="AI246" s="72"/>
    </row>
    <row r="247" spans="2:35" x14ac:dyDescent="0.4">
      <c r="B247" s="15" t="s">
        <v>270</v>
      </c>
      <c r="C247" s="16" t="e">
        <f>IF(Receives_reference_trajectory,NA(),IF(NOT(C246),'Step 4 (MTP) - IFI scrutiny'!D3,NA()))</f>
        <v>#N/A</v>
      </c>
      <c r="J247" s="72"/>
      <c r="K247" s="72"/>
      <c r="L247" s="72"/>
      <c r="M247" s="72"/>
      <c r="N247" s="72"/>
      <c r="O247" s="72"/>
      <c r="P247" s="72"/>
      <c r="Q247" s="72"/>
      <c r="R247" s="72"/>
      <c r="S247" s="72"/>
      <c r="T247" s="72"/>
      <c r="U247" s="72"/>
      <c r="V247" s="72"/>
      <c r="W247" s="72"/>
      <c r="X247" s="72"/>
      <c r="Y247" s="72"/>
      <c r="Z247" s="72"/>
      <c r="AA247" s="72"/>
      <c r="AB247" s="72"/>
      <c r="AC247" s="72" t="s">
        <v>264</v>
      </c>
      <c r="AD247" s="72"/>
      <c r="AE247" s="72"/>
      <c r="AF247" s="72"/>
      <c r="AG247" s="72"/>
      <c r="AH247" s="72"/>
      <c r="AI247" s="72"/>
    </row>
    <row r="248" spans="2:35" x14ac:dyDescent="0.4">
      <c r="B248" t="s">
        <v>593</v>
      </c>
      <c r="C248" s="16" t="e">
        <f>IF(
  Receives_reference_trajectory,
  NA(),
  OR(
    C246,
    IF(ISNA(C247), TRUE, C247)
  )
)</f>
        <v>#N/A</v>
      </c>
      <c r="J248" s="72"/>
      <c r="K248" s="72"/>
      <c r="L248" s="72"/>
      <c r="M248" s="72"/>
      <c r="N248" s="72"/>
      <c r="O248" s="72"/>
      <c r="P248" s="72"/>
      <c r="Q248" s="72"/>
      <c r="R248" s="72"/>
      <c r="S248" s="72"/>
      <c r="T248" s="72"/>
      <c r="U248" s="72"/>
      <c r="V248" s="72"/>
      <c r="W248" s="72"/>
      <c r="X248" s="72"/>
      <c r="Y248" s="72"/>
      <c r="Z248" s="72"/>
      <c r="AA248" s="72"/>
      <c r="AB248" s="72"/>
      <c r="AC248" s="72"/>
      <c r="AD248" s="72"/>
      <c r="AE248" s="72"/>
      <c r="AF248" s="72"/>
      <c r="AG248" s="72"/>
      <c r="AH248" s="72"/>
      <c r="AI248" s="72"/>
    </row>
    <row r="249" spans="2:35" x14ac:dyDescent="0.4">
      <c r="B249" s="15" t="s">
        <v>258</v>
      </c>
      <c r="C249" s="103" t="str">
        <f>IF(
  NOT(Receives_reference_trajectory),
  IF(
    C246,
    "The net expenditure path in " &amp; Country &amp; "'s latest MTP ensures the primary structural balance is above the minimum level of the Commission's prior guidance at the end of the adjustment period.",
    IF(
      C247,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Not applicable.</v>
      </c>
      <c r="J249" s="72"/>
      <c r="K249" s="72"/>
      <c r="L249" s="72"/>
      <c r="M249" s="72"/>
      <c r="N249" s="72"/>
      <c r="O249" s="72"/>
      <c r="P249" s="72"/>
      <c r="Q249" s="72"/>
      <c r="R249" s="72"/>
      <c r="S249" s="72"/>
      <c r="T249" s="72"/>
      <c r="U249" s="72"/>
      <c r="V249" s="72"/>
      <c r="W249" s="72"/>
      <c r="X249" s="72"/>
      <c r="Y249" s="72"/>
      <c r="Z249" s="72"/>
      <c r="AA249" s="72"/>
      <c r="AB249" s="72"/>
      <c r="AC249" s="72"/>
      <c r="AD249" s="72"/>
      <c r="AE249" s="72"/>
      <c r="AF249" s="72"/>
      <c r="AG249" s="72"/>
      <c r="AH249" s="72"/>
      <c r="AI249" s="72"/>
    </row>
    <row r="250" spans="2:35" ht="15.75" x14ac:dyDescent="0.5">
      <c r="B250" s="80"/>
      <c r="C250" s="103"/>
      <c r="J250" s="72"/>
      <c r="K250" s="72"/>
      <c r="L250" s="72"/>
      <c r="M250" s="72"/>
      <c r="N250" s="72"/>
      <c r="O250" s="72"/>
      <c r="P250" s="72"/>
      <c r="Q250" s="72"/>
      <c r="R250" s="72"/>
      <c r="S250" s="72"/>
      <c r="T250" s="72"/>
      <c r="U250" s="72"/>
      <c r="V250" s="72"/>
      <c r="W250" s="72"/>
      <c r="X250" s="72"/>
      <c r="Y250" s="72"/>
      <c r="Z250" s="72"/>
      <c r="AA250" s="72"/>
      <c r="AB250" s="72"/>
      <c r="AC250" s="72"/>
      <c r="AD250" s="72"/>
      <c r="AE250" s="72"/>
      <c r="AF250" s="72"/>
      <c r="AG250" s="72"/>
      <c r="AH250" s="72"/>
      <c r="AI250" s="72"/>
    </row>
    <row r="251" spans="2:35" ht="20.25" customHeight="1" x14ac:dyDescent="0.7">
      <c r="B251" s="14" t="s">
        <v>523</v>
      </c>
      <c r="C251" s="19"/>
      <c r="J251" s="72"/>
      <c r="K251" s="72"/>
      <c r="L251" s="72"/>
      <c r="M251" s="72"/>
      <c r="N251" s="72"/>
      <c r="O251" s="72"/>
      <c r="P251" s="72"/>
      <c r="Q251" s="72"/>
      <c r="R251" s="72"/>
      <c r="S251" s="72"/>
      <c r="T251" s="72"/>
      <c r="U251" s="72"/>
      <c r="V251" s="72"/>
      <c r="W251" s="72"/>
      <c r="X251" s="72"/>
      <c r="Y251" s="72"/>
      <c r="Z251" s="72"/>
      <c r="AA251" s="72"/>
      <c r="AB251" s="72"/>
      <c r="AC251" s="72"/>
      <c r="AD251" s="72"/>
      <c r="AE251" s="72"/>
      <c r="AF251" s="72"/>
      <c r="AG251" s="72"/>
      <c r="AH251" s="72"/>
      <c r="AI251" s="72"/>
    </row>
    <row r="252" spans="2:35" ht="18" x14ac:dyDescent="0.55000000000000004">
      <c r="B252" s="51" t="s">
        <v>961</v>
      </c>
      <c r="C252" s="19"/>
      <c r="J252" s="72"/>
      <c r="K252" s="72"/>
      <c r="L252" s="72"/>
      <c r="M252" s="72"/>
      <c r="N252" s="72"/>
      <c r="O252" s="72"/>
      <c r="P252" s="72"/>
      <c r="Q252" s="72"/>
      <c r="R252" s="72"/>
      <c r="S252" s="72"/>
      <c r="T252" s="72"/>
      <c r="U252" s="72"/>
      <c r="V252" s="72"/>
      <c r="W252" s="72"/>
      <c r="X252" s="72"/>
      <c r="Y252" s="72"/>
      <c r="Z252" s="72"/>
      <c r="AA252" s="72"/>
      <c r="AB252" s="72"/>
      <c r="AC252" s="72"/>
      <c r="AD252" s="72"/>
      <c r="AE252" s="72"/>
      <c r="AF252" s="72"/>
      <c r="AG252" s="72"/>
      <c r="AH252" s="72"/>
      <c r="AI252" s="72"/>
    </row>
    <row r="253" spans="2:35" customFormat="1" ht="15.75" x14ac:dyDescent="0.5">
      <c r="B253" s="80" t="s">
        <v>511</v>
      </c>
    </row>
    <row r="254" spans="2:35" x14ac:dyDescent="0.4">
      <c r="B254" t="s">
        <v>453</v>
      </c>
      <c r="C254" s="16" t="b">
        <f>IF(
  NOT(Receives_reference_trajectory),
  "Not applicable",
  MAX(
    _xlfn.CHOOSECOLS(
      53:53,
      _xlfn.SEQUENCE(
        1,
        _xlfn.XMATCH(AdjustmentPeriodEnd+10,46:46,1) - _xlfn.XMATCH(AdjustmentPeriodEnd,46:46,0),
        _xlfn.XMATCH(AdjustmentPeriodEnd,46:46,0) + 1
      )
    )
  ) &lt;= TFEU_Debt
)</f>
        <v>0</v>
      </c>
      <c r="J254" s="72"/>
      <c r="K254" s="72"/>
      <c r="L254" s="72"/>
      <c r="M254" s="72"/>
      <c r="N254" s="72"/>
      <c r="O254" s="72"/>
      <c r="P254" s="72"/>
      <c r="Q254" s="72"/>
      <c r="R254" s="72"/>
      <c r="S254" s="72"/>
      <c r="T254" s="72"/>
      <c r="U254" s="72"/>
      <c r="V254" s="72"/>
      <c r="W254" s="72"/>
      <c r="X254" s="72"/>
      <c r="Y254" s="72"/>
      <c r="Z254" s="72"/>
      <c r="AA254" s="72"/>
      <c r="AB254" s="72"/>
      <c r="AC254" s="72"/>
      <c r="AD254" s="72"/>
      <c r="AE254" s="72"/>
      <c r="AF254" s="72"/>
      <c r="AG254" s="72"/>
      <c r="AH254" s="72"/>
      <c r="AI254" s="72"/>
    </row>
    <row r="255" spans="2:35" ht="20.25" customHeight="1" x14ac:dyDescent="0.4">
      <c r="B255" t="s">
        <v>362</v>
      </c>
      <c r="C255" s="19"/>
      <c r="E255" s="19"/>
      <c r="J255" s="17"/>
    </row>
    <row r="256" spans="2:35" x14ac:dyDescent="0.4">
      <c r="B256" s="13" t="s">
        <v>356</v>
      </c>
      <c r="C256" s="16" t="b" cm="1">
        <f t="array" ref="C256">IF(OR(NOT(Receives_reference_trajectory),C254),"Not applicable",
 IF(_xlfn.XMATCH(AdjustmentPeriodEnd+10,46:46,1)-_xlfn.XMATCH(AdjustmentPeriodEnd,46:46,0)&lt;=0,TRUE,
   MAX(
     _xlfn.CHOOSECOLS(53:53,_xlfn.SEQUENCE(1,_xlfn.XMATCH(AdjustmentPeriodEnd+10,46:46,1)-_xlfn.XMATCH(AdjustmentPeriodEnd,46:46,0),_xlfn.XMATCH(AdjustmentPeriodEnd,46:46,0)+1)) -
     _xlfn.CHOOSECOLS(53:53,_xlfn.SEQUENCE(1,_xlfn.XMATCH(AdjustmentPeriodEnd+10,46:46,1)-_xlfn.XMATCH(AdjustmentPeriodEnd,46:46,0),_xlfn.XMATCH(AdjustmentPeriodEnd,46:46,0)))
   )&lt;=0
 ))</f>
        <v>1</v>
      </c>
      <c r="E256" s="19"/>
      <c r="J256" s="17"/>
    </row>
    <row r="257" spans="2:35" x14ac:dyDescent="0.4">
      <c r="B257" s="13" t="s">
        <v>357</v>
      </c>
      <c r="C257" s="16" t="b" cm="1">
        <f t="array" ref="C257">IF(OR(NOT(Receives_reference_trajectory),C254),"Not applicable",
 IF(_xlfn.XMATCH(AdjustmentPeriodEnd+10,46:46,1)-_xlfn.XMATCH(AdjustmentPeriodEnd,46:46,0)&lt;=0,TRUE,
   MAX(
     _xlfn.CHOOSECOLS(76:76,_xlfn.SEQUENCE(1,_xlfn.XMATCH(AdjustmentPeriodEnd+10,46:46,1)-_xlfn.XMATCH(AdjustmentPeriodEnd,46:46,0),_xlfn.XMATCH(AdjustmentPeriodEnd,46:46,0)+1)) -
     _xlfn.CHOOSECOLS(76:76,_xlfn.SEQUENCE(1,_xlfn.XMATCH(AdjustmentPeriodEnd+10,46:46,1)-_xlfn.XMATCH(AdjustmentPeriodEnd,46:46,0),_xlfn.XMATCH(AdjustmentPeriodEnd,46:46,0)))
   )&lt;=0
 ))</f>
        <v>1</v>
      </c>
      <c r="E257" s="19"/>
      <c r="J257" s="17"/>
    </row>
    <row r="258" spans="2:35" x14ac:dyDescent="0.4">
      <c r="B258" s="13" t="s">
        <v>358</v>
      </c>
      <c r="C258" s="16" t="b" cm="1">
        <f t="array" ref="C258">IF(OR(NOT(Receives_reference_trajectory),C254),"Not applicable",
 IF(_xlfn.XMATCH(AdjustmentPeriodEnd+10,46:46,1)-_xlfn.XMATCH(AdjustmentPeriodEnd,46:46,0)&lt;=0,TRUE,
   MAX(
     _xlfn.CHOOSECOLS(77:77,_xlfn.SEQUENCE(1,_xlfn.XMATCH(AdjustmentPeriodEnd+10,46:46,1)-_xlfn.XMATCH(AdjustmentPeriodEnd,46:46,0),_xlfn.XMATCH(AdjustmentPeriodEnd,46:46,0)+1)) -
     _xlfn.CHOOSECOLS(77:77,_xlfn.SEQUENCE(1,_xlfn.XMATCH(AdjustmentPeriodEnd+10,46:46,1)-_xlfn.XMATCH(AdjustmentPeriodEnd,46:46,0),_xlfn.XMATCH(AdjustmentPeriodEnd,46:46,0)))
   )&lt;=0
 ))</f>
        <v>1</v>
      </c>
      <c r="E258" s="19"/>
      <c r="J258" s="17"/>
    </row>
    <row r="259" spans="2:35" x14ac:dyDescent="0.4">
      <c r="B259" s="13" t="s">
        <v>359</v>
      </c>
      <c r="C259" s="16" t="b" cm="1">
        <f t="array" ref="C259">IF(OR(NOT(Receives_reference_trajectory),C254),"Not applicable",
 IF(_xlfn.XMATCH(AdjustmentPeriodEnd+10,46:46,1)-_xlfn.XMATCH(AdjustmentPeriodEnd,46:46,0)&lt;=0,TRUE,
   MAX(
     _xlfn.CHOOSECOLS(78:78,_xlfn.SEQUENCE(1,_xlfn.XMATCH(AdjustmentPeriodEnd+10,46:46,1)-_xlfn.XMATCH(AdjustmentPeriodEnd,46:46,0),_xlfn.XMATCH(AdjustmentPeriodEnd,46:46,0)+1)) -
     _xlfn.CHOOSECOLS(78:78,_xlfn.SEQUENCE(1,_xlfn.XMATCH(AdjustmentPeriodEnd+10,46:46,1)-_xlfn.XMATCH(AdjustmentPeriodEnd,46:46,0),_xlfn.XMATCH(AdjustmentPeriodEnd,46:46,0)))
   )&lt;=0
 ))</f>
        <v>1</v>
      </c>
      <c r="E259" s="19"/>
      <c r="J259" s="17"/>
    </row>
    <row r="260" spans="2:35" x14ac:dyDescent="0.4">
      <c r="B260" s="13" t="s">
        <v>360</v>
      </c>
      <c r="C260" s="16" t="b" cm="1">
        <f t="array" ref="C260">IF(OR(NOT(Receives_reference_trajectory),C254),"Not applicable",
 IF(_xlfn.XMATCH(AdjustmentPeriodEnd+5,46:46,1)-_xlfn.XMATCH(AdjustmentPeriodEnd,46:46,0)&lt;=0,TRUE,
   INDEX(88:88,_xlfn.XMATCH(AdjustmentPeriodEnd+5,46:46,1)) &lt; INDEX(88:88,_xlfn.XMATCH(AdjustmentPeriodEnd,46:46,0))
 ))</f>
        <v>1</v>
      </c>
      <c r="E260" s="19"/>
      <c r="J260" s="17"/>
    </row>
    <row r="261" spans="2:35" x14ac:dyDescent="0.4">
      <c r="B261" t="s">
        <v>361</v>
      </c>
      <c r="C261" s="16" t="b" cm="1">
        <f t="array" ref="C261">IF(
  NOT(Receives_reference_trajectory),
  "Not applicable",
  IF(
    C254,
    TRUE,
    AND(
      IF(_xlfn.XMATCH(AdjustmentPeriodEnd+10,46:46,1)-_xlfn.XMATCH(AdjustmentPeriodEnd,46:46,0)&lt;=0,TRUE,
         MAX(
           _xlfn.CHOOSECOLS(53:53,_xlfn.SEQUENCE(1,_xlfn.XMATCH(AdjustmentPeriodEnd+10,46:46,1)-_xlfn.XMATCH(AdjustmentPeriodEnd,46:46,0),_xlfn.XMATCH(AdjustmentPeriodEnd,46:46,0)+1))
           -_xlfn.CHOOSECOLS(53:53,_xlfn.SEQUENCE(1,_xlfn.XMATCH(AdjustmentPeriodEnd+10,46:46,1)-_xlfn.XMATCH(AdjustmentPeriodEnd,46:46,0),_xlfn.XMATCH(AdjustmentPeriodEnd,46:46,0)))
         )&lt;=0
      ),
      IF(_xlfn.XMATCH(AdjustmentPeriodEnd+10,46:46,1)-_xlfn.XMATCH(AdjustmentPeriodEnd,46:46,0)&lt;=0,TRUE,
         MAX(
           _xlfn.CHOOSECOLS(76:76,_xlfn.SEQUENCE(1,_xlfn.XMATCH(AdjustmentPeriodEnd+10,46:46,1)-_xlfn.XMATCH(AdjustmentPeriodEnd,46:46,0),_xlfn.XMATCH(AdjustmentPeriodEnd,46:46,0)+1))
           -_xlfn.CHOOSECOLS(76:76,_xlfn.SEQUENCE(1,_xlfn.XMATCH(AdjustmentPeriodEnd+10,46:46,1)-_xlfn.XMATCH(AdjustmentPeriodEnd,46:46,0),_xlfn.XMATCH(AdjustmentPeriodEnd,46:46,0)))
         )&lt;=0
      ),
      IF(_xlfn.XMATCH(AdjustmentPeriodEnd+10,46:46,1)-_xlfn.XMATCH(AdjustmentPeriodEnd,46:46,0)&lt;=0,TRUE,
         MAX(
           _xlfn.CHOOSECOLS(77:77,_xlfn.SEQUENCE(1,_xlfn.XMATCH(AdjustmentPeriodEnd+10,46:46,1)-_xlfn.XMATCH(AdjustmentPeriodEnd,46:46,0),_xlfn.XMATCH(AdjustmentPeriodEnd,46:46,0)+1))
           -_xlfn.CHOOSECOLS(77:77,_xlfn.SEQUENCE(1,_xlfn.XMATCH(AdjustmentPeriodEnd+10,46:46,1)-_xlfn.XMATCH(AdjustmentPeriodEnd,46:46,0),_xlfn.XMATCH(AdjustmentPeriodEnd,46:46,0)))
         )&lt;=0
      ),
      IF(_xlfn.XMATCH(AdjustmentPeriodEnd+10,46:46,1)-_xlfn.XMATCH(AdjustmentPeriodEnd,46:46,0)&lt;=0,TRUE,
         MAX(
           _xlfn.CHOOSECOLS(78:78,_xlfn.SEQUENCE(1,_xlfn.XMATCH(AdjustmentPeriodEnd+10,46:46,1)-_xlfn.XMATCH(AdjustmentPeriodEnd,46:46,0),_xlfn.XMATCH(AdjustmentPeriodEnd,46:46,0)+1))
           -_xlfn.CHOOSECOLS(78:78,_xlfn.SEQUENCE(1,_xlfn.XMATCH(AdjustmentPeriodEnd+10,46:46,1)-_xlfn.XMATCH(AdjustmentPeriodEnd,46:46,0),_xlfn.XMATCH(AdjustmentPeriodEnd,46:46,0)))
         )&lt;=0
      ),
      $D$59&gt;=70
    )
  )
)</f>
        <v>1</v>
      </c>
      <c r="E261" s="19"/>
      <c r="J261" s="17"/>
    </row>
    <row r="262" spans="2:35" ht="20.25" customHeight="1" x14ac:dyDescent="0.4">
      <c r="B262" s="15" t="s">
        <v>258</v>
      </c>
      <c r="C262" s="103" t="str">
        <f>IF(Receives_reference_trajectory,IF(C254,Country&amp;"'s planned net expenditure ensures gross government debt remains at prudent levels below 60% over the medium-term.",IF(C261,Country&amp;"'s planned net expenditure ensures gross government debt meets all risk-based debt requirements for a plausible downward path.",Country&amp;"'s planned net expenditure ensures gross government debt does not meet all risk-based debt requirements for a plausible downward path.")),NA())</f>
        <v>Greece's planned net expenditure ensures gross government debt meets all risk-based debt requirements for a plausible downward path.</v>
      </c>
      <c r="E262" s="19"/>
      <c r="J262" s="17"/>
    </row>
    <row r="263" spans="2:35" ht="20.25" customHeight="1" x14ac:dyDescent="0.4">
      <c r="C263" s="103"/>
      <c r="E263" s="19"/>
      <c r="J263" s="17"/>
    </row>
    <row r="264" spans="2:35" ht="15.75" x14ac:dyDescent="0.5">
      <c r="B264" s="80" t="s">
        <v>454</v>
      </c>
      <c r="C264" s="38"/>
      <c r="J264" s="72"/>
      <c r="K264" s="72"/>
      <c r="L264" s="72"/>
      <c r="M264" s="72"/>
      <c r="N264" s="72"/>
      <c r="O264" s="72"/>
      <c r="P264" s="72"/>
      <c r="Q264" s="72"/>
      <c r="R264" s="72"/>
      <c r="S264" s="72"/>
      <c r="T264" s="72"/>
      <c r="U264" s="72"/>
      <c r="V264" s="72"/>
      <c r="W264" s="72"/>
      <c r="X264" s="72"/>
      <c r="Y264" s="72"/>
      <c r="Z264" s="72"/>
      <c r="AA264" s="72"/>
      <c r="AB264" s="72"/>
      <c r="AC264" s="72"/>
      <c r="AD264" s="72"/>
      <c r="AE264" s="72"/>
      <c r="AF264" s="72"/>
      <c r="AG264" s="72"/>
      <c r="AH264" s="72"/>
      <c r="AI264" s="72"/>
    </row>
    <row r="265" spans="2:35" x14ac:dyDescent="0.4">
      <c r="B265" t="s">
        <v>513</v>
      </c>
      <c r="C265" s="16" t="e" cm="1">
        <f t="array" ref="C265">IF(
  Receives_reference_trajectory,
  NA(),
  MAX(IF((46:46&gt;AdjustmentPeriodEnd)*(46:46&lt;=AdjustmentPeriodEnd+10), 53:53)) &lt;= TFEU_Debt
)</f>
        <v>#N/A</v>
      </c>
      <c r="J265" s="72"/>
      <c r="K265" s="72"/>
      <c r="L265" s="72"/>
      <c r="M265" s="72"/>
      <c r="N265" s="72"/>
      <c r="O265" s="72"/>
      <c r="P265" s="72"/>
      <c r="Q265" s="72"/>
      <c r="R265" s="72"/>
      <c r="S265" s="72"/>
      <c r="T265" s="72"/>
      <c r="U265" s="72"/>
      <c r="V265" s="72"/>
      <c r="W265" s="72"/>
      <c r="X265" s="72"/>
      <c r="Y265" s="72"/>
      <c r="Z265" s="72"/>
      <c r="AA265" s="72"/>
      <c r="AB265" s="72"/>
      <c r="AC265" s="72"/>
      <c r="AD265" s="72"/>
      <c r="AE265" s="72"/>
      <c r="AF265" s="72"/>
      <c r="AG265" s="72"/>
      <c r="AH265" s="72"/>
      <c r="AI265" s="72"/>
    </row>
    <row r="266" spans="2:35" ht="19.5" customHeight="1" x14ac:dyDescent="0.4">
      <c r="B266" s="15" t="s">
        <v>258</v>
      </c>
      <c r="C266" s="103" t="str">
        <f>IF(
  ISNA(C265),
  "Not applicable",
  IF(
    C265,
    Country &amp; "'s debt remains below the TFEU debt reference level in each of the ten years following the adjustment period.",
    Country &amp; "'s debt breaches the TFEU debt reference level in one or more of the ten years following the adjustment period."
  )
)</f>
        <v>Not applicable</v>
      </c>
      <c r="E266" s="19"/>
      <c r="J266" s="17"/>
    </row>
    <row r="267" spans="2:35" ht="19.5" customHeight="1" x14ac:dyDescent="0.4">
      <c r="C267" s="38"/>
      <c r="E267" s="19"/>
      <c r="J267" s="17"/>
    </row>
    <row r="268" spans="2:35" ht="18" x14ac:dyDescent="0.55000000000000004">
      <c r="B268" s="51" t="s">
        <v>962</v>
      </c>
      <c r="C268" s="93"/>
      <c r="E268" s="19"/>
      <c r="J268" s="17"/>
    </row>
    <row r="269" spans="2:35" customFormat="1" ht="15.75" x14ac:dyDescent="0.5">
      <c r="B269" s="80" t="s">
        <v>511</v>
      </c>
    </row>
    <row r="270" spans="2:35" x14ac:dyDescent="0.4">
      <c r="B270" t="s">
        <v>498</v>
      </c>
      <c r="C270" s="16" t="b" cm="1">
        <f t="array" ref="C270">IF(
  Receives_reference_trajectory,
  IFERROR(
    AND(
      _xlfn._xlws.FILTER(
        50:50,
        (46:46&gt;=MTP_YearT)*(46:46&lt;=AdjustmentPeriodEnd)
      ) &gt; -TFEU_Deficit
    ),
    NA()
  ),
  NA()
)</f>
        <v>1</v>
      </c>
      <c r="E270" s="19"/>
      <c r="J270" s="17"/>
    </row>
    <row r="271" spans="2:35" x14ac:dyDescent="0.4">
      <c r="B271" t="s">
        <v>499</v>
      </c>
      <c r="C271" s="16" t="b" cm="1">
        <f t="array" ref="C271">IF(
  Receives_reference_trajectory,
  IFERROR(
    AND(
      _xlfn._xlws.FILTER(
        50:50,
        (46:46&gt;=AdjustmentPeriodEnd)*(46:46&lt;=AdjustmentPeriodEnd+10)
      ) &gt; -TFEU_Deficit
    ),
    NA()
  ),
  NA()
)</f>
        <v>1</v>
      </c>
      <c r="E271" s="19"/>
      <c r="J271" s="17"/>
    </row>
    <row r="272" spans="2:35" ht="20.25" customHeight="1" x14ac:dyDescent="0.4">
      <c r="B272" s="15" t="s">
        <v>258</v>
      </c>
      <c r="C272" s="103" t="str">
        <f>IF(
  Receives_reference_trajectory,
  IF(
    C271,
    IF(
      C270,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Greece's net expenditure path maintains the government deficit below 3% of GDP throughout the adjustment period and over the medium term.</v>
      </c>
      <c r="E272" s="19"/>
      <c r="J272" s="17"/>
    </row>
    <row r="273" spans="2:35" ht="20.25" customHeight="1" x14ac:dyDescent="0.4">
      <c r="C273" s="103"/>
      <c r="E273" s="19"/>
      <c r="J273" s="17"/>
    </row>
    <row r="274" spans="2:35" ht="15.75" x14ac:dyDescent="0.5">
      <c r="B274" s="80" t="s">
        <v>454</v>
      </c>
      <c r="C274" s="38"/>
      <c r="J274" s="72"/>
      <c r="K274" s="72"/>
      <c r="L274" s="72"/>
      <c r="M274" s="72"/>
      <c r="N274" s="72"/>
      <c r="O274" s="72"/>
      <c r="P274" s="72"/>
      <c r="Q274" s="72"/>
      <c r="R274" s="72"/>
      <c r="S274" s="72"/>
      <c r="T274" s="72"/>
      <c r="U274" s="72"/>
      <c r="V274" s="72"/>
      <c r="W274" s="72"/>
      <c r="X274" s="72"/>
      <c r="Y274" s="72"/>
      <c r="Z274" s="72"/>
      <c r="AA274" s="72"/>
      <c r="AB274" s="72"/>
      <c r="AC274" s="72"/>
      <c r="AD274" s="72"/>
      <c r="AE274" s="72"/>
      <c r="AF274" s="72"/>
      <c r="AG274" s="72"/>
      <c r="AH274" s="72"/>
      <c r="AI274" s="72"/>
    </row>
    <row r="275" spans="2:35" x14ac:dyDescent="0.4">
      <c r="B275" t="s">
        <v>514</v>
      </c>
      <c r="C275" s="16" t="e" cm="1">
        <f t="array" ref="C275">IF(
  Receives_reference_trajectory,
  NA(),
  MIN(IF((46:46&gt;=AdjustmentPeriodEnd)*(46:46&lt;=AdjustmentPeriodEnd+10), 50:50)) &gt;= -TFEU_Deficit
)</f>
        <v>#N/A</v>
      </c>
      <c r="J275" s="72"/>
      <c r="K275" s="72"/>
      <c r="L275" s="72"/>
      <c r="M275" s="72"/>
      <c r="N275" s="72"/>
      <c r="O275" s="72"/>
      <c r="P275" s="72"/>
      <c r="Q275" s="72"/>
      <c r="R275" s="72"/>
      <c r="S275" s="72"/>
      <c r="T275" s="72"/>
      <c r="U275" s="72"/>
      <c r="V275" s="72"/>
      <c r="W275" s="72"/>
      <c r="X275" s="72"/>
      <c r="Y275" s="72"/>
      <c r="Z275" s="72"/>
      <c r="AA275" s="72"/>
      <c r="AB275" s="72"/>
      <c r="AC275" s="72"/>
      <c r="AD275" s="72"/>
      <c r="AE275" s="72"/>
      <c r="AF275" s="72"/>
      <c r="AG275" s="72"/>
      <c r="AH275" s="72"/>
      <c r="AI275" s="72"/>
    </row>
    <row r="276" spans="2:35" x14ac:dyDescent="0.4">
      <c r="B276" s="2" t="s">
        <v>524</v>
      </c>
      <c r="C276" s="16" t="e" cm="1">
        <f t="array" ref="C276">IF(
  Receives_reference_trajectory,
  NA(),
  MIN(IF(46:46=AdjustmentPeriodEnd, 50:50)) &gt;= -TFEU_Deficit
)</f>
        <v>#N/A</v>
      </c>
      <c r="E276" s="19"/>
      <c r="J276" s="17"/>
    </row>
    <row r="277" spans="2:35" x14ac:dyDescent="0.4">
      <c r="B277" s="2" t="s">
        <v>525</v>
      </c>
      <c r="C277" s="16" t="e" cm="1">
        <f t="array" ref="C277">IF(
  Receives_reference_trajectory,
  NA(),
  MIN(IF((46:46&gt;AdjustmentPeriodEnd)*(46:46&lt;=AdjustmentPeriodEnd+10), 50:50)) &gt;= -TFEU_Deficit
)</f>
        <v>#N/A</v>
      </c>
      <c r="E277" s="19"/>
      <c r="J277" s="17"/>
    </row>
    <row r="278" spans="2:35" x14ac:dyDescent="0.4">
      <c r="B278"/>
      <c r="C278" s="16"/>
      <c r="J278" s="72"/>
      <c r="K278" s="72"/>
      <c r="L278" s="72"/>
      <c r="M278" s="72"/>
      <c r="N278" s="72"/>
      <c r="O278" s="72"/>
      <c r="P278" s="72"/>
      <c r="Q278" s="72"/>
      <c r="R278" s="72"/>
      <c r="S278" s="72"/>
      <c r="T278" s="72"/>
      <c r="U278" s="72"/>
      <c r="V278" s="72"/>
      <c r="W278" s="72"/>
      <c r="X278" s="72"/>
      <c r="Y278" s="72"/>
      <c r="Z278" s="72"/>
      <c r="AA278" s="72"/>
      <c r="AB278" s="72"/>
      <c r="AC278" s="72"/>
      <c r="AD278" s="72"/>
      <c r="AE278" s="72"/>
      <c r="AF278" s="72"/>
      <c r="AG278" s="72"/>
      <c r="AH278" s="72"/>
      <c r="AI278" s="72"/>
    </row>
    <row r="279" spans="2:35" ht="17.25" customHeight="1" x14ac:dyDescent="0.4">
      <c r="B279" s="15" t="s">
        <v>258</v>
      </c>
      <c r="C279" s="103" t="str">
        <f>IF(
  OR(ISNA(C276), ISNA(C277)),
  "Not applicable",
  IF(
    AND(C276, C277),
    Country &amp; "'s deficit remains below the TFEU reference level in the final year of the adjustment period and throughout the following ten years.",
    IF(
      AND(NOT(C276), C277),
      Country &amp; "'s deficit breaches the TFEU reference level in the final year of the adjustment period but remains below it in the following ten years.",
      IF(
        AND(C276, NOT(C277)),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Not applicable</v>
      </c>
      <c r="J279" s="72"/>
      <c r="K279" s="72"/>
      <c r="L279" s="72"/>
      <c r="M279" s="72"/>
      <c r="N279" s="72"/>
      <c r="O279" s="72"/>
      <c r="P279" s="72"/>
      <c r="Q279" s="72"/>
      <c r="R279" s="72"/>
      <c r="S279" s="72"/>
      <c r="T279" s="72"/>
      <c r="U279" s="72"/>
      <c r="V279" s="72"/>
      <c r="W279" s="72"/>
      <c r="X279" s="72"/>
      <c r="Y279" s="72"/>
      <c r="Z279" s="72"/>
      <c r="AA279" s="72"/>
      <c r="AB279" s="72"/>
      <c r="AC279" s="72"/>
      <c r="AD279" s="72"/>
      <c r="AE279" s="72"/>
      <c r="AF279" s="72"/>
      <c r="AG279" s="72"/>
      <c r="AH279" s="72"/>
      <c r="AI279" s="72"/>
    </row>
    <row r="280" spans="2:35" x14ac:dyDescent="0.4">
      <c r="C280" s="103"/>
      <c r="J280" s="72"/>
      <c r="K280" s="72"/>
      <c r="L280" s="72"/>
      <c r="M280" s="72"/>
      <c r="N280" s="72"/>
      <c r="O280" s="72"/>
      <c r="P280" s="72"/>
      <c r="Q280" s="72"/>
      <c r="R280" s="72"/>
      <c r="S280" s="72"/>
      <c r="T280" s="72"/>
      <c r="U280" s="72"/>
      <c r="V280" s="72"/>
      <c r="W280" s="72"/>
      <c r="X280" s="72"/>
      <c r="Y280" s="72"/>
      <c r="Z280" s="72"/>
      <c r="AA280" s="72"/>
      <c r="AB280" s="72"/>
      <c r="AC280" s="72"/>
      <c r="AD280" s="72"/>
      <c r="AE280" s="72"/>
      <c r="AF280" s="72"/>
      <c r="AG280" s="72"/>
      <c r="AH280" s="72"/>
      <c r="AI280" s="72"/>
    </row>
    <row r="281" spans="2:35" ht="18" x14ac:dyDescent="0.55000000000000004">
      <c r="B281" s="51" t="s">
        <v>963</v>
      </c>
      <c r="C281" s="38"/>
      <c r="E281" s="18"/>
    </row>
    <row r="282" spans="2:35" ht="16.899999999999999" customHeight="1" x14ac:dyDescent="0.7">
      <c r="B282" s="104"/>
      <c r="C282" s="105"/>
      <c r="D282" s="15" cm="1">
        <f t="array" ref="D282:I282">_xlfn.SEQUENCE(1, AdjustmentPeriodEnd-MTP_BaseYear+1, MTP_BaseYear)</f>
        <v>2023</v>
      </c>
      <c r="E282" s="15">
        <v>2024</v>
      </c>
      <c r="F282" s="18">
        <v>2025</v>
      </c>
      <c r="G282" s="15">
        <v>2026</v>
      </c>
      <c r="H282" s="15">
        <v>2027</v>
      </c>
      <c r="I282" s="15">
        <v>2028</v>
      </c>
    </row>
    <row r="283" spans="2:35" ht="13.5" customHeight="1" x14ac:dyDescent="0.4">
      <c r="B283" t="s">
        <v>214</v>
      </c>
      <c r="C283" s="38"/>
      <c r="D283" s="92" cm="1">
        <f t="array" ref="D283:I283">INDEX(37:37, COLUMN($D$37) + _xlfn.SEQUENCE(1, COLUMNS(_xlfn.ANCHORARRAY(D282))) - 1)</f>
        <v>1.9</v>
      </c>
      <c r="E283" s="92">
        <v>1.9</v>
      </c>
      <c r="F283" s="92">
        <v>2</v>
      </c>
      <c r="G283" s="92">
        <v>2.1</v>
      </c>
      <c r="H283" s="92">
        <v>2.2000000000000002</v>
      </c>
      <c r="I283" s="92">
        <v>2.2999999999999998</v>
      </c>
    </row>
    <row r="284" spans="2:35" ht="13.5" customHeight="1" x14ac:dyDescent="0.4">
      <c r="B284" s="7" t="s">
        <v>346</v>
      </c>
      <c r="C284" s="94"/>
      <c r="E284" s="101">
        <f>IF(ISNUMBER(E283),E283-D283,"")</f>
        <v>0</v>
      </c>
      <c r="F284" s="101">
        <f t="shared" ref="F284:M284" si="37">IF(ISNUMBER(F283),F283-E283,"")</f>
        <v>0.10000000000000009</v>
      </c>
      <c r="G284" s="101">
        <f t="shared" si="37"/>
        <v>0.10000000000000009</v>
      </c>
      <c r="H284" s="101">
        <f t="shared" si="37"/>
        <v>0.10000000000000009</v>
      </c>
      <c r="I284" s="101">
        <f t="shared" si="37"/>
        <v>9.9999999999999645E-2</v>
      </c>
      <c r="J284" s="101" t="str">
        <f t="shared" si="37"/>
        <v/>
      </c>
      <c r="K284" s="101" t="str">
        <f t="shared" si="37"/>
        <v/>
      </c>
      <c r="L284" s="101" t="str">
        <f t="shared" si="37"/>
        <v/>
      </c>
      <c r="M284" s="101" t="str">
        <f t="shared" si="37"/>
        <v/>
      </c>
      <c r="N284" s="101"/>
      <c r="O284" s="101"/>
    </row>
    <row r="285" spans="2:35" x14ac:dyDescent="0.4">
      <c r="B285"/>
      <c r="C285" s="38"/>
      <c r="E285" s="101"/>
      <c r="F285" s="101"/>
      <c r="G285" s="101"/>
      <c r="H285" s="101"/>
      <c r="I285" s="101"/>
      <c r="J285" s="101"/>
      <c r="K285" s="101"/>
      <c r="L285" s="101"/>
      <c r="M285" s="101"/>
      <c r="N285" s="101"/>
      <c r="O285" s="101"/>
    </row>
    <row r="286" spans="2:35" x14ac:dyDescent="0.4">
      <c r="B286" t="s">
        <v>375</v>
      </c>
      <c r="C286" s="98" t="b" cm="1">
        <f t="array" ref="C286">IF(
  Receives_reference_trajectory,
  MAX(ROUND(_xlfn._xlws.FILTER(284:284, ISNUMBER(282:282)*(282:282&gt;=MTP_YearT+1)*(282:282&lt;=AdjustmentPeriodEnd)), 1))
  =
  MIN(ROUND(_xlfn._xlws.FILTER(284:284, ISNUMBER(282:282)*(282:282&gt;=MTP_YearT+1)*(282:282&lt;=AdjustmentPeriodEnd)), 1)),
  NA()
)</f>
        <v>1</v>
      </c>
      <c r="D286" s="52"/>
    </row>
    <row r="287" spans="2:35" x14ac:dyDescent="0.4">
      <c r="B287" t="s">
        <v>353</v>
      </c>
      <c r="C287" s="98" t="b" cm="1">
        <f t="array" ref="C287">IF(
  Receives_reference_trajectory,
  MAX(
    _xlfn.DROP(
      ROUND(
        _xlfn._xlws.FILTER(284:284, ISNUMBER(282:282)*(282:282&gt;=MTP_YearT+1)*(282:282&lt;=AdjustmentPeriodEnd)),
        1
      ),
      ,1
    )
    -
    _xlfn.DROP(
      ROUND(
        _xlfn._xlws.FILTER(284:284, ISNUMBER(282:282)*(282:282&gt;=MTP_YearT+1)*(282:282&lt;=AdjustmentPeriodEnd)),
        1
      ),
      ,-1
    )
  )&lt;=0,
  NA()
)</f>
        <v>1</v>
      </c>
      <c r="D287" s="52"/>
    </row>
    <row r="288" spans="2:35" x14ac:dyDescent="0.4">
      <c r="B288" t="s">
        <v>354</v>
      </c>
      <c r="C288" s="98" t="b" cm="1">
        <f t="array" ref="C288">IF(
  Receives_reference_trajectory,
  AND(
    MAX(ROUND(_xlfn._xlws.FILTER(284:284,ISNUMBER(282:282)*(282:282&gt;=MTP_YearT+1)*(282:282&lt;=AdjustmentPeriodEnd)),1))=ROUND($C$289,1),
    MIN(ROUND(_xlfn._xlws.FILTER(284:284,ISNUMBER(282:282)*(282:282&gt;=MTP_YearT+1)*(282:282&lt;=AdjustmentPeriodEnd)),1))=ROUND($C$289,1)
  ),
  NA()
)</f>
        <v>1</v>
      </c>
      <c r="D288" s="52"/>
    </row>
    <row r="289" spans="2:35" x14ac:dyDescent="0.4">
      <c r="B289" s="3" t="s">
        <v>347</v>
      </c>
      <c r="C289" s="98" cm="1">
        <f t="array" ref="C289">IF(
  Receives_reference_trajectory,
  AVERAGE(
    _xlfn.DROP(
      _xlfn._xlws.FILTER(283:283, ISNUMBER(282:282)*(282:282&gt;=MTP_YearT+1)*(282:282&lt;=AdjustmentPeriodEnd)),
      ,1
    )
    -
    _xlfn.DROP(
      _xlfn._xlws.FILTER(283:283, ISNUMBER(282:282)*(282:282&gt;=MTP_YearT+1)*(282:282&lt;=AdjustmentPeriodEnd)),
      ,-1
    )
  ),
  NA()
)</f>
        <v>9.9999999999999936E-2</v>
      </c>
      <c r="D289" s="52"/>
    </row>
    <row r="290" spans="2:35" x14ac:dyDescent="0.4">
      <c r="B290" s="5" t="s">
        <v>348</v>
      </c>
      <c r="C290" s="98" t="b">
        <f>IF(Receives_reference_trajectory,AND(C286:C288),NA())</f>
        <v>1</v>
      </c>
      <c r="D290" s="52"/>
    </row>
    <row r="291" spans="2:35" x14ac:dyDescent="0.4">
      <c r="B291" s="3"/>
      <c r="C291" s="102"/>
      <c r="D291" s="52"/>
    </row>
    <row r="292" spans="2:35" x14ac:dyDescent="0.4">
      <c r="B292" s="15" t="s">
        <v>258</v>
      </c>
      <c r="C292" s="103" t="str">
        <f>IF(
  NOT(Receives_reference_trajectory),
  "Not applicable - "&amp;Country&amp;" is not required to comply with a reference trajectory.",
  "The time profile of the fiscal adjustment, measured as the change in the structural primary balance, is " &amp;
  IF(C286,"linear","non-linear") &amp; ". " &amp;
  "The adjustment effort " &amp; IF(C287,"does not rise","rises") &amp; " over the adjustment period, and it is " &amp;
  IF(C288,"proportional","not proportional") &amp;
  " to the total effort over the adjustment period. " &amp;
  IF(AND(C286,C287,C288),
     "Therefore the net expenditure path put forward in "&amp;Country&amp;"'s latest MTP is consistent with the no backloading safeguard clause.",
     "Therefore the net expenditure path put forward in "&amp;Country&amp;"'s latest MTP is not consistent with the no backloading safeguard clause."
  )
)</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Greece's latest MTP is consistent with the no backloading safeguard clause.</v>
      </c>
      <c r="D292" s="52"/>
    </row>
    <row r="293" spans="2:35" x14ac:dyDescent="0.4">
      <c r="C293" s="57"/>
      <c r="D293" s="52"/>
    </row>
    <row r="294" spans="2:35" ht="18" x14ac:dyDescent="0.55000000000000004">
      <c r="B294" s="51" t="s">
        <v>964</v>
      </c>
      <c r="C294" s="57"/>
      <c r="D294" s="52"/>
    </row>
    <row r="295" spans="2:35" x14ac:dyDescent="0.4">
      <c r="B295" t="s">
        <v>363</v>
      </c>
      <c r="C295" s="98" t="b">
        <f>'Step 1 - Set global parameters'!B21</f>
        <v>0</v>
      </c>
      <c r="D295" s="52"/>
    </row>
    <row r="296" spans="2:35" x14ac:dyDescent="0.4">
      <c r="B296" t="s">
        <v>368</v>
      </c>
      <c r="C296" s="98" t="e">
        <f>IF(ISNA('Step 1 - Set global parameters'!B22), NA(), 'Step 1 - Set global parameters'!B22)</f>
        <v>#N/A</v>
      </c>
      <c r="D296" s="52"/>
    </row>
    <row r="297" spans="2:35" x14ac:dyDescent="0.4">
      <c r="B297" t="s">
        <v>364</v>
      </c>
      <c r="C297" s="98" t="b">
        <f>'Step 1 - Set global parameters'!B23</f>
        <v>0</v>
      </c>
      <c r="D297" s="52"/>
    </row>
    <row r="298" spans="2:35" x14ac:dyDescent="0.4">
      <c r="B298" t="s">
        <v>761</v>
      </c>
      <c r="C298" s="98" t="e">
        <f>IF(ISNA('Step 1 - Set global parameters'!B24), NA(), 'Step 1 - Set global parameters'!B24)</f>
        <v>#N/A</v>
      </c>
      <c r="D298" s="52"/>
    </row>
    <row r="299" spans="2:35" x14ac:dyDescent="0.4">
      <c r="B299" t="s">
        <v>371</v>
      </c>
      <c r="C299" s="98" t="e" cm="1">
        <f t="array" ref="C299">IF(
  NOT(C295),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299" s="52"/>
    </row>
    <row r="300" spans="2:35" x14ac:dyDescent="0.4">
      <c r="B300" t="s">
        <v>365</v>
      </c>
      <c r="C300" s="98" t="e" cm="1">
        <f t="array" ref="C300">IF(
  ISNA($C$299),
  NA(),
  IF(
    $C$299=TRUE,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300" s="52"/>
    </row>
    <row r="301" spans="2:35" x14ac:dyDescent="0.4">
      <c r="B301" t="s">
        <v>372</v>
      </c>
      <c r="C301" s="98" t="e">
        <f>IF(NOT(C297),NA(),C236)</f>
        <v>#N/A</v>
      </c>
      <c r="D301" s="52"/>
    </row>
    <row r="302" spans="2:35" x14ac:dyDescent="0.4">
      <c r="B302" t="s">
        <v>374</v>
      </c>
      <c r="C302" s="98" t="e">
        <f>IF(
  NOT($C$297),
  NA(),
  IF(
    Debt_EDP_Deadline &gt; AdjustmentPeriodEnd,
    "Deadline year exceeds last year of reference trajectory.",
    "Requires manual review — test not implemented."
  )
)</f>
        <v>#N/A</v>
      </c>
      <c r="J302" s="72"/>
      <c r="K302" s="72"/>
      <c r="L302" s="72"/>
      <c r="M302" s="72"/>
      <c r="N302" s="72"/>
      <c r="O302" s="72"/>
      <c r="P302" s="72"/>
      <c r="Q302" s="72"/>
      <c r="R302" s="72"/>
      <c r="S302" s="72"/>
      <c r="T302" s="72"/>
      <c r="U302" s="72"/>
      <c r="V302" s="72"/>
      <c r="W302" s="72"/>
      <c r="X302" s="72"/>
      <c r="Y302" s="72"/>
      <c r="Z302" s="72"/>
      <c r="AA302" s="72"/>
      <c r="AB302" s="72"/>
      <c r="AC302" s="72"/>
      <c r="AD302" s="72"/>
      <c r="AE302" s="72"/>
      <c r="AF302" s="72"/>
      <c r="AG302" s="72"/>
      <c r="AH302" s="72"/>
      <c r="AI302" s="72"/>
    </row>
    <row r="303" spans="2:35" x14ac:dyDescent="0.4">
      <c r="B303" t="s">
        <v>379</v>
      </c>
      <c r="C303" s="98" t="e">
        <f>IF(
   OR(ISNA(C299), ISNA(C300), ISNA(C301), ISNA(C302), ISTEXT(C302)),
   NA(),
   AND(
      OR(
         AND(C295, OR(C299, C300)),
         AND(C297, C301, C302),
         AND(C295, NOT(C297), OR(C299, C300)),
         AND(C297, NOT(C295), C301, C302)
      )
   )
)</f>
        <v>#N/A</v>
      </c>
      <c r="J303" s="72"/>
      <c r="K303" s="72"/>
      <c r="L303" s="72"/>
      <c r="M303" s="72"/>
      <c r="N303" s="72"/>
      <c r="O303" s="72"/>
      <c r="P303" s="72"/>
      <c r="Q303" s="72"/>
      <c r="R303" s="72"/>
      <c r="S303" s="72"/>
      <c r="T303" s="72"/>
      <c r="U303" s="72"/>
      <c r="V303" s="72"/>
      <c r="W303" s="72"/>
      <c r="X303" s="72"/>
      <c r="Y303" s="72"/>
      <c r="Z303" s="72"/>
      <c r="AA303" s="72"/>
      <c r="AB303" s="72"/>
      <c r="AC303" s="72"/>
      <c r="AD303" s="72"/>
      <c r="AE303" s="72"/>
      <c r="AF303" s="72"/>
      <c r="AG303" s="72"/>
      <c r="AH303" s="72"/>
      <c r="AI303" s="72"/>
    </row>
    <row r="304" spans="2:35" x14ac:dyDescent="0.4">
      <c r="B304" s="15" t="s">
        <v>258</v>
      </c>
      <c r="C304" s="103" t="str">
        <f>IF(
  OR(C295,C297),
  IF(
    ISNA(C303),
    "The assessment of " &amp; Country &amp; "'s consistency with an excessive deficit procedure corrective path requires manual review.",
    IF(
      C303,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Greece.</v>
      </c>
      <c r="J304" s="72"/>
      <c r="K304" s="72"/>
      <c r="L304" s="72"/>
      <c r="M304" s="72"/>
      <c r="N304" s="72"/>
      <c r="O304" s="72"/>
      <c r="P304" s="72"/>
      <c r="Q304" s="72"/>
      <c r="R304" s="72"/>
      <c r="S304" s="72"/>
      <c r="T304" s="72"/>
      <c r="U304" s="72"/>
      <c r="V304" s="72"/>
      <c r="W304" s="72"/>
      <c r="X304" s="72"/>
      <c r="Y304" s="72"/>
      <c r="Z304" s="72"/>
      <c r="AA304" s="72"/>
      <c r="AB304" s="72"/>
      <c r="AC304" s="72"/>
      <c r="AD304" s="72"/>
      <c r="AE304" s="72"/>
      <c r="AF304" s="72"/>
      <c r="AG304" s="72"/>
      <c r="AH304" s="72"/>
      <c r="AI304" s="72"/>
    </row>
    <row r="305" spans="2:35" x14ac:dyDescent="0.4">
      <c r="B305"/>
      <c r="C305" s="98"/>
      <c r="J305" s="72"/>
      <c r="K305" s="72"/>
      <c r="L305" s="72"/>
      <c r="M305" s="72"/>
      <c r="N305" s="72"/>
      <c r="O305" s="72"/>
      <c r="P305" s="72"/>
      <c r="Q305" s="72"/>
      <c r="R305" s="72"/>
      <c r="S305" s="72"/>
      <c r="T305" s="72"/>
      <c r="U305" s="72"/>
      <c r="V305" s="72"/>
      <c r="W305" s="72"/>
      <c r="X305" s="72"/>
      <c r="Y305" s="72"/>
      <c r="Z305" s="72"/>
      <c r="AA305" s="72"/>
      <c r="AB305" s="72"/>
      <c r="AC305" s="72"/>
      <c r="AD305" s="72"/>
      <c r="AE305" s="72"/>
      <c r="AF305" s="72"/>
      <c r="AG305" s="72"/>
      <c r="AH305" s="72"/>
      <c r="AI305" s="72"/>
    </row>
    <row r="306" spans="2:35" ht="20.25" customHeight="1" x14ac:dyDescent="0.7">
      <c r="B306" s="14" t="s">
        <v>522</v>
      </c>
      <c r="C306" s="19"/>
      <c r="J306" s="72"/>
      <c r="K306" s="72"/>
      <c r="L306" s="72"/>
      <c r="M306" s="72"/>
      <c r="N306" s="72"/>
      <c r="O306" s="72"/>
      <c r="P306" s="72"/>
      <c r="Q306" s="72"/>
      <c r="R306" s="72"/>
      <c r="S306" s="72"/>
      <c r="T306" s="72"/>
      <c r="U306" s="72"/>
      <c r="V306" s="72"/>
      <c r="W306" s="72"/>
      <c r="X306" s="72"/>
      <c r="Y306" s="72"/>
      <c r="Z306" s="72"/>
      <c r="AA306" s="72"/>
      <c r="AB306" s="72"/>
      <c r="AC306" s="72"/>
      <c r="AD306" s="72"/>
      <c r="AE306" s="72"/>
      <c r="AF306" s="72"/>
      <c r="AG306" s="72"/>
      <c r="AH306" s="72"/>
      <c r="AI306" s="72"/>
    </row>
    <row r="307" spans="2:35" ht="18" x14ac:dyDescent="0.55000000000000004">
      <c r="B307" s="51" t="s">
        <v>965</v>
      </c>
      <c r="D307" s="18"/>
      <c r="J307" s="72"/>
      <c r="K307" s="72"/>
      <c r="L307" s="72" t="s">
        <v>256</v>
      </c>
      <c r="M307" s="72"/>
      <c r="N307" s="72"/>
      <c r="O307" s="72"/>
      <c r="P307" s="72"/>
      <c r="Q307" s="72"/>
      <c r="R307" s="72"/>
      <c r="S307" s="72"/>
      <c r="T307" s="72"/>
      <c r="U307" s="72"/>
      <c r="V307" s="72"/>
      <c r="W307" s="72"/>
      <c r="X307" s="72"/>
      <c r="Y307" s="72"/>
      <c r="Z307" s="72"/>
      <c r="AA307" s="72"/>
      <c r="AB307" s="72"/>
      <c r="AC307" s="72"/>
      <c r="AD307" s="72"/>
      <c r="AE307" s="72"/>
      <c r="AF307" s="72"/>
      <c r="AG307" s="72"/>
      <c r="AH307" s="72"/>
      <c r="AI307" s="72"/>
    </row>
    <row r="308" spans="2:35" x14ac:dyDescent="0.4">
      <c r="B308" t="s">
        <v>596</v>
      </c>
      <c r="C308" s="122" t="b">
        <f>(Country="Greece")</f>
        <v>1</v>
      </c>
    </row>
    <row r="309" spans="2:35" x14ac:dyDescent="0.4">
      <c r="B309" t="s">
        <v>381</v>
      </c>
      <c r="C309" s="16" t="b">
        <f>MAX(INDEX(53:53,1,COLUMN($D$46)):INDEX(53:53,1,COLUMN($D$46)+COLUMNS(_xlfn.ANCHORARRAY($D$46))-1))&gt;90</f>
        <v>1</v>
      </c>
      <c r="J309" s="72"/>
      <c r="K309" s="72"/>
      <c r="L309" s="72"/>
      <c r="M309" s="72"/>
      <c r="N309" s="72"/>
      <c r="O309" s="72"/>
      <c r="P309" s="72"/>
      <c r="Q309" s="72"/>
      <c r="R309" s="72"/>
      <c r="S309" s="72"/>
      <c r="T309" s="72"/>
      <c r="U309" s="72"/>
      <c r="V309" s="72"/>
      <c r="W309" s="72"/>
      <c r="X309" s="72"/>
      <c r="Y309" s="72"/>
      <c r="Z309" s="72"/>
      <c r="AA309" s="72"/>
      <c r="AB309" s="72"/>
      <c r="AC309" s="72"/>
      <c r="AD309" s="72"/>
      <c r="AE309" s="72"/>
      <c r="AF309" s="72"/>
      <c r="AG309" s="72"/>
      <c r="AH309" s="72"/>
      <c r="AI309" s="72"/>
    </row>
    <row r="310" spans="2:35" x14ac:dyDescent="0.4">
      <c r="B310" t="s">
        <v>382</v>
      </c>
      <c r="C310" s="122" t="b" cm="1">
        <f t="array" ref="C310">SUMPRODUCT(
  --(INDEX(75:75,1,COLUMN($D$46)):INDEX(75:75,1,COLUMN($D$46)+COLUMNS(_xlfn.ANCHORARRAY($D$46))-1)&gt;=60),
  --(INDEX(75:75,1,COLUMN($D$46)):INDEX(75:75,1,COLUMN($D$46)+COLUMNS(_xlfn.ANCHORARRAY($D$46))-1)&lt;=90)
)&gt;0</f>
        <v>0</v>
      </c>
      <c r="J310" s="72"/>
      <c r="K310" s="72"/>
      <c r="L310" s="72"/>
      <c r="M310" s="72"/>
      <c r="N310" s="72"/>
      <c r="O310" s="72"/>
      <c r="P310" s="72"/>
      <c r="Q310" s="72"/>
      <c r="R310" s="72"/>
      <c r="S310" s="72"/>
      <c r="T310" s="72"/>
      <c r="U310" s="72"/>
      <c r="V310" s="72"/>
      <c r="W310" s="72"/>
      <c r="X310" s="72"/>
      <c r="Y310" s="72"/>
      <c r="Z310" s="72"/>
      <c r="AA310" s="72"/>
      <c r="AB310" s="72"/>
      <c r="AC310" s="72"/>
      <c r="AD310" s="72"/>
      <c r="AE310" s="72"/>
      <c r="AF310" s="72"/>
      <c r="AG310" s="72"/>
      <c r="AH310" s="72"/>
      <c r="AI310" s="72"/>
    </row>
    <row r="311" spans="2:35" x14ac:dyDescent="0.4">
      <c r="B311" t="s">
        <v>267</v>
      </c>
      <c r="C311" s="122" t="b" cm="1">
        <f t="array" ref="C311">IF(
  C309,
  IFERROR(
    _xlfn.LET(
      _xlpm.yrs,_xlfn.ANCHORARRAY( $D$46),
      _xlpm.startYr, IF(OR('Step 1 - Set global parameters'!$B$21,'Step 1 - Set global parameters'!$B$23), Validation!$Q$6, MTP_BaseYear-1),
      _xlpm.debt, INDEX(53:53, COLUMN($D$46)+_xlfn.SEQUENCE(1, COLUMNS(_xlfn.ANCHORARRAY($D$46)), 0)),
      _xlpm.elig,
        (_xlpm.yrs&gt;=_xlpm.startYr)*
        (_xlpm.yrs&lt;=AdjustmentPeriodEnd)*
        (_xlpm.debt&gt;90)*
        IF(C308, _xlpm.yrs&lt;&gt;2033, TRUE),
      _xlpm.lastYr, LOOKUP(9^9, IF(_xlpm.elig, _xlpm.yrs)),
      _xlpm.startDebt, _xlfn.XLOOKUP(_xlpm.startYr, _xlpm.yrs, _xlpm.debt,,0),
      _xlpm.endDebt,   _xlfn.XLOOKUP(_xlpm.lastYr,  _xlpm.yrs, _xlpm.debt,,0),
      ((_xlpm.startDebt-_xlpm.endDebt)/(_xlpm.lastYr-_xlpm.startYr))&gt;=1
    ),
    TRUE
  ),
  NA()
)</f>
        <v>1</v>
      </c>
    </row>
    <row r="312" spans="2:35" x14ac:dyDescent="0.4">
      <c r="B312" t="s">
        <v>268</v>
      </c>
      <c r="C312" s="122" t="e" cm="1">
        <f t="array" ref="C312">IF(C310,IFERROR(
  (
    INDEX(53:53, COLUMN($D$46)+_xlfn.XMATCH(IF(OR('Step 1 - Set global parameters'!$B$21,'Step 1 - Set global parameters'!$B$23), Validation!$Q$6, MTP_BaseYear-1),_xlfn.ANCHORARRAY( $D$46), 1)-1)
    -
    INDEX(53:53, COLUMN($D$46)+_xlfn.XMATCH(
      LOOKUP(9^9, IF(
        (_xlfn.ANCHORARRAY($D$46)&gt;=IF(OR('Step 1 - Set global parameters'!$B$21,'Step 1 - Set global parameters'!$B$23), Validation!$Q$6, MTP_BaseYear-1))*
        (_xlfn.ANCHORARRAY($D$46)&lt;=AdjustmentPeriodEnd)*
        (INDEX(53:53, COLUMN($D$46)+_xlfn.SEQUENCE(1,COLUMNS(_xlfn.ANCHORARRAY($D$46)),0))&gt;TFEU_Debt),_xlfn.ANCHORARRAY(
        $D$46))
      ),_xlfn.ANCHORARRAY(
      $D$46), 1)-1)
  ) /
  (
    LOOKUP(9^9, IF(
      (_xlfn.ANCHORARRAY($D$46)&gt;=IF(OR('Step 1 - Set global parameters'!$B$21,'Step 1 - Set global parameters'!$B$23), Validation!$Q$6, MTP_BaseYear-1))*
      (_xlfn.ANCHORARRAY($D$46)&lt;=AdjustmentPeriodEnd)*
      (INDEX(53:53, COLUMN($D$46)+_xlfn.SEQUENCE(1,COLUMNS(_xlfn.ANCHORARRAY($D$46)),0))&gt;TFEU_Debt),_xlfn.ANCHORARRAY(
      $D$46))
    )
    - IF(OR('Step 1 - Set global parameters'!$B$21,'Step 1 - Set global parameters'!$B$23), Validation!$Q$6, MTP_BaseYear-1)
  )
  &gt;= 0.5,
  TRUE
),NA())</f>
        <v>#N/A</v>
      </c>
    </row>
    <row r="313" spans="2:35" x14ac:dyDescent="0.4">
      <c r="B313" s="15" t="s">
        <v>527</v>
      </c>
      <c r="C313" s="16" t="b">
        <f>IF(
  NOT(Receives_reference_trajectory),
  NA(),
  IF(
    OR(C309=TRUE, C310=TRUE),
    IF(
      OR(
        IF(C309=TRUE, C311=FALSE, FALSE),
        IF(C310=TRUE, C312=FALSE, FALSE)
      ),
      FALSE,
      TRUE
    ),
    NA()
  )
)</f>
        <v>1</v>
      </c>
    </row>
    <row r="314" spans="2:35" x14ac:dyDescent="0.4">
      <c r="C314" s="18"/>
    </row>
    <row r="315" spans="2:35" x14ac:dyDescent="0.4">
      <c r="B315" s="15" t="s">
        <v>266</v>
      </c>
      <c r="C315" s="103" t="str">
        <f>IF(
  NOT(Receives_reference_trajectory),
  Country &amp; " does not receive a reference trajectory and its MTP is not assessed against the debt sustainability safeguard.",
  IF(
    OR(C309=TRUE, C310=TRUE),
    IF(
      OR(
        IF(C309=TRUE, C311=FALSE, FALSE),
        IF(C310=TRUE, C312=FALSE, FALSE)
      ),
      "The debt sustainability safeguard applies and "&amp;Country&amp;"'s fiscal path is not compliant.",
      "The debt sustainability safeguard applies and "&amp;Country&amp;"'s fiscal path is compliant."
    ),
    "The debt sustainability safeguard does not apply as "&amp;Country&amp;"'s debt is below 60%."
  )
)</f>
        <v>The debt sustainability safeguard applies and Greece's fiscal path is compliant.</v>
      </c>
      <c r="E315" s="18"/>
    </row>
    <row r="316" spans="2:35" x14ac:dyDescent="0.4">
      <c r="C316" s="57"/>
      <c r="E316" s="18"/>
    </row>
    <row r="317" spans="2:35" ht="23.25" x14ac:dyDescent="0.7">
      <c r="B317" s="51" t="s">
        <v>966</v>
      </c>
      <c r="C317" s="14"/>
      <c r="E317" s="18"/>
    </row>
    <row r="318" spans="2:35" customFormat="1" ht="23.25" x14ac:dyDescent="0.7">
      <c r="B318" s="104"/>
      <c r="C318" s="105"/>
      <c r="D318" s="15" cm="1">
        <f t="array" ref="D318:I318">_xlfn.SEQUENCE(1, AdjustmentPeriodEnd-MTP_BaseYear+1, MTP_BaseYear)</f>
        <v>2023</v>
      </c>
      <c r="E318" s="15">
        <v>2024</v>
      </c>
      <c r="F318" s="18">
        <v>2025</v>
      </c>
      <c r="G318" s="15">
        <v>2026</v>
      </c>
      <c r="H318" s="15">
        <v>2027</v>
      </c>
      <c r="I318" s="15">
        <v>2028</v>
      </c>
    </row>
    <row r="319" spans="2:35" customFormat="1" x14ac:dyDescent="0.4">
      <c r="B319" t="s">
        <v>383</v>
      </c>
      <c r="C319" s="38"/>
      <c r="D319" s="92" cm="1">
        <f t="array" ref="D319:I319">INDEX(36:36, COLUMN($D$36) + _xlfn.SEQUENCE(1, COLUMNS(_xlfn.ANCHORARRAY(D318))) - 1)</f>
        <v>-1.5</v>
      </c>
      <c r="E319" s="92">
        <v>-1.5</v>
      </c>
      <c r="F319" s="92">
        <v>-1.1000000000000001</v>
      </c>
      <c r="G319" s="92">
        <v>-1.1000000000000001</v>
      </c>
      <c r="H319" s="92">
        <v>-1.2</v>
      </c>
      <c r="I319" s="92">
        <v>-1.3</v>
      </c>
      <c r="J319" s="92"/>
      <c r="K319" s="92"/>
      <c r="L319" s="92"/>
      <c r="M319" s="92"/>
      <c r="N319" s="92"/>
    </row>
    <row r="320" spans="2:35" customFormat="1" x14ac:dyDescent="0.4">
      <c r="B320" t="s">
        <v>214</v>
      </c>
      <c r="C320" s="38"/>
      <c r="D320" s="92" cm="1">
        <f t="array" ref="D320:I320">INDEX(37:37, COLUMN($D$37) + _xlfn.SEQUENCE(1, COLUMNS(_xlfn.ANCHORARRAY(D318))) - 1)</f>
        <v>1.9</v>
      </c>
      <c r="E320" s="92">
        <v>1.9</v>
      </c>
      <c r="F320" s="92">
        <v>2</v>
      </c>
      <c r="G320" s="92">
        <v>2.1</v>
      </c>
      <c r="H320" s="92">
        <v>2.2000000000000002</v>
      </c>
      <c r="I320" s="92">
        <v>2.2999999999999998</v>
      </c>
      <c r="J320" s="92"/>
      <c r="K320" s="92"/>
      <c r="L320" s="92"/>
      <c r="M320" s="92"/>
    </row>
    <row r="321" spans="2:35" customFormat="1" x14ac:dyDescent="0.4">
      <c r="B321" s="7" t="s">
        <v>384</v>
      </c>
      <c r="C321" s="94"/>
      <c r="D321" s="92"/>
      <c r="E321" s="92"/>
      <c r="F321" s="92">
        <f>IF(COUNT(E320,F320)=2, F320-E320, "")</f>
        <v>0.10000000000000009</v>
      </c>
      <c r="G321" s="92">
        <f t="shared" ref="G321:L321" si="38">IF(COUNT(F320,G320)=2, G320-F320, "")</f>
        <v>0.10000000000000009</v>
      </c>
      <c r="H321" s="92">
        <f t="shared" si="38"/>
        <v>0.10000000000000009</v>
      </c>
      <c r="I321" s="92">
        <f t="shared" si="38"/>
        <v>9.9999999999999645E-2</v>
      </c>
      <c r="J321" s="92" t="str">
        <f t="shared" si="38"/>
        <v/>
      </c>
      <c r="K321" s="92" t="str">
        <f t="shared" si="38"/>
        <v/>
      </c>
      <c r="L321" s="92" t="str">
        <f t="shared" si="38"/>
        <v/>
      </c>
    </row>
    <row r="322" spans="2:35" customFormat="1" x14ac:dyDescent="0.4">
      <c r="B322" t="s">
        <v>671</v>
      </c>
      <c r="D322" s="3" t="b">
        <f>IF(ISNUMBER(D318),D319&lt;-1.5,"")</f>
        <v>0</v>
      </c>
      <c r="E322" s="3" t="b">
        <f>IF(ISNUMBER(E318),E319&lt;-1.5,"")</f>
        <v>0</v>
      </c>
      <c r="F322" s="3" t="b">
        <f>IF(ISNUMBER(F318),F319&lt;-1.5,"")</f>
        <v>0</v>
      </c>
      <c r="G322" s="3" t="b">
        <f t="shared" ref="G322:M322" si="39">IF(ISNUMBER(G318),G319&lt;-1.5,"")</f>
        <v>0</v>
      </c>
      <c r="H322" s="3" t="b">
        <f t="shared" si="39"/>
        <v>0</v>
      </c>
      <c r="I322" s="3" t="b">
        <f t="shared" si="39"/>
        <v>0</v>
      </c>
      <c r="J322" s="3" t="str">
        <f t="shared" si="39"/>
        <v/>
      </c>
      <c r="K322" s="3" t="str">
        <f t="shared" si="39"/>
        <v/>
      </c>
      <c r="L322" s="3" t="str">
        <f t="shared" si="39"/>
        <v/>
      </c>
      <c r="M322" s="3" t="str">
        <f t="shared" si="39"/>
        <v/>
      </c>
    </row>
    <row r="323" spans="2:35" customFormat="1" x14ac:dyDescent="0.4">
      <c r="D323" s="3"/>
      <c r="E323" s="3"/>
      <c r="F323" s="3"/>
      <c r="G323" s="3"/>
      <c r="H323" s="3"/>
      <c r="I323" s="3"/>
    </row>
    <row r="324" spans="2:35" customFormat="1" x14ac:dyDescent="0.4">
      <c r="B324" t="s">
        <v>385</v>
      </c>
      <c r="C324" s="2" t="b" cm="1">
        <f t="array" ref="C324">IF(
  NOT(Receives_reference_trajectory),
  NA(),
  SUMPRODUCT(
    --(
      INDEX(322:322,1,COLUMN($D$318)):
      INDEX(322:322,1,COLUMN($D$318)+COLUMNS(_xlfn.ANCHORARRAY($D$318))-1)
    )
  )&gt;0
)</f>
        <v>0</v>
      </c>
    </row>
    <row r="325" spans="2:35" x14ac:dyDescent="0.4">
      <c r="B325" t="s">
        <v>306</v>
      </c>
      <c r="C325" s="16">
        <f>IF(Receives_reference_trajectory,IF(AdjustmentPeriod=4,0.4,0.25),NA())</f>
        <v>0.4</v>
      </c>
      <c r="E325" s="18"/>
    </row>
    <row r="326" spans="2:35" x14ac:dyDescent="0.4">
      <c r="B326" t="s">
        <v>473</v>
      </c>
      <c r="C326" s="122" t="e" cm="1">
        <f t="array" ref="C326">IF(
  NOT(Receives_reference_trajectory),
  NA(),
  IF(
    NOT(C324),
    NA(),
    SUMPRODUCT(
      --(_xlfn.TAKE(IFERROR(_xlfn.CHOOSECOLS(322:322, COLUMN($D$318)+_xlfn.SEQUENCE(1,COLUMNS(_xlfn.ANCHORARRAY($D$318)))-1), FALSE), , COLUMNS(_xlfn.ANCHORARRAY($D$318))-1)),
      --(_xlfn.DROP(_xlfn.CHOOSECOLS(321:321, COLUMN($D$318)+_xlfn.SEQUENCE(1,COLUMNS(_xlfn.ANCHORARRAY($D$318)))-1), , 1) &lt;= C325)
    )=0
  )
)</f>
        <v>#N/A</v>
      </c>
      <c r="E326" s="18"/>
    </row>
    <row r="327" spans="2:35" x14ac:dyDescent="0.4">
      <c r="B327"/>
      <c r="C327" s="16"/>
      <c r="E327" s="18"/>
    </row>
    <row r="328" spans="2:35" x14ac:dyDescent="0.4">
      <c r="B328" s="15" t="s">
        <v>266</v>
      </c>
      <c r="C328" s="103" t="str">
        <f>IF(
  NOT(Receives_reference_trajectory),
  Country &amp; " does not receive a reference trajectory and its MTP is not assessed against the deficit resilience safeguard.",
  IF(
    OR(NOT(C324), ISNA(C326)),
    "The deficit resilience safeguard does not apply, as the structural deficit does not exceed 1.5% of GDP during the adjustment period.",
    IF(
      C326,
      "The deficit resilience safeguard applies and " &amp; Country &amp; "'s fiscal path is compliant.",
      "The deficit resilience safeguard applies and " &amp; Country &amp; "'s fiscal path is not compliant."
    )
  )
)</f>
        <v>The deficit resilience safeguard does not apply, as the structural deficit does not exceed 1.5% of GDP during the adjustment period.</v>
      </c>
      <c r="E328" s="18"/>
    </row>
    <row r="329" spans="2:35" x14ac:dyDescent="0.4">
      <c r="C329" s="123"/>
      <c r="E329" s="18"/>
    </row>
    <row r="330" spans="2:35" ht="18" x14ac:dyDescent="0.55000000000000004">
      <c r="B330" s="129" t="s">
        <v>967</v>
      </c>
      <c r="D330" s="18"/>
      <c r="J330" s="72"/>
      <c r="K330" s="72"/>
      <c r="L330" s="72"/>
      <c r="M330" s="72"/>
      <c r="N330" s="72"/>
      <c r="O330" s="72"/>
      <c r="P330" s="72"/>
      <c r="Q330" s="72"/>
      <c r="R330" s="72"/>
      <c r="S330" s="72"/>
      <c r="T330" s="72"/>
      <c r="U330" s="72"/>
      <c r="V330" s="72"/>
      <c r="W330" s="72"/>
      <c r="X330" s="72"/>
      <c r="Y330" s="72"/>
      <c r="Z330" s="72"/>
      <c r="AA330" s="72"/>
      <c r="AB330" s="72"/>
      <c r="AC330" s="72"/>
      <c r="AD330" s="72"/>
      <c r="AE330" s="72"/>
      <c r="AF330" s="72"/>
      <c r="AG330" s="72"/>
      <c r="AH330" s="72"/>
      <c r="AI330" s="72"/>
    </row>
    <row r="331" spans="2:35" ht="14.25" x14ac:dyDescent="0.45">
      <c r="B331" s="130" t="s">
        <v>505</v>
      </c>
      <c r="D331" s="18"/>
      <c r="J331" s="72"/>
      <c r="K331" s="72"/>
      <c r="L331" s="72"/>
      <c r="M331" s="72"/>
      <c r="N331" s="72"/>
      <c r="O331" s="72"/>
      <c r="P331" s="72"/>
      <c r="Q331" s="72"/>
      <c r="R331" s="72"/>
      <c r="S331" s="72"/>
      <c r="T331" s="72"/>
      <c r="U331" s="72"/>
      <c r="V331" s="72"/>
      <c r="W331" s="72"/>
      <c r="X331" s="72"/>
      <c r="Y331" s="72"/>
      <c r="Z331" s="72"/>
      <c r="AA331" s="72"/>
      <c r="AB331" s="72"/>
      <c r="AC331" s="72"/>
      <c r="AD331" s="72"/>
      <c r="AE331" s="72"/>
      <c r="AF331" s="72"/>
      <c r="AG331" s="72"/>
      <c r="AH331" s="72"/>
      <c r="AI331" s="72"/>
    </row>
    <row r="332" spans="2:35" ht="14.25" x14ac:dyDescent="0.45">
      <c r="B332" s="130"/>
      <c r="D332" s="18"/>
      <c r="J332" s="72"/>
      <c r="K332" s="72"/>
      <c r="L332" s="72"/>
      <c r="M332" s="72"/>
      <c r="N332" s="72"/>
      <c r="O332" s="72"/>
      <c r="P332" s="72"/>
      <c r="Q332" s="72"/>
      <c r="R332" s="72"/>
      <c r="S332" s="72"/>
      <c r="T332" s="72"/>
      <c r="U332" s="72"/>
      <c r="V332" s="72"/>
      <c r="W332" s="72"/>
      <c r="X332" s="72"/>
      <c r="Y332" s="72"/>
      <c r="Z332" s="72"/>
      <c r="AA332" s="72"/>
      <c r="AB332" s="72"/>
      <c r="AC332" s="72"/>
      <c r="AD332" s="72"/>
      <c r="AE332" s="72"/>
      <c r="AF332" s="72"/>
      <c r="AG332" s="72"/>
      <c r="AH332" s="72"/>
      <c r="AI332" s="72"/>
    </row>
    <row r="333" spans="2:35" ht="15.75" x14ac:dyDescent="0.5">
      <c r="B333" s="133" t="s">
        <v>526</v>
      </c>
      <c r="D333" s="18"/>
      <c r="J333" s="72"/>
      <c r="K333" s="72"/>
      <c r="L333" s="72"/>
      <c r="M333" s="72"/>
      <c r="N333" s="72"/>
      <c r="O333" s="72"/>
      <c r="P333" s="72"/>
      <c r="Q333" s="72"/>
      <c r="R333" s="72"/>
      <c r="S333" s="72"/>
      <c r="T333" s="72"/>
      <c r="U333" s="72"/>
      <c r="V333" s="72"/>
      <c r="W333" s="72"/>
      <c r="X333" s="72"/>
      <c r="Y333" s="72"/>
      <c r="Z333" s="72"/>
      <c r="AA333" s="72"/>
      <c r="AB333" s="72"/>
      <c r="AC333" s="72"/>
      <c r="AD333" s="72"/>
      <c r="AE333" s="72"/>
      <c r="AF333" s="72"/>
      <c r="AG333" s="72"/>
      <c r="AH333" s="72"/>
      <c r="AI333" s="72"/>
    </row>
    <row r="334" spans="2:35" x14ac:dyDescent="0.4">
      <c r="B334" t="s">
        <v>506</v>
      </c>
      <c r="C334" s="131" cm="1">
        <f t="array" ref="C334">IF(
  Receives_reference_trajectory,
  IFERROR(
    INDEX(72:72, _xlfn.XMATCH(AdjustmentPeriodEnd, 63:63, 0)) -
    INDEX(72:72, _xlfn.XMATCH(MTP_YearT,        63:63, 0)),
    NA()
  ),
  NA()
)</f>
        <v>0.90000000000000013</v>
      </c>
      <c r="D334" s="18"/>
      <c r="J334" s="72"/>
      <c r="K334" s="72"/>
      <c r="L334" s="72"/>
      <c r="M334" s="72"/>
      <c r="N334" s="72"/>
      <c r="O334" s="72"/>
      <c r="P334" s="72"/>
      <c r="Q334" s="72"/>
      <c r="R334" s="72"/>
      <c r="S334" s="72"/>
      <c r="T334" s="72"/>
      <c r="U334" s="72"/>
      <c r="V334" s="72"/>
      <c r="W334" s="72"/>
      <c r="X334" s="72"/>
      <c r="Y334" s="72"/>
      <c r="Z334" s="72"/>
      <c r="AA334" s="72"/>
      <c r="AB334" s="72"/>
      <c r="AC334" s="72"/>
      <c r="AD334" s="72"/>
      <c r="AE334" s="72"/>
      <c r="AF334" s="72"/>
      <c r="AG334" s="72"/>
      <c r="AH334" s="72"/>
      <c r="AI334" s="72"/>
    </row>
    <row r="335" spans="2:35" x14ac:dyDescent="0.4">
      <c r="B335" t="s">
        <v>507</v>
      </c>
      <c r="C335" s="131" cm="1">
        <f t="array" ref="C335">IF(
  Receives_reference_trajectory,
  IFERROR(
    (
      INDEX(72:72, _xlfn.XMATCH(AdjustmentPeriodEnd, 63:63, 0)) -
      INDEX(72:72, _xlfn.XMATCH(MTP_YearT,        63:63, 0))
    ) / (AdjustmentPeriodEnd - MTP_YearT),
    NA()
  ),
  NA()
)</f>
        <v>0.22500000000000003</v>
      </c>
      <c r="D335" s="18"/>
      <c r="J335" s="72"/>
      <c r="K335" s="72"/>
      <c r="L335" s="72"/>
      <c r="M335" s="72"/>
      <c r="N335" s="72"/>
      <c r="O335" s="72"/>
      <c r="P335" s="72"/>
      <c r="Q335" s="72"/>
      <c r="R335" s="72"/>
      <c r="S335" s="72"/>
      <c r="T335" s="72"/>
      <c r="U335" s="72"/>
      <c r="V335" s="72"/>
      <c r="W335" s="72"/>
      <c r="X335" s="72"/>
      <c r="Y335" s="72"/>
      <c r="Z335" s="72"/>
      <c r="AA335" s="72"/>
      <c r="AB335" s="72"/>
      <c r="AC335" s="72"/>
      <c r="AD335" s="72"/>
      <c r="AE335" s="72"/>
      <c r="AF335" s="72"/>
      <c r="AG335" s="72"/>
      <c r="AH335" s="72"/>
      <c r="AI335" s="72"/>
    </row>
    <row r="336" spans="2:35" x14ac:dyDescent="0.4">
      <c r="B336" t="s">
        <v>456</v>
      </c>
      <c r="C336" s="131" cm="1">
        <f t="array" ref="C336">IF(
  Receives_reference_trajectory,
  IFERROR(
    INDEX(37:37, _xlfn.XMATCH(AdjustmentPeriodEnd, 32:32, 0)) -
    INDEX(37:37, _xlfn.XMATCH(MTP_YearT,        32:32, 0)),
    NA()
  ),
  NA()
)</f>
        <v>0.39999999999999991</v>
      </c>
      <c r="D336" s="18"/>
      <c r="J336" s="72"/>
      <c r="K336" s="72"/>
      <c r="L336" s="72"/>
      <c r="M336" s="72"/>
      <c r="N336" s="72"/>
      <c r="O336" s="72"/>
      <c r="P336" s="72"/>
      <c r="Q336" s="72"/>
      <c r="R336" s="72"/>
      <c r="S336" s="72"/>
      <c r="T336" s="72"/>
      <c r="U336" s="72"/>
      <c r="V336" s="72"/>
      <c r="W336" s="72"/>
      <c r="X336" s="72"/>
      <c r="Y336" s="72"/>
      <c r="Z336" s="72"/>
      <c r="AA336" s="72"/>
      <c r="AB336" s="72"/>
      <c r="AC336" s="72"/>
      <c r="AD336" s="72"/>
      <c r="AE336" s="72"/>
      <c r="AF336" s="72"/>
      <c r="AG336" s="72"/>
      <c r="AH336" s="72"/>
      <c r="AI336" s="72"/>
    </row>
    <row r="337" spans="2:35" x14ac:dyDescent="0.4">
      <c r="B337"/>
      <c r="C337" s="131"/>
      <c r="D337" s="18"/>
      <c r="J337" s="72"/>
      <c r="K337" s="72"/>
      <c r="L337" s="72"/>
      <c r="M337" s="72"/>
      <c r="N337" s="72"/>
      <c r="O337" s="72"/>
      <c r="P337" s="72"/>
      <c r="Q337" s="72"/>
      <c r="R337" s="72"/>
      <c r="S337" s="72"/>
      <c r="T337" s="72"/>
      <c r="U337" s="72"/>
      <c r="V337" s="72"/>
      <c r="W337" s="72"/>
      <c r="X337" s="72"/>
      <c r="Y337" s="72"/>
      <c r="Z337" s="72"/>
      <c r="AA337" s="72"/>
      <c r="AB337" s="72"/>
      <c r="AC337" s="72"/>
      <c r="AD337" s="72"/>
      <c r="AE337" s="72"/>
      <c r="AF337" s="72"/>
      <c r="AG337" s="72"/>
      <c r="AH337" s="72"/>
      <c r="AI337" s="72"/>
    </row>
    <row r="338" spans="2:35" x14ac:dyDescent="0.4">
      <c r="B338" s="15" t="s">
        <v>258</v>
      </c>
      <c r="C338" s="103" t="str">
        <f>IF(
  Receives_reference_trajectory,
  IF(
    OR(ISNA(C336),NOT(ISNUMBER(C336))),
    Country &amp; "'s total SPB adjustment required over the adjustment period is " &amp;
      TEXT(C334,"0.0") &amp; " pp of GDP, and the required average annual consolidation is " &amp;
      TEXT(C335,"0.0") &amp; " pp of GDP.",
    Country &amp; "'s total SPB adjustment required over the adjustment period is " &amp;
      TEXT(C334,"0.0") &amp; " pp of GDP. The planned average annual consolidation of " &amp;
      TEXT(C336,"0.0") &amp; " pp " &amp;
      IF(
        C336 &gt; C335 + 0.1,
        "exceeds the required " &amp; TEXT(C335,"0.0") &amp;
          " pp, indicating that the plan appears consistent with achieving the target SPB implied by the reference trajectory by the end of the horizon.",
        IF(
          C336 &lt; C335 - 0.1,
          "falls short of the required " &amp; TEXT(C335,"0.0") &amp;
            " pp, indicating that additional measures may be needed to reach the target SPB.",
          "is broadly in line with the required " &amp; TEXT(C335,"0.0") &amp; " pp."
        )
      )
  ),
  NA()
)</f>
        <v>Greece's total SPB adjustment required over the adjustment period is 0.9 pp of GDP. The planned average annual consolidation of 0.4 pp exceeds the required 0.2 pp, indicating that the plan appears consistent with achieving the target SPB implied by the reference trajectory by the end of the horizon.</v>
      </c>
      <c r="D338" s="18"/>
      <c r="J338" s="72"/>
      <c r="K338" s="72"/>
      <c r="L338" s="72"/>
      <c r="M338" s="72"/>
      <c r="N338" s="72"/>
      <c r="O338" s="72"/>
      <c r="P338" s="72"/>
      <c r="Q338" s="72"/>
      <c r="R338" s="72"/>
      <c r="S338" s="72"/>
      <c r="T338" s="72"/>
      <c r="U338" s="72"/>
      <c r="V338" s="72"/>
      <c r="W338" s="72"/>
      <c r="X338" s="72"/>
      <c r="Y338" s="72"/>
      <c r="Z338" s="72"/>
      <c r="AA338" s="72"/>
      <c r="AB338" s="72"/>
      <c r="AC338" s="72"/>
      <c r="AD338" s="72"/>
      <c r="AE338" s="72"/>
      <c r="AF338" s="72"/>
      <c r="AG338" s="72"/>
      <c r="AH338" s="72"/>
      <c r="AI338" s="72"/>
    </row>
    <row r="339" spans="2:35" x14ac:dyDescent="0.4">
      <c r="C339" s="103"/>
      <c r="D339" s="18"/>
      <c r="J339" s="72"/>
      <c r="K339" s="72"/>
      <c r="L339" s="72"/>
      <c r="M339" s="72"/>
      <c r="N339" s="72"/>
      <c r="O339" s="72"/>
      <c r="P339" s="72"/>
      <c r="Q339" s="72"/>
      <c r="R339" s="72"/>
      <c r="S339" s="72"/>
      <c r="T339" s="72"/>
      <c r="U339" s="72"/>
      <c r="V339" s="72"/>
      <c r="W339" s="72"/>
      <c r="X339" s="72"/>
      <c r="Y339" s="72"/>
      <c r="Z339" s="72"/>
      <c r="AA339" s="72"/>
      <c r="AB339" s="72"/>
      <c r="AC339" s="72"/>
      <c r="AD339" s="72"/>
      <c r="AE339" s="72"/>
      <c r="AF339" s="72"/>
      <c r="AG339" s="72"/>
      <c r="AH339" s="72"/>
      <c r="AI339" s="72"/>
    </row>
    <row r="340" spans="2:35" ht="15.75" x14ac:dyDescent="0.5">
      <c r="B340" s="80" t="s">
        <v>508</v>
      </c>
      <c r="C340" s="93"/>
      <c r="E340" s="19"/>
      <c r="J340" s="17"/>
    </row>
    <row r="341" spans="2:35" customFormat="1" x14ac:dyDescent="0.4">
      <c r="B341" t="str">
        <f>"Minimum level of structural primary balance in "&amp;AdjustmentPeriodEnd&amp;", no safeguard"</f>
        <v>Minimum level of structural primary balance in 2028, no safeguard</v>
      </c>
      <c r="C341" s="2" t="e">
        <f>IF(Receives_reference_trajectory,NA(),INDEX(66:66, MATCH(AdjustmentPeriodEnd, 46:46, 0)))</f>
        <v>#N/A</v>
      </c>
    </row>
    <row r="342" spans="2:35" customFormat="1" x14ac:dyDescent="0.4">
      <c r="B342" t="str">
        <f>"Minimum level of structural primary balance in "&amp;AdjustmentPeriodEnd&amp;", with safeguard"</f>
        <v>Minimum level of structural primary balance in 2028, with safeguard</v>
      </c>
      <c r="C342" s="127" t="e">
        <f>IF(Receives_reference_trajectory,NA(),INDEX(67:67, MATCH(AdjustmentPeriodEnd, 46:46, 0)))</f>
        <v>#N/A</v>
      </c>
    </row>
    <row r="343" spans="2:35" customFormat="1" x14ac:dyDescent="0.4">
      <c r="B343" t="s">
        <v>378</v>
      </c>
      <c r="C343" s="2" t="e">
        <f>IF(Receives_reference_trajectory,NA(),INDEX(37:37, MATCH(AdjustmentPeriodEnd, 46:46, 0)))</f>
        <v>#N/A</v>
      </c>
    </row>
    <row r="344" spans="2:35" x14ac:dyDescent="0.4">
      <c r="B344" t="s">
        <v>376</v>
      </c>
      <c r="C344" s="16" t="e">
        <f>IF(Receives_reference_trajectory, NA(), C343 &gt;= C341)</f>
        <v>#N/A</v>
      </c>
      <c r="E344" s="19"/>
      <c r="J344" s="17"/>
    </row>
    <row r="345" spans="2:35" x14ac:dyDescent="0.4">
      <c r="B345" t="s">
        <v>377</v>
      </c>
      <c r="C345" s="16" t="e">
        <f>IF(Receives_reference_trajectory, NA(), C343 &gt;= C342)</f>
        <v>#N/A</v>
      </c>
      <c r="E345" s="19"/>
      <c r="J345" s="17"/>
    </row>
    <row r="346" spans="2:35" x14ac:dyDescent="0.4">
      <c r="C346" s="16"/>
      <c r="J346" s="72"/>
      <c r="K346" s="72"/>
      <c r="L346" s="72"/>
      <c r="M346" s="72"/>
      <c r="N346" s="72"/>
      <c r="O346" s="72"/>
      <c r="P346" s="72"/>
      <c r="Q346" s="72"/>
      <c r="R346" s="72"/>
      <c r="S346" s="72"/>
      <c r="T346" s="72"/>
      <c r="U346" s="72"/>
      <c r="V346" s="72"/>
      <c r="W346" s="72"/>
      <c r="X346" s="72"/>
      <c r="Y346" s="72"/>
      <c r="Z346" s="72"/>
      <c r="AA346" s="72"/>
      <c r="AB346" s="72"/>
      <c r="AC346" s="72"/>
      <c r="AD346" s="72"/>
      <c r="AE346" s="72"/>
      <c r="AF346" s="72"/>
      <c r="AG346" s="72"/>
      <c r="AH346" s="72"/>
      <c r="AI346" s="72"/>
    </row>
    <row r="347" spans="2:35" x14ac:dyDescent="0.4">
      <c r="B347" s="15" t="s">
        <v>266</v>
      </c>
      <c r="C347" s="103" t="e">
        <f>_xlfn.LET(
  _xlpm.nos, Assessment!$C$344,
  _xlpm.ws,  Assessment!$C$345,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#N/A</v>
      </c>
      <c r="D347" s="18"/>
      <c r="E347" s="19"/>
      <c r="J347" s="72"/>
      <c r="K347" s="72"/>
      <c r="L347" s="72"/>
      <c r="M347" s="72"/>
      <c r="N347" s="72"/>
      <c r="O347" s="72" t="s">
        <v>269</v>
      </c>
      <c r="P347" s="72"/>
      <c r="Q347" s="72"/>
      <c r="R347" s="72"/>
      <c r="S347" s="72"/>
      <c r="T347" s="72"/>
      <c r="U347" s="72"/>
      <c r="V347" s="72"/>
      <c r="W347" s="72"/>
      <c r="X347" s="72"/>
      <c r="Y347" s="72"/>
      <c r="Z347" s="72"/>
      <c r="AA347" s="72"/>
      <c r="AB347" s="72"/>
      <c r="AC347" s="72"/>
      <c r="AD347" s="72"/>
      <c r="AE347" s="72"/>
      <c r="AF347" s="72"/>
      <c r="AG347" s="72"/>
      <c r="AH347" s="72"/>
      <c r="AI347" s="72"/>
    </row>
    <row r="348" spans="2:35" x14ac:dyDescent="0.4">
      <c r="J348" s="72"/>
      <c r="K348" s="72"/>
      <c r="L348" s="72"/>
      <c r="M348" s="72"/>
      <c r="N348" s="72"/>
      <c r="O348" s="72"/>
      <c r="P348" s="72"/>
      <c r="Q348" s="72"/>
      <c r="R348" s="72"/>
      <c r="S348" s="72"/>
      <c r="T348" s="72"/>
      <c r="U348" s="72"/>
      <c r="V348" s="72"/>
      <c r="W348" s="72"/>
      <c r="X348" s="72"/>
      <c r="Y348" s="72"/>
      <c r="Z348" s="72"/>
      <c r="AA348" s="72"/>
      <c r="AB348" s="72"/>
      <c r="AC348" s="72"/>
      <c r="AD348" s="72"/>
      <c r="AE348" s="72"/>
      <c r="AF348" s="72"/>
      <c r="AG348" s="72"/>
      <c r="AH348" s="72"/>
      <c r="AI348" s="72"/>
    </row>
    <row r="349" spans="2:35" ht="18" x14ac:dyDescent="0.55000000000000004">
      <c r="B349" s="51" t="s">
        <v>509</v>
      </c>
      <c r="C349" s="57"/>
      <c r="E349" s="18"/>
    </row>
    <row r="350" spans="2:35" customFormat="1" ht="15.75" x14ac:dyDescent="0.5">
      <c r="B350" s="80" t="s">
        <v>526</v>
      </c>
    </row>
    <row r="351" spans="2:35" x14ac:dyDescent="0.4">
      <c r="B351" t="s">
        <v>515</v>
      </c>
      <c r="C351" s="16" t="b">
        <f>IF(
  NOT(Receives_reference_trajectory),
  NA(),
  IFERROR(
    AND(
      C216,
      IF(AdjustmentPeriod=7, C221, TRUE),
      C238,
      C261,
      C271,
      C290,
      IF(ISNA(C303), TRUE, C303),
      IF(ISNA(C313), TRUE, C313),
      IF(ISNA(C326), TRUE, C326)
    ),
    NA()
  )
)</f>
        <v>1</v>
      </c>
      <c r="J351" s="72"/>
      <c r="K351" s="72"/>
      <c r="L351" s="72"/>
      <c r="M351" s="72"/>
      <c r="N351" s="72"/>
      <c r="O351" s="72"/>
      <c r="P351" s="72"/>
      <c r="Q351" s="72"/>
      <c r="R351" s="72"/>
      <c r="S351" s="72"/>
      <c r="T351" s="72"/>
      <c r="U351" s="72"/>
      <c r="V351" s="72"/>
      <c r="W351" s="72"/>
      <c r="X351" s="72"/>
      <c r="Y351" s="72"/>
      <c r="Z351" s="72"/>
      <c r="AA351" s="72"/>
      <c r="AB351" s="72"/>
      <c r="AC351" s="72"/>
      <c r="AD351" s="72"/>
      <c r="AE351" s="72"/>
      <c r="AF351" s="72"/>
      <c r="AG351" s="72"/>
      <c r="AH351" s="72"/>
      <c r="AI351" s="72"/>
    </row>
    <row r="352" spans="2:35" x14ac:dyDescent="0.4">
      <c r="B352" s="15" t="s">
        <v>528</v>
      </c>
      <c r="C352" s="103" t="str">
        <f>IF(
  Receives_reference_trajectory,
  IF(
    C236,
    "The net expenditure path in " &amp; Country &amp; "'s latest MTP adheres to the Commission's reference trajectory" &amp;
    IF(
      ISNA(C351),
      ", but overall compliance with Regulation (EU) 2024/1263 cannot yet be assessed.",
      IF(C351,
        " and it meets all requirements of Regulation (EU) 2024/1263.",
        " but it does not meet all requirements of Regulation (EU) 2024/1263."
      )
    ),
    IF(
      C237,
      "The net expenditure path in " &amp; Country &amp; "'s latest MTP exceeds the Commission's reference trajectory but the " &amp; IFI_Name &amp;
      " deems the explanation and alternative assumptions to be satisfactory" &amp;
      IF(
        ISNA(C351),
        ", but overall compliance with Regulation (EU) 2024/1263 cannot yet be assessed.",
        IF(C351,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ISNA(C351),
        ", and overall compliance with Regulation (EU) 2024/1263 cannot yet be assessed.",
        IF(C351,
          ", and it meets all requirements of Regulation (EU) 2024/1263.",
          ", and it does not meet all requirements of Regulation (EU) 2024/1263."
        )
      )
    )
  ),
  "Not applicable."
)</f>
        <v>The net expenditure path in Greece's latest MTP exceeds the Commission's reference trajectory but the Hellenic Fiscal Council deems the explanation and alternative assumptions to be satisfactory, and it meets all requirements of Regulation (EU) 2024/1263.</v>
      </c>
      <c r="J352" s="72"/>
      <c r="K352" s="72"/>
      <c r="L352" s="72"/>
      <c r="M352" s="72"/>
      <c r="N352" s="72"/>
      <c r="O352" s="72"/>
      <c r="P352" s="72"/>
      <c r="Q352" s="72"/>
      <c r="R352" s="72"/>
      <c r="S352" s="72"/>
      <c r="T352" s="72"/>
      <c r="U352" s="72"/>
      <c r="V352" s="72"/>
      <c r="W352" s="72"/>
      <c r="X352" s="72"/>
      <c r="Y352" s="72"/>
      <c r="Z352" s="72"/>
      <c r="AA352" s="72"/>
      <c r="AB352" s="72"/>
      <c r="AC352" s="72"/>
      <c r="AD352" s="72"/>
      <c r="AE352" s="72"/>
      <c r="AF352" s="72"/>
      <c r="AG352" s="72"/>
      <c r="AH352" s="72"/>
      <c r="AI352" s="72"/>
    </row>
    <row r="353" spans="2:35" x14ac:dyDescent="0.4">
      <c r="B353"/>
      <c r="C353" s="123"/>
      <c r="J353" s="72"/>
      <c r="K353" s="72"/>
      <c r="L353" s="72"/>
      <c r="M353" s="72"/>
      <c r="N353" s="72"/>
      <c r="O353" s="72"/>
      <c r="P353" s="72"/>
      <c r="Q353" s="72"/>
      <c r="R353" s="72"/>
      <c r="S353" s="72"/>
      <c r="T353" s="72"/>
      <c r="U353" s="72"/>
      <c r="V353" s="72"/>
      <c r="W353" s="72"/>
      <c r="X353" s="72"/>
      <c r="Y353" s="72"/>
      <c r="Z353" s="72"/>
      <c r="AA353" s="72"/>
      <c r="AB353" s="72"/>
      <c r="AC353" s="72"/>
      <c r="AD353" s="72"/>
      <c r="AE353" s="72"/>
      <c r="AF353" s="72"/>
      <c r="AG353" s="72"/>
      <c r="AH353" s="72"/>
      <c r="AI353" s="72"/>
    </row>
    <row r="354" spans="2:35" ht="15.75" x14ac:dyDescent="0.5">
      <c r="B354" s="80" t="s">
        <v>454</v>
      </c>
      <c r="C354" s="38"/>
      <c r="J354" s="72"/>
      <c r="K354" s="72"/>
      <c r="L354" s="72"/>
      <c r="M354" s="72"/>
      <c r="N354" s="72"/>
      <c r="O354" s="72"/>
      <c r="P354" s="72"/>
      <c r="Q354" s="72"/>
      <c r="R354" s="72"/>
      <c r="S354" s="72"/>
      <c r="T354" s="72"/>
      <c r="U354" s="72"/>
      <c r="V354" s="72"/>
      <c r="W354" s="72"/>
      <c r="X354" s="72"/>
      <c r="Y354" s="72"/>
      <c r="Z354" s="72"/>
      <c r="AA354" s="72"/>
      <c r="AB354" s="72"/>
      <c r="AC354" s="72"/>
      <c r="AD354" s="72"/>
      <c r="AE354" s="72"/>
      <c r="AF354" s="72"/>
      <c r="AG354" s="72"/>
      <c r="AH354" s="72"/>
      <c r="AI354" s="72"/>
    </row>
    <row r="355" spans="2:35" x14ac:dyDescent="0.4">
      <c r="B355" t="s">
        <v>515</v>
      </c>
      <c r="C355" s="16" t="e">
        <f>IF(
  Receives_reference_trajectory,
  NA(),
  AND(C248, C265, C275)
)</f>
        <v>#N/A</v>
      </c>
      <c r="J355" s="72"/>
      <c r="K355" s="72"/>
      <c r="L355" s="72"/>
      <c r="M355" s="72"/>
      <c r="N355" s="72"/>
      <c r="O355" s="72"/>
      <c r="P355" s="72"/>
      <c r="Q355" s="72"/>
      <c r="R355" s="72"/>
      <c r="S355" s="72"/>
      <c r="T355" s="72"/>
      <c r="U355" s="72"/>
      <c r="V355" s="72"/>
      <c r="W355" s="72"/>
      <c r="X355" s="72"/>
      <c r="Y355" s="72"/>
      <c r="Z355" s="72"/>
      <c r="AA355" s="72"/>
      <c r="AB355" s="72"/>
      <c r="AC355" s="72"/>
      <c r="AD355" s="72"/>
      <c r="AE355" s="72"/>
      <c r="AF355" s="72"/>
      <c r="AG355" s="72"/>
      <c r="AH355" s="72"/>
      <c r="AI355" s="72"/>
    </row>
    <row r="356" spans="2:35" x14ac:dyDescent="0.4">
      <c r="B356" s="15" t="s">
        <v>258</v>
      </c>
      <c r="C356" s="103" t="str">
        <f>IF(
  Receives_reference_trajectory,
  "Not applicable",
  IF(
    C246,
    "The net expenditure path in " &amp; Country &amp; "'s MTP adheres to the minimum level of the primary structural balance in " &amp;
      AdjustmentPeriodEnd &amp; " (" &amp; C242 &amp; "% of GDP). ",
    "The net expenditure path in " &amp; Country &amp; "'s MTP does not adhere to the minimum level of the primary structural balance in " &amp;
      AdjustmentPeriodEnd &amp; " (" &amp; C242 &amp; "% of GDP). "
  ) &amp;
  IF(
    AND(C265, C275),
    "The net expenditure path put forward in the plan is consistent with the deficit and debt requirements as set out in Article 16(2) of Regulation (EU) 2024/1263.",
    IF(
      AND(C265, NOT(C275)),
      "However, while it complies with the debt requirement, it does not comply with the deficit requirement under Article 16(2) of Regulation (EU) 2024/1263.",
      IF(
        AND(NOT(C265), C275),
        "However, while it complies with the deficit requirement, it does not comply with the debt requirement under Article 16(2) of Regulation (EU) 2024/1263.",
        "It does not comply with either the deficit or debt requirements as set out in Article 16(2) of Regulation (EU) 2024/1263."
      )
    )
  )
)</f>
        <v>Not applicable</v>
      </c>
      <c r="E356" s="18"/>
      <c r="J356" s="72"/>
      <c r="K356" s="72"/>
      <c r="L356" s="72"/>
      <c r="M356" s="72"/>
      <c r="N356" s="72"/>
      <c r="O356" s="72"/>
      <c r="P356" s="72"/>
      <c r="Q356" s="72"/>
      <c r="R356" s="72"/>
      <c r="S356" s="72"/>
      <c r="T356" s="72"/>
      <c r="U356" s="72"/>
      <c r="V356" s="72"/>
      <c r="W356" s="72"/>
      <c r="X356" s="72"/>
      <c r="Y356" s="72"/>
      <c r="Z356" s="72"/>
      <c r="AA356" s="72"/>
      <c r="AB356" s="72"/>
      <c r="AC356" s="72"/>
      <c r="AD356" s="72"/>
      <c r="AE356" s="72"/>
      <c r="AF356" s="72"/>
      <c r="AG356" s="72"/>
      <c r="AH356" s="72"/>
      <c r="AI356" s="72"/>
    </row>
  </sheetData>
  <phoneticPr fontId="10" type="noConversion"/>
  <conditionalFormatting sqref="D148:V148 D179:V189 D330:V339 R142:U146">
    <cfRule type="expression" dxfId="40" priority="152">
      <formula>AND(#REF!&gt;MTP_YearT, #REF!&lt;=AdjustmentPeriodEnd)</formula>
    </cfRule>
  </conditionalFormatting>
  <conditionalFormatting sqref="T179:V189 T330:V339 T148:V148">
    <cfRule type="expression" dxfId="39" priority="154">
      <formula>ISNUMBER(#REF!)</formula>
    </cfRule>
  </conditionalFormatting>
  <conditionalFormatting sqref="D282:M282">
    <cfRule type="expression" dxfId="38" priority="59">
      <formula>ISNUMBER(D282)</formula>
    </cfRule>
  </conditionalFormatting>
  <conditionalFormatting sqref="D5:K5">
    <cfRule type="expression" dxfId="37" priority="58">
      <formula>ISNUMBER(D4)</formula>
    </cfRule>
  </conditionalFormatting>
  <conditionalFormatting sqref="E146:M146">
    <cfRule type="expression" dxfId="36" priority="195">
      <formula>ISNUMBER(E$102)</formula>
    </cfRule>
  </conditionalFormatting>
  <conditionalFormatting sqref="D158:V158">
    <cfRule type="expression" dxfId="35" priority="38">
      <formula>AND(#REF!&gt;MTP_YearT, #REF!&lt;=AdjustmentPeriodEnd)</formula>
    </cfRule>
  </conditionalFormatting>
  <conditionalFormatting sqref="T157:V158">
    <cfRule type="expression" dxfId="34" priority="208">
      <formula>ISNUMBER(#REF!)</formula>
    </cfRule>
  </conditionalFormatting>
  <conditionalFormatting sqref="D153:V156">
    <cfRule type="expression" dxfId="33" priority="210">
      <formula>AND(#REF!&gt;MTP_YearT, #REF!&lt;=AdjustmentPeriodEnd)</formula>
    </cfRule>
  </conditionalFormatting>
  <conditionalFormatting sqref="T149:V156">
    <cfRule type="expression" dxfId="32" priority="212">
      <formula>ISNUMBER(#REF!)</formula>
    </cfRule>
  </conditionalFormatting>
  <conditionalFormatting sqref="D157:V157 D149:V152">
    <cfRule type="expression" dxfId="31" priority="214">
      <formula>AND(#REF!&gt;MTP_YearT, #REF!&lt;=AdjustmentPeriodEnd)</formula>
    </cfRule>
  </conditionalFormatting>
  <conditionalFormatting sqref="D284:I284">
    <cfRule type="expression" dxfId="30" priority="31">
      <formula>ISNUMBER(D282)</formula>
    </cfRule>
  </conditionalFormatting>
  <conditionalFormatting sqref="D318:I318">
    <cfRule type="expression" dxfId="29" priority="30">
      <formula>ISNUMBER(D318)</formula>
    </cfRule>
  </conditionalFormatting>
  <conditionalFormatting sqref="D321:L321">
    <cfRule type="expression" dxfId="28" priority="28">
      <formula>ISNUMBER(D318)</formula>
    </cfRule>
  </conditionalFormatting>
  <conditionalFormatting sqref="D4:K4">
    <cfRule type="expression" dxfId="27" priority="25">
      <formula>ISNUMBER(D4)</formula>
    </cfRule>
  </conditionalFormatting>
  <conditionalFormatting sqref="D33:N33 D34:Q34">
    <cfRule type="expression" dxfId="26" priority="24">
      <formula>ISNUMBER(D32)</formula>
    </cfRule>
  </conditionalFormatting>
  <conditionalFormatting sqref="D27:K27">
    <cfRule type="expression" dxfId="25" priority="23">
      <formula>ISNUMBER(D$4)</formula>
    </cfRule>
  </conditionalFormatting>
  <conditionalFormatting sqref="D32:N32">
    <cfRule type="expression" dxfId="24" priority="22">
      <formula>ISNUMBER(D32)</formula>
    </cfRule>
  </conditionalFormatting>
  <conditionalFormatting sqref="D44:W45 D60:W60 D54:W54">
    <cfRule type="expression" dxfId="23" priority="21">
      <formula>ISNUMBER(D44)</formula>
    </cfRule>
  </conditionalFormatting>
  <conditionalFormatting sqref="D89:W89">
    <cfRule type="expression" dxfId="22" priority="20">
      <formula>ISNUMBER(D63)</formula>
    </cfRule>
  </conditionalFormatting>
  <conditionalFormatting sqref="D63:W63">
    <cfRule type="expression" dxfId="21" priority="19">
      <formula>ISNUMBER(D63)</formula>
    </cfRule>
  </conditionalFormatting>
  <conditionalFormatting sqref="X65 D64:W65 D47:W47">
    <cfRule type="expression" dxfId="20" priority="18">
      <formula>ISNUMBER(D46)</formula>
    </cfRule>
  </conditionalFormatting>
  <conditionalFormatting sqref="D46:W46">
    <cfRule type="expression" dxfId="19" priority="17">
      <formula>ISNUMBER(D46)</formula>
    </cfRule>
  </conditionalFormatting>
  <conditionalFormatting sqref="E142:M146">
    <cfRule type="expression" dxfId="18" priority="194">
      <formula>NOT(ISNUMBER(E$102))</formula>
    </cfRule>
  </conditionalFormatting>
  <conditionalFormatting sqref="D168:I168">
    <cfRule type="expression" dxfId="17" priority="14">
      <formula>ISNUMBER(D168)</formula>
    </cfRule>
  </conditionalFormatting>
  <conditionalFormatting sqref="D171:L171">
    <cfRule type="expression" dxfId="16" priority="13">
      <formula>ISNUMBER(D168)</formula>
    </cfRule>
  </conditionalFormatting>
  <conditionalFormatting sqref="D102:K102">
    <cfRule type="expression" dxfId="15" priority="10">
      <formula>D$103&lt;&gt;""</formula>
    </cfRule>
  </conditionalFormatting>
  <conditionalFormatting sqref="D103:K103">
    <cfRule type="expression" dxfId="14" priority="9">
      <formula>D$103&lt;&gt;""</formula>
    </cfRule>
  </conditionalFormatting>
  <conditionalFormatting sqref="D119:K119">
    <cfRule type="expression" dxfId="13" priority="8">
      <formula>D$102&lt;&gt;""</formula>
    </cfRule>
  </conditionalFormatting>
  <conditionalFormatting sqref="D121:K121">
    <cfRule type="expression" dxfId="12" priority="7">
      <formula>D$102&lt;&gt;""</formula>
    </cfRule>
  </conditionalFormatting>
  <conditionalFormatting sqref="D124:K124">
    <cfRule type="expression" dxfId="11" priority="6">
      <formula>D$102&lt;&gt;""</formula>
    </cfRule>
  </conditionalFormatting>
  <conditionalFormatting sqref="D142:D143">
    <cfRule type="expression" dxfId="10" priority="5">
      <formula>NOT(ISNUMBER(G120))</formula>
    </cfRule>
  </conditionalFormatting>
  <conditionalFormatting sqref="D145:D146">
    <cfRule type="expression" dxfId="9" priority="353">
      <formula>NOT(ISNUMBER(#REF!))</formula>
    </cfRule>
    <cfRule type="expression" dxfId="8" priority="354">
      <formula>ISNUMBER(#REF!)</formula>
    </cfRule>
  </conditionalFormatting>
  <conditionalFormatting sqref="D59:W59">
    <cfRule type="expression" dxfId="7" priority="2">
      <formula>ISNUMBER(D$46)</formula>
    </cfRule>
  </conditionalFormatting>
  <conditionalFormatting sqref="D145:D146">
    <cfRule type="expression" dxfId="6" priority="411">
      <formula>NOT(ISNUMBER(G122))</formula>
    </cfRule>
  </conditionalFormatting>
  <conditionalFormatting sqref="D6:K14 D16:K26 D15:L15">
    <cfRule type="expression" dxfId="5" priority="1">
      <formula>ISNUMBER(D$4)</formula>
    </cfRule>
  </conditionalFormatting>
  <conditionalFormatting sqref="D144">
    <cfRule type="expression" dxfId="4" priority="1022">
      <formula>NOT(ISNUMBER(G122))</formula>
    </cfRule>
  </conditionalFormatting>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46"/>
  <sheetViews>
    <sheetView showGridLines="0" zoomScaleNormal="100" workbookViewId="0">
      <pane ySplit="2" topLeftCell="A3" activePane="bottomLeft" state="frozen"/>
      <selection activeCell="L159" sqref="L159"/>
      <selection pane="bottomLeft"/>
    </sheetView>
  </sheetViews>
  <sheetFormatPr defaultRowHeight="13.15" x14ac:dyDescent="0.4"/>
  <cols>
    <col min="1" max="1" width="5.28515625" customWidth="1"/>
    <col min="2" max="2" width="11.28515625" style="111" bestFit="1" customWidth="1"/>
    <col min="3" max="3" width="51.5703125" customWidth="1"/>
    <col min="4" max="4" width="7.85546875" customWidth="1"/>
    <col min="6" max="6" width="9.140625" customWidth="1"/>
  </cols>
  <sheetData>
    <row r="2" spans="2:24" x14ac:dyDescent="0.4">
      <c r="C2" s="34"/>
      <c r="D2" s="34"/>
      <c r="E2" s="45" cm="1">
        <f t="array" ref="E2:T2">_xlfn.SEQUENCE(1, AdjustmentPeriodEnd+10-MTP_BaseYear+1, MTP_BaseYear)</f>
        <v>2023</v>
      </c>
      <c r="F2" s="45">
        <v>2024</v>
      </c>
      <c r="G2" s="45">
        <v>2025</v>
      </c>
      <c r="H2" s="45">
        <v>2026</v>
      </c>
      <c r="I2" s="45">
        <v>2027</v>
      </c>
      <c r="J2" s="45">
        <v>2028</v>
      </c>
      <c r="K2" s="45">
        <v>2029</v>
      </c>
      <c r="L2" s="45">
        <v>2030</v>
      </c>
      <c r="M2" s="45">
        <v>2031</v>
      </c>
      <c r="N2" s="45">
        <v>2032</v>
      </c>
      <c r="O2" s="45">
        <v>2033</v>
      </c>
      <c r="P2" s="45">
        <v>2034</v>
      </c>
      <c r="Q2" s="45">
        <v>2035</v>
      </c>
      <c r="R2" s="45">
        <v>2036</v>
      </c>
      <c r="S2" s="45">
        <v>2037</v>
      </c>
      <c r="T2" s="45">
        <v>2038</v>
      </c>
      <c r="U2" s="45"/>
      <c r="V2" s="45"/>
      <c r="W2" s="45"/>
    </row>
    <row r="3" spans="2:24" ht="16.5" x14ac:dyDescent="0.6">
      <c r="B3" s="111" t="s">
        <v>479</v>
      </c>
      <c r="C3" s="12" t="s">
        <v>978</v>
      </c>
    </row>
    <row r="4" spans="2:24" x14ac:dyDescent="0.4">
      <c r="C4" s="2" t="s">
        <v>390</v>
      </c>
      <c r="F4" s="65">
        <f>IF(MTP_Council_Endorsed,IF(Assessment!E34="",NA(),Assessment!E34),NA())</f>
        <v>2.6</v>
      </c>
      <c r="G4" s="65">
        <f>IF(MTP_Council_Endorsed,IF(Assessment!F34="",NA(),Assessment!F34),NA())</f>
        <v>3.6999999999999997</v>
      </c>
      <c r="H4" s="65">
        <f>IF(MTP_Council_Endorsed,IF(Assessment!G34="",NA(),Assessment!G34),NA())</f>
        <v>3.6000000000000005</v>
      </c>
      <c r="I4" s="65">
        <f>IF(MTP_Council_Endorsed,IF(Assessment!H34="",NA(),Assessment!H34),NA())</f>
        <v>3.1</v>
      </c>
      <c r="J4" s="65">
        <f>IF(MTP_Council_Endorsed,IF(Assessment!I34="",NA(),Assessment!I34),NA())</f>
        <v>3</v>
      </c>
      <c r="K4" s="65" t="e">
        <f>IF(MTP_Council_Endorsed,IF(Assessment!J34="",NA(),Assessment!J34),NA())</f>
        <v>#N/A</v>
      </c>
      <c r="L4" s="65" t="e">
        <f>IF(MTP_Council_Endorsed,IF(Assessment!K34="",NA(),Assessment!K34),NA())</f>
        <v>#N/A</v>
      </c>
      <c r="M4" s="65" t="e">
        <f>IF(MTP_Council_Endorsed,IF(Assessment!L34="",NA(),Assessment!L34),NA())</f>
        <v>#N/A</v>
      </c>
      <c r="N4" s="65" t="e">
        <f>IF(MTP_Council_Endorsed,IF(Assessment!M34="",NA(),Assessment!M34),NA())</f>
        <v>#N/A</v>
      </c>
      <c r="O4" s="65" t="e">
        <f>IF(MTP_Council_Endorsed,IF(Assessment!N34="",NA(),Assessment!N34),NA())</f>
        <v>#N/A</v>
      </c>
      <c r="P4" s="65" t="e">
        <f>IF(MTP_Council_Endorsed,IF(Assessment!O34="",NA(),Assessment!O34),NA())</f>
        <v>#N/A</v>
      </c>
      <c r="Q4" s="65" t="e">
        <f>IF(MTP_Council_Endorsed,IF(Assessment!P34="",NA(),Assessment!P34),NA())</f>
        <v>#N/A</v>
      </c>
      <c r="R4" s="65" t="e">
        <f>IF(MTP_Council_Endorsed,IF(Assessment!Q34="",NA(),Assessment!Q34),NA())</f>
        <v>#N/A</v>
      </c>
      <c r="S4" s="65" t="e">
        <f>IF(MTP_Council_Endorsed,IF(Assessment!R34="",NA(),Assessment!R34),NA())</f>
        <v>#N/A</v>
      </c>
      <c r="T4" s="65" t="e">
        <f>IF(MTP_Council_Endorsed,IF(Assessment!S34="",NA(),Assessment!S34),NA())</f>
        <v>#N/A</v>
      </c>
      <c r="U4" s="65" t="e">
        <f>IF(MTP_Council_Endorsed,IF(Assessment!T34="",NA(),Assessment!T34),NA())</f>
        <v>#N/A</v>
      </c>
      <c r="V4" s="65" t="e">
        <f>IF(MTP_Council_Endorsed,IF(Assessment!U34="",NA(),Assessment!U34),NA())</f>
        <v>#N/A</v>
      </c>
      <c r="W4" s="65" t="e">
        <f>IF(MTP_Council_Endorsed,IF(Assessment!V34="",NA(),Assessment!V34),NA())</f>
        <v>#N/A</v>
      </c>
    </row>
    <row r="5" spans="2:24" x14ac:dyDescent="0.4">
      <c r="C5" s="2" t="s">
        <v>296</v>
      </c>
      <c r="F5" s="4"/>
      <c r="G5" s="4"/>
      <c r="H5" s="4"/>
      <c r="I5" s="4"/>
      <c r="J5" s="4"/>
      <c r="K5" s="4"/>
      <c r="L5" s="4"/>
      <c r="M5" s="4"/>
      <c r="N5" s="4"/>
      <c r="O5" s="4"/>
      <c r="P5" s="4"/>
      <c r="Q5" s="4"/>
      <c r="R5" s="4"/>
      <c r="S5" s="4"/>
      <c r="T5" s="4"/>
      <c r="U5" s="4"/>
      <c r="V5" s="4"/>
      <c r="W5" s="4"/>
    </row>
    <row r="6" spans="2:24" x14ac:dyDescent="0.4">
      <c r="C6" s="2" t="s">
        <v>243</v>
      </c>
      <c r="F6" s="65" t="e">
        <f>IF(MTP_Council_Endorsed,IF(OR(ISNUMBER(F8),ISNUMBER(F9)),NA(),IF(ISNUMBER(Assessment!E15),Assessment!E15,NA())),NA())</f>
        <v>#N/A</v>
      </c>
      <c r="G6" s="65" t="e">
        <f>IF(OR(ISNUMBER(G8),ISNUMBER(G9)),NA(),IF(ISNUMBER(Assessment!F15),Assessment!F15,NA()))</f>
        <v>#N/A</v>
      </c>
      <c r="H6" s="65">
        <f>IF(OR(ISNUMBER(H8),ISNUMBER(H9)),NA(),IF(ISNUMBER(Assessment!G15),Assessment!G15,NA()))</f>
        <v>7.5</v>
      </c>
      <c r="I6" s="65" t="e">
        <f>IF(OR(ISNUMBER(I8),ISNUMBER(I9)),NA(),IF(ISNUMBER(Assessment!H15),Assessment!H15,NA()))</f>
        <v>#N/A</v>
      </c>
      <c r="J6" s="65" t="e">
        <f>IF(OR(ISNUMBER(J8),ISNUMBER(J9)),NA(),IF(ISNUMBER(Assessment!I15),Assessment!I15,NA()))</f>
        <v>#N/A</v>
      </c>
      <c r="K6" s="65" t="e">
        <f>IF(OR(ISNUMBER(K8),ISNUMBER(K9)),NA(),IF(ISNUMBER(Assessment!J15),Assessment!J15,NA()))</f>
        <v>#N/A</v>
      </c>
      <c r="L6" s="65" t="e">
        <f>IF(OR(ISNUMBER(L8),ISNUMBER(L9)),NA(),IF(ISNUMBER(Assessment!K15),Assessment!K15,NA()))</f>
        <v>#N/A</v>
      </c>
      <c r="M6" s="65" t="e">
        <f>IF(OR(ISNUMBER(M8),ISNUMBER(M9)),NA(),IF(ISNUMBER(Assessment!L15),Assessment!L15,NA()))</f>
        <v>#N/A</v>
      </c>
      <c r="N6" s="65" t="e">
        <f>IF(OR(ISNUMBER(N8),ISNUMBER(N9)),NA(),IF(ISNUMBER(Assessment!M15),Assessment!M15,NA()))</f>
        <v>#N/A</v>
      </c>
      <c r="O6" s="65" t="e">
        <f>IF(OR(ISNUMBER(O8),ISNUMBER(O9)),NA(),IF(ISNUMBER(Assessment!N15),Assessment!N15,NA()))</f>
        <v>#N/A</v>
      </c>
      <c r="P6" s="65" t="e">
        <f>IF(OR(ISNUMBER(P8),ISNUMBER(P9)),NA(),IF(ISNUMBER(Assessment!O15),Assessment!O15,NA()))</f>
        <v>#N/A</v>
      </c>
      <c r="Q6" s="65" t="e">
        <f>IF(OR(ISNUMBER(Q8),ISNUMBER(Q9)),NA(),IF(ISNUMBER(Assessment!P15),Assessment!P15,NA()))</f>
        <v>#N/A</v>
      </c>
      <c r="R6" s="65" t="e">
        <f>IF(OR(ISNUMBER(R8),ISNUMBER(R9)),NA(),IF(ISNUMBER(Assessment!Q15),Assessment!Q15,NA()))</f>
        <v>#N/A</v>
      </c>
      <c r="S6" s="65" t="e">
        <f>IF(OR(ISNUMBER(S8),ISNUMBER(S9)),NA(),IF(ISNUMBER(Assessment!R15),Assessment!R15,NA()))</f>
        <v>#N/A</v>
      </c>
      <c r="T6" s="65" t="e">
        <f>IF(OR(ISNUMBER(T8),ISNUMBER(T9)),NA(),IF(ISNUMBER(Assessment!S15),Assessment!S15,NA()))</f>
        <v>#N/A</v>
      </c>
      <c r="U6" s="65" t="e">
        <f>IF(OR(ISNUMBER(U8),ISNUMBER(U9)),NA(),IF(ISNUMBER(Assessment!T15),Assessment!T15,NA()))</f>
        <v>#N/A</v>
      </c>
      <c r="V6" s="65" t="e">
        <f>IF(OR(ISNUMBER(V8),ISNUMBER(V9)),NA(),IF(ISNUMBER(Assessment!U15),Assessment!U15,NA()))</f>
        <v>#N/A</v>
      </c>
      <c r="W6" s="65" t="e">
        <f>IF(OR(ISNUMBER(W8),ISNUMBER(W9)),NA(),IF(ISNUMBER(Assessment!V15),Assessment!V15,NA()))</f>
        <v>#N/A</v>
      </c>
    </row>
    <row r="7" spans="2:24" x14ac:dyDescent="0.4">
      <c r="C7" s="2" t="s">
        <v>297</v>
      </c>
      <c r="F7" s="4"/>
      <c r="G7" s="4"/>
      <c r="H7" s="4"/>
      <c r="I7" s="4"/>
      <c r="J7" s="4"/>
      <c r="K7" s="4"/>
      <c r="L7" s="4"/>
      <c r="M7" s="4"/>
      <c r="N7" s="4"/>
      <c r="O7" s="4"/>
      <c r="P7" s="4"/>
      <c r="Q7" s="4"/>
      <c r="R7" s="4"/>
      <c r="S7" s="4"/>
      <c r="T7" s="4"/>
      <c r="U7" s="4"/>
      <c r="V7" s="4"/>
      <c r="W7" s="4"/>
    </row>
    <row r="8" spans="2:24" x14ac:dyDescent="0.4">
      <c r="C8" s="2" t="s">
        <v>298</v>
      </c>
      <c r="F8" s="65"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-0.12946679588512477</v>
      </c>
      <c r="G8" s="65"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2.8340876161799811</v>
      </c>
      <c r="H8" s="65"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65"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65"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65"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65"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65"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65"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65"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65"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65"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65"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65"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65"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65"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65"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65"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299</v>
      </c>
      <c r="F9" s="65"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65"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65"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65"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65"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65"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65"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65"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65"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65"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65"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65"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65"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65"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65"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65"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65"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65"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391</v>
      </c>
      <c r="F10" s="65"/>
      <c r="G10" s="65"/>
      <c r="H10" s="65"/>
      <c r="I10" s="65"/>
      <c r="J10" s="65"/>
      <c r="K10" s="65"/>
      <c r="L10" s="65"/>
      <c r="M10" s="65"/>
      <c r="N10" s="65"/>
      <c r="O10" s="65"/>
      <c r="P10" s="65"/>
      <c r="Q10" s="65"/>
      <c r="R10" s="65"/>
      <c r="S10" s="65"/>
      <c r="T10" s="65"/>
      <c r="U10" s="65"/>
      <c r="V10" s="65"/>
      <c r="W10" s="65"/>
    </row>
    <row r="11" spans="2:24" x14ac:dyDescent="0.4">
      <c r="C11" s="111" t="s">
        <v>573</v>
      </c>
      <c r="D11">
        <f>IF(_xlfn.AGGREGATE(5,6,F4:W9)&lt;0, _xlfn.AGGREGATE(5,6,F4:W9), 0)</f>
        <v>-0.12946679588512477</v>
      </c>
      <c r="F11" s="65"/>
      <c r="G11" s="65"/>
      <c r="H11" s="65"/>
      <c r="I11" s="65"/>
      <c r="J11" s="65"/>
      <c r="K11" s="65"/>
      <c r="L11" s="65"/>
      <c r="M11" s="65"/>
      <c r="N11" s="65"/>
      <c r="O11" s="65"/>
      <c r="P11" s="65"/>
      <c r="Q11" s="65"/>
      <c r="R11" s="65"/>
      <c r="S11" s="65"/>
      <c r="T11" s="65"/>
      <c r="U11" s="65"/>
      <c r="V11" s="65"/>
      <c r="W11" s="65"/>
    </row>
    <row r="12" spans="2:24" x14ac:dyDescent="0.4">
      <c r="C12" s="111" t="s">
        <v>574</v>
      </c>
      <c r="D12">
        <f>_xlfn.AGGREGATE(4,6,F4:W9)</f>
        <v>7.5</v>
      </c>
    </row>
    <row r="13" spans="2:24" x14ac:dyDescent="0.4">
      <c r="C13" s="111"/>
    </row>
    <row r="14" spans="2:24" ht="16.5" x14ac:dyDescent="0.6">
      <c r="B14" s="111" t="s">
        <v>480</v>
      </c>
      <c r="C14" s="12" t="s">
        <v>998</v>
      </c>
    </row>
    <row r="15" spans="2:24" x14ac:dyDescent="0.4">
      <c r="C15" s="2" t="s">
        <v>484</v>
      </c>
      <c r="F15" s="65" cm="1">
        <f t="array" ref="F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-1.1479597695323041</v>
      </c>
      <c r="G15" s="65" cm="1">
        <f t="array" ref="G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-1.615888621751957</v>
      </c>
      <c r="H15" s="65" t="e" cm="1">
        <f t="array" ref="H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I15" s="65" t="e" cm="1">
        <f t="array" ref="I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J15" s="65" t="e" cm="1">
        <f t="array" ref="J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K15" s="65" t="e" cm="1">
        <f t="array" ref="K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L15" s="65" t="e" cm="1">
        <f t="array" ref="L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M15" s="65" t="e" cm="1">
        <f t="array" ref="M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N15" s="65" t="e" cm="1">
        <f t="array" ref="N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O15" s="65" t="e" cm="1">
        <f t="array" ref="O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P15" s="65" t="e" cm="1">
        <f t="array" ref="P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Q15" s="65" t="e" cm="1">
        <f t="array" ref="Q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R15" s="65" t="e" cm="1">
        <f t="array" ref="R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S15" s="65" t="e" cm="1">
        <f t="array" ref="S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T15" s="65" t="e" cm="1">
        <f t="array" ref="T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U15" s="65" t="e" cm="1">
        <f t="array" ref="U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V15" s="65" t="e" cm="1">
        <f t="array" ref="V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W15" s="65" t="e" cm="1">
        <f t="array" ref="W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X15" s="65"/>
    </row>
    <row r="16" spans="2:24" x14ac:dyDescent="0.4">
      <c r="C16" s="2" t="s">
        <v>483</v>
      </c>
      <c r="F16" s="65" t="e">
        <f>IF(COUNTIF('Step 1 - Set global parameters'!$B$12:$G$12,TRUE)&gt;0,
  IF(MTP_Council_Endorsed,IF(ISNUMBER(F15),NA(),IF(Assessment!E141="",NA(),Assessment!E141)),NA()),
  IF(MTP_Council_Endorsed,IF(ISNUMBER(F15),NA(),IF(Assessment!E123="",NA(),Assessment!E123)),NA())
)</f>
        <v>#N/A</v>
      </c>
      <c r="G16" s="65" t="e">
        <f>IF(COUNTIF('Step 1 - Set global parameters'!$B$12:$G$12,TRUE)&gt;0,
  IF(MTP_Council_Endorsed,IF(ISNUMBER(G15),NA(),IF(Assessment!F141="",NA(),Assessment!F141)),NA()),
  IF(MTP_Council_Endorsed,IF(ISNUMBER(G15),NA(),IF(Assessment!F123="",NA(),Assessment!F123)),NA())
)</f>
        <v>#N/A</v>
      </c>
      <c r="H16" s="65">
        <f>IF(COUNTIF('Step 1 - Set global parameters'!$B$12:$G$12,TRUE)&gt;0,
  IF(MTP_Council_Endorsed,IF(ISNUMBER(H15),NA(),IF(Assessment!G141="",NA(),Assessment!G141)),NA()),
  IF(MTP_Council_Endorsed,IF(ISNUMBER(H15),NA(),IF(Assessment!G123="",NA(),Assessment!G123)),NA())
)</f>
        <v>-0.14432286519806431</v>
      </c>
      <c r="I16" s="65" t="e">
        <f>IF(COUNTIF('Step 1 - Set global parameters'!$B$12:$G$12,TRUE)&gt;0,
  IF(MTP_Council_Endorsed,IF(ISNUMBER(I15),NA(),IF(Assessment!H141="",NA(),Assessment!H141)),NA()),
  IF(MTP_Council_Endorsed,IF(ISNUMBER(I15),NA(),IF(Assessment!H123="",NA(),Assessment!H123)),NA())
)</f>
        <v>#N/A</v>
      </c>
      <c r="J16" s="65" t="e">
        <f>IF(COUNTIF('Step 1 - Set global parameters'!$B$12:$G$12,TRUE)&gt;0,
  IF(MTP_Council_Endorsed,IF(ISNUMBER(J15),NA(),IF(Assessment!I141="",NA(),Assessment!I141)),NA()),
  IF(MTP_Council_Endorsed,IF(ISNUMBER(J15),NA(),IF(Assessment!I123="",NA(),Assessment!I123)),NA())
)</f>
        <v>#N/A</v>
      </c>
      <c r="K16" s="65" t="e">
        <f>IF(COUNTIF('Step 1 - Set global parameters'!$B$12:$G$12,TRUE)&gt;0,
  IF(MTP_Council_Endorsed,IF(ISNUMBER(K15),NA(),IF(Assessment!J141="",NA(),Assessment!J141)),NA()),
  IF(MTP_Council_Endorsed,IF(ISNUMBER(K15),NA(),IF(Assessment!J123="",NA(),Assessment!J123)),NA())
)</f>
        <v>#N/A</v>
      </c>
      <c r="L16" s="65" t="e">
        <f>IF(COUNTIF('Step 1 - Set global parameters'!$B$12:$G$12,TRUE)&gt;0,
  IF(MTP_Council_Endorsed,IF(ISNUMBER(L15),NA(),IF(Assessment!K141="",NA(),Assessment!K141)),NA()),
  IF(MTP_Council_Endorsed,IF(ISNUMBER(L15),NA(),IF(Assessment!K123="",NA(),Assessment!K123)),NA())
)</f>
        <v>#N/A</v>
      </c>
      <c r="M16" s="65" t="e">
        <f>IF(COUNTIF('Step 1 - Set global parameters'!$B$12:$G$12,TRUE)&gt;0,
  IF(MTP_Council_Endorsed,IF(ISNUMBER(M15),NA(),IF(Assessment!L141="",NA(),Assessment!L141)),NA()),
  IF(MTP_Council_Endorsed,IF(ISNUMBER(M15),NA(),IF(Assessment!L123="",NA(),Assessment!L123)),NA())
)</f>
        <v>#N/A</v>
      </c>
      <c r="N16" s="65" t="e">
        <f>IF(COUNTIF('Step 1 - Set global parameters'!$B$12:$G$12,TRUE)&gt;0,
  IF(MTP_Council_Endorsed,IF(ISNUMBER(N15),NA(),IF(Assessment!M141="",NA(),Assessment!M141)),NA()),
  IF(MTP_Council_Endorsed,IF(ISNUMBER(N15),NA(),IF(Assessment!M123="",NA(),Assessment!M123)),NA())
)</f>
        <v>#N/A</v>
      </c>
      <c r="O16" s="65" t="e">
        <f>IF(COUNTIF('Step 1 - Set global parameters'!$B$12:$G$12,TRUE)&gt;0,
  IF(MTP_Council_Endorsed,IF(ISNUMBER(O15),NA(),IF(Assessment!N141="",NA(),Assessment!N141)),NA()),
  IF(MTP_Council_Endorsed,IF(ISNUMBER(O15),NA(),IF(Assessment!N123="",NA(),Assessment!N123)),NA())
)</f>
        <v>#N/A</v>
      </c>
      <c r="P16" s="65" t="e">
        <f>IF(COUNTIF('Step 1 - Set global parameters'!$B$12:$G$12,TRUE)&gt;0,
  IF(MTP_Council_Endorsed,IF(ISNUMBER(P15),NA(),IF(Assessment!O141="",NA(),Assessment!O141)),NA()),
  IF(MTP_Council_Endorsed,IF(ISNUMBER(P15),NA(),IF(Assessment!O123="",NA(),Assessment!O123)),NA())
)</f>
        <v>#N/A</v>
      </c>
      <c r="Q16" s="65" t="e">
        <f>IF(COUNTIF('Step 1 - Set global parameters'!$B$12:$G$12,TRUE)&gt;0,
  IF(MTP_Council_Endorsed,IF(ISNUMBER(Q15),NA(),IF(Assessment!P141="",NA(),Assessment!P141)),NA()),
  IF(MTP_Council_Endorsed,IF(ISNUMBER(Q15),NA(),IF(Assessment!P123="",NA(),Assessment!P123)),NA())
)</f>
        <v>#N/A</v>
      </c>
      <c r="R16" s="65" t="e">
        <f>IF(COUNTIF('Step 1 - Set global parameters'!$B$12:$G$12,TRUE)&gt;0,
  IF(MTP_Council_Endorsed,IF(ISNUMBER(R15),NA(),IF(Assessment!Q141="",NA(),Assessment!Q141)),NA()),
  IF(MTP_Council_Endorsed,IF(ISNUMBER(R15),NA(),IF(Assessment!Q123="",NA(),Assessment!Q123)),NA())
)</f>
        <v>#N/A</v>
      </c>
      <c r="S16" s="65" t="e">
        <f>IF(COUNTIF('Step 1 - Set global parameters'!$B$12:$G$12,TRUE)&gt;0,
  IF(MTP_Council_Endorsed,IF(ISNUMBER(S15),NA(),IF(Assessment!R141="",NA(),Assessment!R141)),NA()),
  IF(MTP_Council_Endorsed,IF(ISNUMBER(S15),NA(),IF(Assessment!R123="",NA(),Assessment!R123)),NA())
)</f>
        <v>#N/A</v>
      </c>
      <c r="T16" s="65" t="e">
        <f>IF(COUNTIF('Step 1 - Set global parameters'!$B$12:$G$12,TRUE)&gt;0,
  IF(MTP_Council_Endorsed,IF(ISNUMBER(T15),NA(),IF(Assessment!S141="",NA(),Assessment!S141)),NA()),
  IF(MTP_Council_Endorsed,IF(ISNUMBER(T15),NA(),IF(Assessment!S123="",NA(),Assessment!S123)),NA())
)</f>
        <v>#N/A</v>
      </c>
      <c r="U16" s="65" t="e">
        <f>IF(COUNTIF('Step 1 - Set global parameters'!$B$12:$G$12,TRUE)&gt;0,
  IF(MTP_Council_Endorsed,IF(ISNUMBER(U15),NA(),IF(Assessment!T141="",NA(),Assessment!T141)),NA()),
  IF(MTP_Council_Endorsed,IF(ISNUMBER(U15),NA(),IF(Assessment!T123="",NA(),Assessment!T123)),NA())
)</f>
        <v>#N/A</v>
      </c>
      <c r="V16" s="65" t="e">
        <f>IF(COUNTIF('Step 1 - Set global parameters'!$B$12:$G$12,TRUE)&gt;0,
  IF(MTP_Council_Endorsed,IF(ISNUMBER(V15),NA(),IF(Assessment!U141="",NA(),Assessment!U141)),NA()),
  IF(MTP_Council_Endorsed,IF(ISNUMBER(V15),NA(),IF(Assessment!U123="",NA(),Assessment!U123)),NA())
)</f>
        <v>#N/A</v>
      </c>
      <c r="W16" s="65" t="e">
        <f>IF(COUNTIF('Step 1 - Set global parameters'!$B$12:$G$12,TRUE)&gt;0,
  IF(MTP_Council_Endorsed,IF(ISNUMBER(W15),NA(),IF(Assessment!V141="",NA(),Assessment!V141)),NA()),
  IF(MTP_Council_Endorsed,IF(ISNUMBER(W15),NA(),IF(Assessment!V123="",NA(),Assessment!V123)),NA())
)</f>
        <v>#N/A</v>
      </c>
    </row>
    <row r="17" spans="2:23" x14ac:dyDescent="0.4">
      <c r="C17" s="2" t="s">
        <v>296</v>
      </c>
      <c r="F17" s="4"/>
      <c r="G17" s="4"/>
      <c r="H17" s="4"/>
      <c r="I17" s="4"/>
      <c r="J17" s="4"/>
      <c r="K17" s="4"/>
      <c r="L17" s="4"/>
      <c r="M17" s="4"/>
      <c r="N17" s="4"/>
      <c r="O17" s="4"/>
      <c r="P17" s="4"/>
      <c r="Q17" s="4"/>
      <c r="R17" s="4"/>
      <c r="S17" s="4"/>
      <c r="T17" s="4"/>
      <c r="U17" s="4"/>
      <c r="V17" s="4"/>
      <c r="W17" s="4"/>
    </row>
    <row r="18" spans="2:23" x14ac:dyDescent="0.4">
      <c r="C18" s="2" t="s">
        <v>579</v>
      </c>
      <c r="F18" s="65">
        <f>IF(COUNTIF('Step 1 - Set global parameters'!$B$12:$G$12,TRUE)&gt;0,
  IF(MTP_Council_Endorsed,IF(NOT(Assessment!E142),IF(Assessment!E139&lt;=0,Assessment!E139,NA()),NA()),NA()),
  IF(MTP_Council_Endorsed,IF(NOT(Assessment!E124),IF(Assessment!E122&lt;=0,Assessment!E122,NA()),NA()),NA())
)</f>
        <v>-1.1142479555285194</v>
      </c>
      <c r="G18" s="65" t="e">
        <f>IF(COUNTIF('Step 1 - Set global parameters'!$B$12:$G$12,TRUE)&gt;0,
  IF(MTP_Council_Endorsed,IF(NOT(Assessment!F142),IF(Assessment!F139&lt;=0,Assessment!F139,NA()),NA()),NA()),
  IF(MTP_Council_Endorsed,IF(NOT(Assessment!F124),IF(Assessment!F122&lt;=0,Assessment!F122,NA()),NA()),NA())
)</f>
        <v>#N/A</v>
      </c>
      <c r="H18" s="65" t="e">
        <f>IF(COUNTIF('Step 1 - Set global parameters'!$B$12:$G$12,TRUE)&gt;0,
  IF(MTP_Council_Endorsed,IF(NOT(Assessment!G142),IF(Assessment!G139&lt;=0,Assessment!G139,NA()),NA()),NA()),
  IF(MTP_Council_Endorsed,IF(NOT(Assessment!G124),IF(Assessment!G122&lt;=0,Assessment!G122,NA()),NA()),NA())
)</f>
        <v>#N/A</v>
      </c>
      <c r="I18" s="65" t="e">
        <f>IF(COUNTIF('Step 1 - Set global parameters'!$B$12:$G$12,TRUE)&gt;0,
  IF(MTP_Council_Endorsed,IF(NOT(Assessment!H142),IF(Assessment!H139&lt;=0,Assessment!H139,NA()),NA()),NA()),
  IF(MTP_Council_Endorsed,IF(NOT(Assessment!H124),IF(Assessment!H122&lt;=0,Assessment!H122,NA()),NA()),NA())
)</f>
        <v>#N/A</v>
      </c>
      <c r="J18" s="65" t="e">
        <f>IF(COUNTIF('Step 1 - Set global parameters'!$B$12:$G$12,TRUE)&gt;0,
  IF(MTP_Council_Endorsed,IF(NOT(Assessment!I142),IF(Assessment!I139&lt;=0,Assessment!I139,NA()),NA()),NA()),
  IF(MTP_Council_Endorsed,IF(NOT(Assessment!I124),IF(Assessment!I122&lt;=0,Assessment!I122,NA()),NA()),NA())
)</f>
        <v>#N/A</v>
      </c>
      <c r="K18" s="65" t="e">
        <f>IF(COUNTIF('Step 1 - Set global parameters'!$B$12:$G$12,TRUE)&gt;0,
  IF(MTP_Council_Endorsed,IF(NOT(Assessment!J142),IF(Assessment!J139&lt;=0,Assessment!J139,NA()),NA()),NA()),
  IF(MTP_Council_Endorsed,IF(NOT(Assessment!J124),IF(Assessment!J122&lt;=0,Assessment!J122,NA()),NA()),NA())
)</f>
        <v>#N/A</v>
      </c>
      <c r="L18" s="65">
        <f>IF(COUNTIF('Step 1 - Set global parameters'!$B$12:$G$12,TRUE)&gt;0,
  IF(MTP_Council_Endorsed,IF(NOT(Assessment!K142),IF(Assessment!K139&lt;=0,Assessment!K139,NA()),NA()),NA()),
  IF(MTP_Council_Endorsed,IF(NOT(Assessment!K124),IF(Assessment!K122&lt;=0,Assessment!K122,NA()),NA()),NA())
)</f>
        <v>0</v>
      </c>
      <c r="M18" s="65">
        <f>IF(COUNTIF('Step 1 - Set global parameters'!$B$12:$G$12,TRUE)&gt;0,
  IF(MTP_Council_Endorsed,IF(NOT(Assessment!L142),IF(Assessment!L139&lt;=0,Assessment!L139,NA()),NA()),NA()),
  IF(MTP_Council_Endorsed,IF(NOT(Assessment!L124),IF(Assessment!L122&lt;=0,Assessment!L122,NA()),NA()),NA())
)</f>
        <v>0</v>
      </c>
      <c r="N18" s="65">
        <f>IF(COUNTIF('Step 1 - Set global parameters'!$B$12:$G$12,TRUE)&gt;0,
  IF(MTP_Council_Endorsed,IF(NOT(Assessment!M142),IF(Assessment!M139&lt;=0,Assessment!M139,NA()),NA()),NA()),
  IF(MTP_Council_Endorsed,IF(NOT(Assessment!M124),IF(Assessment!M122&lt;=0,Assessment!M122,NA()),NA()),NA())
)</f>
        <v>0</v>
      </c>
      <c r="O18" s="65">
        <f>IF(COUNTIF('Step 1 - Set global parameters'!$B$12:$G$12,TRUE)&gt;0,
  IF(MTP_Council_Endorsed,IF(NOT(Assessment!N142),IF(Assessment!N139&lt;=0,Assessment!N139,NA()),NA()),NA()),
  IF(MTP_Council_Endorsed,IF(NOT(Assessment!N124),IF(Assessment!N122&lt;=0,Assessment!N122,NA()),NA()),NA())
)</f>
        <v>0</v>
      </c>
      <c r="P18" s="65">
        <f>IF(COUNTIF('Step 1 - Set global parameters'!$B$12:$G$12,TRUE)&gt;0,
  IF(MTP_Council_Endorsed,IF(NOT(Assessment!O142),IF(Assessment!O139&lt;=0,Assessment!O139,NA()),NA()),NA()),
  IF(MTP_Council_Endorsed,IF(NOT(Assessment!O124),IF(Assessment!O122&lt;=0,Assessment!O122,NA()),NA()),NA())
)</f>
        <v>0</v>
      </c>
      <c r="Q18" s="65">
        <f>IF(COUNTIF('Step 1 - Set global parameters'!$B$12:$G$12,TRUE)&gt;0,
  IF(MTP_Council_Endorsed,IF(NOT(Assessment!P142),IF(Assessment!P139&lt;=0,Assessment!P139,NA()),NA()),NA()),
  IF(MTP_Council_Endorsed,IF(NOT(Assessment!P124),IF(Assessment!P122&lt;=0,Assessment!P122,NA()),NA()),NA())
)</f>
        <v>0</v>
      </c>
      <c r="R18" s="65">
        <f>IF(COUNTIF('Step 1 - Set global parameters'!$B$12:$G$12,TRUE)&gt;0,
  IF(MTP_Council_Endorsed,IF(NOT(Assessment!Q142),IF(Assessment!Q139&lt;=0,Assessment!Q139,NA()),NA()),NA()),
  IF(MTP_Council_Endorsed,IF(NOT(Assessment!Q124),IF(Assessment!Q122&lt;=0,Assessment!Q122,NA()),NA()),NA())
)</f>
        <v>0</v>
      </c>
      <c r="S18" s="65">
        <f>IF(COUNTIF('Step 1 - Set global parameters'!$B$12:$G$12,TRUE)&gt;0,
  IF(MTP_Council_Endorsed,IF(NOT(Assessment!R142),IF(Assessment!R139&lt;=0,Assessment!R139,NA()),NA()),NA()),
  IF(MTP_Council_Endorsed,IF(NOT(Assessment!R124),IF(Assessment!R122&lt;=0,Assessment!R122,NA()),NA()),NA())
)</f>
        <v>0</v>
      </c>
      <c r="T18" s="65">
        <f>IF(COUNTIF('Step 1 - Set global parameters'!$B$12:$G$12,TRUE)&gt;0,
  IF(MTP_Council_Endorsed,IF(NOT(Assessment!S142),IF(Assessment!S139&lt;=0,Assessment!S139,NA()),NA()),NA()),
  IF(MTP_Council_Endorsed,IF(NOT(Assessment!S124),IF(Assessment!S122&lt;=0,Assessment!S122,NA()),NA()),NA())
)</f>
        <v>0</v>
      </c>
      <c r="U18" s="65">
        <f>IF(COUNTIF('Step 1 - Set global parameters'!$B$12:$G$12,TRUE)&gt;0,
  IF(MTP_Council_Endorsed,IF(NOT(Assessment!T142),IF(Assessment!T139&lt;=0,Assessment!T139,NA()),NA()),NA()),
  IF(MTP_Council_Endorsed,IF(NOT(Assessment!T124),IF(Assessment!T122&lt;=0,Assessment!T122,NA()),NA()),NA())
)</f>
        <v>0</v>
      </c>
      <c r="V18" s="65">
        <f>IF(COUNTIF('Step 1 - Set global parameters'!$B$12:$G$12,TRUE)&gt;0,
  IF(MTP_Council_Endorsed,IF(NOT(Assessment!U142),IF(Assessment!U139&lt;=0,Assessment!U139,NA()),NA()),NA()),
  IF(MTP_Council_Endorsed,IF(NOT(Assessment!U124),IF(Assessment!U122&lt;=0,Assessment!U122,NA()),NA()),NA())
)</f>
        <v>0</v>
      </c>
      <c r="W18" s="65">
        <f>IF(COUNTIF('Step 1 - Set global parameters'!$B$12:$G$12,TRUE)&gt;0,
  IF(MTP_Council_Endorsed,IF(NOT(Assessment!V142),IF(Assessment!V139&lt;=0,Assessment!V139,NA()),NA()),NA()),
  IF(MTP_Council_Endorsed,IF(NOT(Assessment!V124),IF(Assessment!V122&lt;=0,Assessment!V122,NA()),NA()),NA())
)</f>
        <v>0</v>
      </c>
    </row>
    <row r="19" spans="2:23" x14ac:dyDescent="0.4">
      <c r="C19" s="2" t="s">
        <v>580</v>
      </c>
      <c r="F19" s="65" t="e">
        <f>IF(COUNTIF('Step 1 - Set global parameters'!$B$12:$G$12,TRUE)&gt;0,
  IF(MTP_Council_Endorsed,IF(NOT(Assessment!E142),IF(Assessment!E139&gt;0,Assessment!E139,NA()),NA()),NA()),
  IF(MTP_Council_Endorsed,IF(NOT(Assessment!E124),IF(Assessment!E122&gt;0,Assessment!E122,NA()),NA()),NA())
)</f>
        <v>#N/A</v>
      </c>
      <c r="G19" s="65" t="e">
        <f>IF(COUNTIF('Step 1 - Set global parameters'!$B$12:$G$12,TRUE)&gt;0,
  IF(MTP_Council_Endorsed,IF(NOT(Assessment!F142),IF(Assessment!F139&gt;0,Assessment!F139,NA()),NA()),NA()),
  IF(MTP_Council_Endorsed,IF(NOT(Assessment!F124),IF(Assessment!F122&gt;0,Assessment!F122,NA()),NA()),NA())
)</f>
        <v>#N/A</v>
      </c>
      <c r="H19" s="65" t="e">
        <f>IF(COUNTIF('Step 1 - Set global parameters'!$B$12:$G$12,TRUE)&gt;0,
  IF(MTP_Council_Endorsed,IF(NOT(Assessment!G142),IF(Assessment!G139&gt;0,Assessment!G139,NA()),NA()),NA()),
  IF(MTP_Council_Endorsed,IF(NOT(Assessment!G124),IF(Assessment!G122&gt;0,Assessment!G122,NA()),NA()),NA())
)</f>
        <v>#N/A</v>
      </c>
      <c r="I19" s="65" t="e">
        <f>IF(COUNTIF('Step 1 - Set global parameters'!$B$12:$G$12,TRUE)&gt;0,
  IF(MTP_Council_Endorsed,IF(NOT(Assessment!H142),IF(Assessment!H139&gt;0,Assessment!H139,NA()),NA()),NA()),
  IF(MTP_Council_Endorsed,IF(NOT(Assessment!H124),IF(Assessment!H122&gt;0,Assessment!H122,NA()),NA()),NA())
)</f>
        <v>#N/A</v>
      </c>
      <c r="J19" s="65" t="e">
        <f>IF(COUNTIF('Step 1 - Set global parameters'!$B$12:$G$12,TRUE)&gt;0,
  IF(MTP_Council_Endorsed,IF(NOT(Assessment!I142),IF(Assessment!I139&gt;0,Assessment!I139,NA()),NA()),NA()),
  IF(MTP_Council_Endorsed,IF(NOT(Assessment!I124),IF(Assessment!I122&gt;0,Assessment!I122,NA()),NA()),NA())
)</f>
        <v>#N/A</v>
      </c>
      <c r="K19" s="65" t="str">
        <f>IF(COUNTIF('Step 1 - Set global parameters'!$B$12:$G$12,TRUE)&gt;0,
  IF(MTP_Council_Endorsed,IF(NOT(Assessment!J142),IF(Assessment!J139&gt;0,Assessment!J139,NA()),NA()),NA()),
  IF(MTP_Council_Endorsed,IF(NOT(Assessment!J124),IF(Assessment!J122&gt;0,Assessment!J122,NA()),NA()),NA())
)</f>
        <v/>
      </c>
      <c r="L19" s="65" t="e">
        <f>IF(COUNTIF('Step 1 - Set global parameters'!$B$12:$G$12,TRUE)&gt;0,
  IF(MTP_Council_Endorsed,IF(NOT(Assessment!K142),IF(Assessment!K139&gt;0,Assessment!K139,NA()),NA()),NA()),
  IF(MTP_Council_Endorsed,IF(NOT(Assessment!K124),IF(Assessment!K122&gt;0,Assessment!K122,NA()),NA()),NA())
)</f>
        <v>#N/A</v>
      </c>
      <c r="M19" s="65" t="e">
        <f>IF(COUNTIF('Step 1 - Set global parameters'!$B$12:$G$12,TRUE)&gt;0,
  IF(MTP_Council_Endorsed,IF(NOT(Assessment!L142),IF(Assessment!L139&gt;0,Assessment!L139,NA()),NA()),NA()),
  IF(MTP_Council_Endorsed,IF(NOT(Assessment!L124),IF(Assessment!L122&gt;0,Assessment!L122,NA()),NA()),NA())
)</f>
        <v>#N/A</v>
      </c>
      <c r="N19" s="65" t="e">
        <f>IF(COUNTIF('Step 1 - Set global parameters'!$B$12:$G$12,TRUE)&gt;0,
  IF(MTP_Council_Endorsed,IF(NOT(Assessment!M142),IF(Assessment!M139&gt;0,Assessment!M139,NA()),NA()),NA()),
  IF(MTP_Council_Endorsed,IF(NOT(Assessment!M124),IF(Assessment!M122&gt;0,Assessment!M122,NA()),NA()),NA())
)</f>
        <v>#N/A</v>
      </c>
      <c r="O19" s="65" t="e">
        <f>IF(COUNTIF('Step 1 - Set global parameters'!$B$12:$G$12,TRUE)&gt;0,
  IF(MTP_Council_Endorsed,IF(NOT(Assessment!N142),IF(Assessment!N139&gt;0,Assessment!N139,NA()),NA()),NA()),
  IF(MTP_Council_Endorsed,IF(NOT(Assessment!N124),IF(Assessment!N122&gt;0,Assessment!N122,NA()),NA()),NA())
)</f>
        <v>#N/A</v>
      </c>
      <c r="P19" s="65" t="e">
        <f>IF(COUNTIF('Step 1 - Set global parameters'!$B$12:$G$12,TRUE)&gt;0,
  IF(MTP_Council_Endorsed,IF(NOT(Assessment!O142),IF(Assessment!O139&gt;0,Assessment!O139,NA()),NA()),NA()),
  IF(MTP_Council_Endorsed,IF(NOT(Assessment!O124),IF(Assessment!O122&gt;0,Assessment!O122,NA()),NA()),NA())
)</f>
        <v>#N/A</v>
      </c>
      <c r="Q19" s="65" t="e">
        <f>IF(COUNTIF('Step 1 - Set global parameters'!$B$12:$G$12,TRUE)&gt;0,
  IF(MTP_Council_Endorsed,IF(NOT(Assessment!P142),IF(Assessment!P139&gt;0,Assessment!P139,NA()),NA()),NA()),
  IF(MTP_Council_Endorsed,IF(NOT(Assessment!P124),IF(Assessment!P122&gt;0,Assessment!P122,NA()),NA()),NA())
)</f>
        <v>#N/A</v>
      </c>
      <c r="R19" s="65" t="e">
        <f>IF(COUNTIF('Step 1 - Set global parameters'!$B$12:$G$12,TRUE)&gt;0,
  IF(MTP_Council_Endorsed,IF(NOT(Assessment!Q142),IF(Assessment!Q139&gt;0,Assessment!Q139,NA()),NA()),NA()),
  IF(MTP_Council_Endorsed,IF(NOT(Assessment!Q124),IF(Assessment!Q122&gt;0,Assessment!Q122,NA()),NA()),NA())
)</f>
        <v>#N/A</v>
      </c>
      <c r="S19" s="65" t="e">
        <f>IF(COUNTIF('Step 1 - Set global parameters'!$B$12:$G$12,TRUE)&gt;0,
  IF(MTP_Council_Endorsed,IF(NOT(Assessment!R142),IF(Assessment!R139&gt;0,Assessment!R139,NA()),NA()),NA()),
  IF(MTP_Council_Endorsed,IF(NOT(Assessment!R124),IF(Assessment!R122&gt;0,Assessment!R122,NA()),NA()),NA())
)</f>
        <v>#N/A</v>
      </c>
      <c r="T19" s="65" t="e">
        <f>IF(COUNTIF('Step 1 - Set global parameters'!$B$12:$G$12,TRUE)&gt;0,
  IF(MTP_Council_Endorsed,IF(NOT(Assessment!S142),IF(Assessment!S139&gt;0,Assessment!S139,NA()),NA()),NA()),
  IF(MTP_Council_Endorsed,IF(NOT(Assessment!S124),IF(Assessment!S122&gt;0,Assessment!S122,NA()),NA()),NA())
)</f>
        <v>#N/A</v>
      </c>
      <c r="U19" s="65" t="e">
        <f>IF(COUNTIF('Step 1 - Set global parameters'!$B$12:$G$12,TRUE)&gt;0,
  IF(MTP_Council_Endorsed,IF(NOT(Assessment!T142),IF(Assessment!T139&gt;0,Assessment!T139,NA()),NA()),NA()),
  IF(MTP_Council_Endorsed,IF(NOT(Assessment!T124),IF(Assessment!T122&gt;0,Assessment!T122,NA()),NA()),NA())
)</f>
        <v>#N/A</v>
      </c>
      <c r="V19" s="65" t="e">
        <f>IF(COUNTIF('Step 1 - Set global parameters'!$B$12:$G$12,TRUE)&gt;0,
  IF(MTP_Council_Endorsed,IF(NOT(Assessment!U142),IF(Assessment!U139&gt;0,Assessment!U139,NA()),NA()),NA()),
  IF(MTP_Council_Endorsed,IF(NOT(Assessment!U124),IF(Assessment!U122&gt;0,Assessment!U122,NA()),NA()),NA())
)</f>
        <v>#N/A</v>
      </c>
      <c r="W19" s="65" t="e">
        <f>IF(COUNTIF('Step 1 - Set global parameters'!$B$12:$G$12,TRUE)&gt;0,
  IF(MTP_Council_Endorsed,IF(NOT(Assessment!V142),IF(Assessment!V139&gt;0,Assessment!V139,NA()),NA()),NA()),
  IF(MTP_Council_Endorsed,IF(NOT(Assessment!V124),IF(Assessment!V122&gt;0,Assessment!V122,NA()),NA()),NA())
)</f>
        <v>#N/A</v>
      </c>
    </row>
    <row r="20" spans="2:23" x14ac:dyDescent="0.4">
      <c r="C20" s="2" t="s">
        <v>297</v>
      </c>
      <c r="F20" s="65"/>
      <c r="G20" s="65"/>
      <c r="H20" s="65"/>
      <c r="I20" s="65"/>
      <c r="J20" s="65"/>
      <c r="K20" s="65"/>
      <c r="L20" s="65"/>
      <c r="M20" s="65"/>
      <c r="N20" s="65"/>
      <c r="O20" s="65"/>
      <c r="P20" s="65"/>
      <c r="Q20" s="65"/>
      <c r="R20" s="65"/>
      <c r="S20" s="65"/>
      <c r="T20" s="65"/>
      <c r="U20" s="65"/>
      <c r="V20" s="65"/>
      <c r="W20" s="65"/>
    </row>
    <row r="21" spans="2:23" x14ac:dyDescent="0.4">
      <c r="C21" s="2" t="s">
        <v>667</v>
      </c>
      <c r="F21" s="65" t="e">
        <f>IF(MTP_Council_Endorsed,IF(Assessment!E142,Assessment!E139,NA()),NA())</f>
        <v>#N/A</v>
      </c>
      <c r="G21" s="65">
        <f>IF(MTP_Council_Endorsed,IF(Assessment!F142,Assessment!F139,NA()),NA())</f>
        <v>-0.34349177805685849</v>
      </c>
      <c r="H21" s="65">
        <f>IF(MTP_Council_Endorsed,IF(Assessment!G142,Assessment!G139,NA()),NA())</f>
        <v>1.1918144900881076</v>
      </c>
      <c r="I21" s="65" t="str">
        <f>IF(MTP_Council_Endorsed,IF(Assessment!H142,Assessment!H139,NA()),NA())</f>
        <v/>
      </c>
      <c r="J21" s="65" t="str">
        <f>IF(MTP_Council_Endorsed,IF(Assessment!I142,Assessment!I139,NA()),NA())</f>
        <v/>
      </c>
      <c r="K21" s="65" t="e">
        <f>IF(MTP_Council_Endorsed,IF(Assessment!J142,Assessment!J139,NA()),NA())</f>
        <v>#N/A</v>
      </c>
      <c r="L21" s="65" t="e">
        <f>IF(MTP_Council_Endorsed,IF(Assessment!K142,Assessment!K139,NA()),NA())</f>
        <v>#N/A</v>
      </c>
      <c r="M21" s="65" t="e">
        <f>IF(MTP_Council_Endorsed,IF(Assessment!L142,Assessment!L139,NA()),NA())</f>
        <v>#N/A</v>
      </c>
      <c r="N21" s="65" t="e">
        <f>IF(MTP_Council_Endorsed,IF(Assessment!M142,Assessment!M139,NA()),NA())</f>
        <v>#N/A</v>
      </c>
      <c r="O21" s="65" t="e">
        <f>IF(MTP_Council_Endorsed,IF(Assessment!N142,Assessment!N139,NA()),NA())</f>
        <v>#N/A</v>
      </c>
      <c r="P21" s="65" t="e">
        <f>IF(MTP_Council_Endorsed,IF(Assessment!O142,Assessment!O139,NA()),NA())</f>
        <v>#N/A</v>
      </c>
      <c r="Q21" s="65" t="e">
        <f>IF(MTP_Council_Endorsed,IF(Assessment!P142,Assessment!P139,NA()),NA())</f>
        <v>#N/A</v>
      </c>
      <c r="R21" s="65" t="e">
        <f>IF(MTP_Council_Endorsed,IF(Assessment!Q142,Assessment!Q139,NA()),NA())</f>
        <v>#N/A</v>
      </c>
      <c r="S21" s="65" t="e">
        <f>IF(MTP_Council_Endorsed,IF(Assessment!R142,Assessment!R139,NA()),NA())</f>
        <v>#N/A</v>
      </c>
      <c r="T21" s="65" t="e">
        <f>IF(MTP_Council_Endorsed,IF(Assessment!S142,Assessment!S139,NA()),NA())</f>
        <v>#N/A</v>
      </c>
      <c r="U21" s="65" t="e">
        <f>IF(MTP_Council_Endorsed,IF(Assessment!T142,Assessment!T139,NA()),NA())</f>
        <v>#N/A</v>
      </c>
      <c r="V21" s="65" t="e">
        <f>IF(MTP_Council_Endorsed,IF(Assessment!U142,Assessment!U139,NA()),NA())</f>
        <v>#N/A</v>
      </c>
      <c r="W21" s="65" t="e">
        <f>IF(MTP_Council_Endorsed,IF(Assessment!V142,Assessment!V139,NA()),NA())</f>
        <v>#N/A</v>
      </c>
    </row>
    <row r="22" spans="2:23" x14ac:dyDescent="0.4">
      <c r="C22" s="2" t="s">
        <v>485</v>
      </c>
      <c r="F22" s="65">
        <v>0.3</v>
      </c>
      <c r="G22" s="65">
        <v>0.3</v>
      </c>
      <c r="H22" s="65">
        <v>0.3</v>
      </c>
      <c r="I22" s="65">
        <v>0.3</v>
      </c>
      <c r="J22" s="65">
        <v>0.3</v>
      </c>
      <c r="K22" s="65">
        <v>0.3</v>
      </c>
      <c r="L22" s="65">
        <v>0.3</v>
      </c>
      <c r="M22" s="65">
        <v>0.3</v>
      </c>
      <c r="N22" s="65">
        <v>0.3</v>
      </c>
      <c r="O22" s="65">
        <v>0.3</v>
      </c>
      <c r="P22" s="65">
        <v>0.3</v>
      </c>
      <c r="Q22" s="65">
        <v>0.3</v>
      </c>
      <c r="R22" s="65">
        <v>0.3</v>
      </c>
      <c r="S22" s="65">
        <v>0.3</v>
      </c>
      <c r="T22" s="65">
        <v>0.3</v>
      </c>
      <c r="U22" s="65">
        <v>0.3</v>
      </c>
      <c r="V22" s="65">
        <v>0.3</v>
      </c>
      <c r="W22" s="65">
        <v>0.3</v>
      </c>
    </row>
    <row r="23" spans="2:23" x14ac:dyDescent="0.4">
      <c r="C23" s="2" t="s">
        <v>486</v>
      </c>
      <c r="F23" s="65">
        <v>0.6</v>
      </c>
      <c r="G23" s="65">
        <v>0.6</v>
      </c>
      <c r="H23" s="65">
        <v>0.6</v>
      </c>
      <c r="I23" s="65">
        <v>0.6</v>
      </c>
      <c r="J23" s="65">
        <v>0.6</v>
      </c>
      <c r="K23" s="65">
        <v>0.6</v>
      </c>
      <c r="L23" s="65">
        <v>0.6</v>
      </c>
      <c r="M23" s="65">
        <v>0.6</v>
      </c>
      <c r="N23" s="65">
        <v>0.6</v>
      </c>
      <c r="O23" s="65">
        <v>0.6</v>
      </c>
      <c r="P23" s="65">
        <v>0.6</v>
      </c>
      <c r="Q23" s="65">
        <v>0.6</v>
      </c>
      <c r="R23" s="65">
        <v>0.6</v>
      </c>
      <c r="S23" s="65">
        <v>0.6</v>
      </c>
      <c r="T23" s="65">
        <v>0.6</v>
      </c>
      <c r="U23" s="65">
        <v>0.6</v>
      </c>
      <c r="V23" s="65">
        <v>0.6</v>
      </c>
      <c r="W23" s="65">
        <v>0.6</v>
      </c>
    </row>
    <row r="24" spans="2:23" x14ac:dyDescent="0.4">
      <c r="C24" s="2" t="s">
        <v>478</v>
      </c>
      <c r="F24" s="65"/>
      <c r="G24" s="65"/>
      <c r="H24" s="65"/>
      <c r="I24" s="65"/>
      <c r="J24" s="65"/>
      <c r="K24" s="65"/>
      <c r="L24" s="65"/>
      <c r="M24" s="65"/>
      <c r="N24" s="65"/>
      <c r="O24" s="65"/>
      <c r="P24" s="65"/>
      <c r="Q24" s="65"/>
      <c r="R24" s="65"/>
      <c r="S24" s="65"/>
      <c r="T24" s="65"/>
      <c r="U24" s="65"/>
      <c r="V24" s="65"/>
      <c r="W24" s="65"/>
    </row>
    <row r="25" spans="2:23" x14ac:dyDescent="0.4">
      <c r="C25" s="111" t="s">
        <v>573</v>
      </c>
      <c r="D25" s="4">
        <f>IF(_xlfn.AGGREGATE(5,6,F15:W23)&lt;0, _xlfn.AGGREGATE(5,6,F15:W23), 0)</f>
        <v>-1.615888621751957</v>
      </c>
      <c r="F25" s="65"/>
      <c r="G25" s="65"/>
      <c r="H25" s="65"/>
      <c r="I25" s="65"/>
      <c r="J25" s="65"/>
      <c r="K25" s="65"/>
      <c r="L25" s="65"/>
      <c r="M25" s="65"/>
      <c r="N25" s="65"/>
      <c r="O25" s="65"/>
      <c r="P25" s="65"/>
      <c r="Q25" s="65"/>
      <c r="R25" s="65"/>
      <c r="S25" s="65"/>
      <c r="T25" s="65"/>
      <c r="U25" s="65"/>
      <c r="V25" s="65"/>
      <c r="W25" s="65"/>
    </row>
    <row r="26" spans="2:23" x14ac:dyDescent="0.4">
      <c r="C26" s="111" t="s">
        <v>574</v>
      </c>
      <c r="D26" s="4">
        <f>_xlfn.AGGREGATE(4,6,F15:W23)</f>
        <v>1.1918144900881076</v>
      </c>
    </row>
    <row r="27" spans="2:23" x14ac:dyDescent="0.4">
      <c r="C27" s="111"/>
    </row>
    <row r="28" spans="2:23" ht="16.5" x14ac:dyDescent="0.6">
      <c r="B28" s="111" t="s">
        <v>481</v>
      </c>
      <c r="C28" s="12" t="s">
        <v>993</v>
      </c>
    </row>
    <row r="29" spans="2:23" x14ac:dyDescent="0.4">
      <c r="C29" s="2" t="s">
        <v>497</v>
      </c>
      <c r="E29" s="65">
        <f>IF(ISNUMBER(Assessment!D38),Assessment!D38,NA())</f>
        <v>161.9</v>
      </c>
      <c r="F29" s="65">
        <f>IF(ISNUMBER(Assessment!E38),Assessment!E38,NA())</f>
        <v>153.69999999999999</v>
      </c>
      <c r="G29" s="65">
        <f>IF(ISNUMBER(Assessment!F38),Assessment!F38,NA())</f>
        <v>149.1</v>
      </c>
      <c r="H29" s="65">
        <f>IF(ISNUMBER(Assessment!G38),Assessment!G38,NA())</f>
        <v>143.1</v>
      </c>
      <c r="I29" s="65">
        <f>IF(ISNUMBER(Assessment!H38),Assessment!H38,NA())</f>
        <v>138</v>
      </c>
      <c r="J29" s="65">
        <f>IF(ISNUMBER(Assessment!I38),Assessment!I38,NA())</f>
        <v>133.4</v>
      </c>
      <c r="K29" s="65" t="e">
        <f>IF(ISNUMBER(Assessment!J38),Assessment!J38,NA())</f>
        <v>#N/A</v>
      </c>
      <c r="L29" s="65" t="e">
        <f>IF(ISNUMBER(Assessment!K38),Assessment!K38,NA())</f>
        <v>#N/A</v>
      </c>
      <c r="M29" s="65" t="e">
        <f>IF(ISNUMBER(Assessment!L38),Assessment!L38,NA())</f>
        <v>#N/A</v>
      </c>
      <c r="N29" s="65" t="e">
        <f>IF(ISNUMBER(Assessment!M38),Assessment!M38,NA())</f>
        <v>#N/A</v>
      </c>
      <c r="O29" s="65" t="e">
        <f>IF(ISNUMBER(Assessment!N38),Assessment!N38,NA())</f>
        <v>#N/A</v>
      </c>
      <c r="P29" s="65" t="e">
        <f>IF(ISNUMBER(Assessment!O38),Assessment!O38,NA())</f>
        <v>#N/A</v>
      </c>
      <c r="Q29" s="65" t="e">
        <f>IF(ISNUMBER(Assessment!P38),Assessment!P38,NA())</f>
        <v>#N/A</v>
      </c>
      <c r="R29" s="65" t="e">
        <f>IF(ISNUMBER(Assessment!Q38),Assessment!Q38,NA())</f>
        <v>#N/A</v>
      </c>
      <c r="S29" s="65" t="e">
        <f>IF(ISNUMBER(Assessment!R38),Assessment!R38,NA())</f>
        <v>#N/A</v>
      </c>
      <c r="T29" s="65" t="e">
        <f>IF(ISNUMBER(Assessment!S38),Assessment!S38,NA())</f>
        <v>#N/A</v>
      </c>
      <c r="U29" s="65" t="e">
        <f>IF(ISNUMBER(Assessment!T38),Assessment!T38,NA())</f>
        <v>#N/A</v>
      </c>
      <c r="V29" s="65" t="e">
        <f>IF(ISNUMBER(Assessment!U38),Assessment!U38,NA())</f>
        <v>#N/A</v>
      </c>
      <c r="W29" s="65" t="e">
        <f>IF(ISNUMBER(Assessment!V38),Assessment!V38,NA())</f>
        <v>#N/A</v>
      </c>
    </row>
    <row r="30" spans="2:23" x14ac:dyDescent="0.4">
      <c r="C30" s="2" t="s">
        <v>296</v>
      </c>
      <c r="E30" s="65"/>
      <c r="F30" s="65"/>
      <c r="G30" s="65"/>
      <c r="H30" s="65"/>
      <c r="I30" s="65"/>
      <c r="J30" s="65"/>
      <c r="K30" s="65"/>
      <c r="L30" s="65"/>
      <c r="M30" s="65"/>
      <c r="N30" s="65"/>
      <c r="O30" s="65"/>
      <c r="P30" s="65"/>
      <c r="Q30" s="65"/>
      <c r="R30" s="65"/>
      <c r="S30" s="65"/>
      <c r="T30" s="65"/>
      <c r="U30" s="65"/>
      <c r="V30" s="65"/>
      <c r="W30" s="65"/>
    </row>
    <row r="31" spans="2:23" x14ac:dyDescent="0.4">
      <c r="C31" s="2" t="s">
        <v>243</v>
      </c>
      <c r="E31" s="65">
        <f>IF(OR(ISNUMBER(E91),ISNUMBER(E92)),NA(),IF(ISNUMBER(Assessment!D20),Assessment!D20,NA()))</f>
        <v>164.27800194226435</v>
      </c>
      <c r="F31" s="65" t="e">
        <f>IF(OR(ISNUMBER(F91),ISNUMBER(F92)),NA(),IF(ISNUMBER(Assessment!E20),Assessment!E20,NA()))</f>
        <v>#N/A</v>
      </c>
      <c r="G31" s="65" t="e">
        <f>IF(OR(ISNUMBER(G91),ISNUMBER(G92)),NA(),IF(ISNUMBER(Assessment!F20),Assessment!F20,NA()))</f>
        <v>#N/A</v>
      </c>
      <c r="H31" s="65">
        <f>IF(OR(ISNUMBER(H91),ISNUMBER(H92)),NA(),IF(ISNUMBER(Assessment!G20),Assessment!G20,NA()))</f>
        <v>136.80000000000001</v>
      </c>
      <c r="I31" s="65" t="e">
        <f>IF(OR(ISNUMBER(I91),ISNUMBER(I92)),NA(),IF(ISNUMBER(Assessment!H20),Assessment!H20,NA()))</f>
        <v>#N/A</v>
      </c>
      <c r="J31" s="65" t="e">
        <f>IF(OR(ISNUMBER(J91),ISNUMBER(J92)),NA(),IF(ISNUMBER(Assessment!I20),Assessment!I20,NA()))</f>
        <v>#N/A</v>
      </c>
      <c r="K31" s="65" t="e">
        <f>IF(OR(ISNUMBER(K91),ISNUMBER(K92)),NA(),IF(ISNUMBER(Assessment!J20),Assessment!J20,NA()))</f>
        <v>#N/A</v>
      </c>
      <c r="L31" s="65" t="e">
        <f>IF(OR(ISNUMBER(L91),ISNUMBER(L92)),NA(),IF(ISNUMBER(Assessment!K20),Assessment!K20,NA()))</f>
        <v>#N/A</v>
      </c>
      <c r="M31" s="65" t="e">
        <f>IF(OR(ISNUMBER(M91),ISNUMBER(M92)),NA(),IF(ISNUMBER(Assessment!L20),Assessment!L20,NA()))</f>
        <v>#N/A</v>
      </c>
      <c r="N31" s="65" t="e">
        <f>IF(OR(ISNUMBER(N91),ISNUMBER(N92)),NA(),IF(ISNUMBER(Assessment!M20),Assessment!M20,NA()))</f>
        <v>#N/A</v>
      </c>
      <c r="O31" s="65" t="e">
        <f>IF(OR(ISNUMBER(O91),ISNUMBER(O92)),NA(),IF(ISNUMBER(Assessment!N20),Assessment!N20,NA()))</f>
        <v>#N/A</v>
      </c>
      <c r="P31" s="65" t="e">
        <f>IF(OR(ISNUMBER(P91),ISNUMBER(P92)),NA(),IF(ISNUMBER(Assessment!O20),Assessment!O20,NA()))</f>
        <v>#N/A</v>
      </c>
      <c r="Q31" s="65" t="e">
        <f>IF(OR(ISNUMBER(Q91),ISNUMBER(Q92)),NA(),IF(ISNUMBER(Assessment!P20),Assessment!P20,NA()))</f>
        <v>#N/A</v>
      </c>
      <c r="R31" s="65" t="e">
        <f>IF(OR(ISNUMBER(R91),ISNUMBER(R92)),NA(),IF(ISNUMBER(Assessment!Q20),Assessment!Q20,NA()))</f>
        <v>#N/A</v>
      </c>
      <c r="S31" s="65" t="e">
        <f>IF(OR(ISNUMBER(S91),ISNUMBER(S92)),NA(),IF(ISNUMBER(Assessment!R20),Assessment!R20,NA()))</f>
        <v>#N/A</v>
      </c>
      <c r="T31" s="65" t="e">
        <f>IF(OR(ISNUMBER(T91),ISNUMBER(T92)),NA(),IF(ISNUMBER(Assessment!S20),Assessment!S20,NA()))</f>
        <v>#N/A</v>
      </c>
      <c r="U31" s="65"/>
      <c r="V31" s="65"/>
      <c r="W31" s="65"/>
    </row>
    <row r="32" spans="2:23" x14ac:dyDescent="0.4">
      <c r="C32" s="2" t="s">
        <v>298</v>
      </c>
      <c r="E32" s="3"/>
      <c r="F32" s="65"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65"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146.13231049104562</v>
      </c>
      <c r="H32" s="65"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65"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65"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65"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65"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65"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65"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65"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65"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65"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65"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65"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65"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65"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65"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65"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299</v>
      </c>
      <c r="E33" s="3"/>
      <c r="F33" s="65"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154.16497702081645</v>
      </c>
      <c r="G33" s="65"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65"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65"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65"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65"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65"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65"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65"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65"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65"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65"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65"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65"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65"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65"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65"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65"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247</v>
      </c>
      <c r="E34" s="3"/>
      <c r="F34" s="89">
        <f>Validation!$T$3</f>
        <v>60.05</v>
      </c>
      <c r="G34" s="89">
        <f>Validation!$T$3</f>
        <v>60.05</v>
      </c>
      <c r="H34" s="89">
        <f>Validation!$T$3</f>
        <v>60.05</v>
      </c>
      <c r="I34" s="89">
        <f>Validation!$T$3</f>
        <v>60.05</v>
      </c>
      <c r="J34" s="89">
        <f>Validation!$T$3</f>
        <v>60.05</v>
      </c>
      <c r="K34" s="89">
        <f>Validation!$T$3</f>
        <v>60.05</v>
      </c>
      <c r="L34" s="89">
        <f>Validation!$T$3</f>
        <v>60.05</v>
      </c>
      <c r="M34" s="89">
        <f>Validation!$T$3</f>
        <v>60.05</v>
      </c>
      <c r="N34" s="89">
        <f>Validation!$T$3</f>
        <v>60.05</v>
      </c>
      <c r="O34" s="89">
        <f>Validation!$T$3</f>
        <v>60.05</v>
      </c>
      <c r="P34" s="89">
        <f>Validation!$T$3</f>
        <v>60.05</v>
      </c>
      <c r="Q34" s="89">
        <f>Validation!$T$3</f>
        <v>60.05</v>
      </c>
      <c r="R34" s="89">
        <f>Validation!$T$3</f>
        <v>60.05</v>
      </c>
      <c r="S34" s="89">
        <f>Validation!$T$3</f>
        <v>60.05</v>
      </c>
      <c r="T34" s="89">
        <f>Validation!$T$3</f>
        <v>60.05</v>
      </c>
      <c r="U34" s="89">
        <f>Validation!$T$3</f>
        <v>60.05</v>
      </c>
      <c r="V34" s="89">
        <f>Validation!$T$3</f>
        <v>60.05</v>
      </c>
      <c r="W34" s="89">
        <f>Validation!$T$3</f>
        <v>60.05</v>
      </c>
    </row>
    <row r="35" spans="2:23" x14ac:dyDescent="0.4">
      <c r="C35" s="111" t="s">
        <v>573</v>
      </c>
      <c r="D35" s="4">
        <f>IF(_xlfn.AGGREGATE(5,6,F29:W34)&lt;0, _xlfn.AGGREGATE(5,6,F29:W34), 0)</f>
        <v>0</v>
      </c>
      <c r="F35" s="65"/>
      <c r="G35" s="65"/>
      <c r="H35" s="65"/>
      <c r="I35" s="65"/>
      <c r="J35" s="65"/>
      <c r="K35" s="65"/>
      <c r="L35" s="65"/>
      <c r="M35" s="65"/>
      <c r="N35" s="65"/>
      <c r="O35" s="65"/>
      <c r="P35" s="65"/>
      <c r="Q35" s="65"/>
      <c r="R35" s="65"/>
      <c r="S35" s="65"/>
      <c r="T35" s="65"/>
      <c r="U35" s="65"/>
      <c r="V35" s="65"/>
      <c r="W35" s="65"/>
    </row>
    <row r="36" spans="2:23" x14ac:dyDescent="0.4">
      <c r="C36" s="111" t="s">
        <v>574</v>
      </c>
      <c r="D36" s="4">
        <f>_xlfn.AGGREGATE(4,6,F29:W34)</f>
        <v>154.16497702081645</v>
      </c>
    </row>
    <row r="37" spans="2:23" x14ac:dyDescent="0.4">
      <c r="C37" s="2"/>
    </row>
    <row r="38" spans="2:23" ht="16.5" x14ac:dyDescent="0.6">
      <c r="B38" s="111" t="s">
        <v>496</v>
      </c>
      <c r="C38" s="12" t="s">
        <v>994</v>
      </c>
      <c r="F38" s="9"/>
      <c r="G38" s="9"/>
      <c r="H38" s="9"/>
      <c r="I38" s="9"/>
      <c r="J38" s="9"/>
      <c r="K38" s="9"/>
      <c r="L38" s="9"/>
      <c r="M38" s="9"/>
      <c r="N38" s="9"/>
      <c r="O38" s="9"/>
      <c r="P38" s="9"/>
      <c r="Q38" s="9"/>
      <c r="R38" s="9"/>
      <c r="S38" s="9"/>
      <c r="T38" s="9"/>
      <c r="U38" s="9"/>
      <c r="V38" s="9"/>
      <c r="W38" s="9"/>
    </row>
    <row r="39" spans="2:23" x14ac:dyDescent="0.4">
      <c r="C39" s="2" t="s">
        <v>497</v>
      </c>
      <c r="F39" s="65">
        <f>Assessment!E50</f>
        <v>-1</v>
      </c>
      <c r="G39" s="65">
        <f>Assessment!F50</f>
        <v>-0.6</v>
      </c>
      <c r="H39" s="65">
        <f>Assessment!G50</f>
        <v>-0.8</v>
      </c>
      <c r="I39" s="65">
        <f>Assessment!H50</f>
        <v>-1.1000000000000001</v>
      </c>
      <c r="J39" s="65">
        <f>Assessment!I50</f>
        <v>-1.2</v>
      </c>
      <c r="K39" s="65">
        <f>Assessment!J50</f>
        <v>-1.4</v>
      </c>
      <c r="L39" s="65">
        <f>Assessment!K50</f>
        <v>-1.5</v>
      </c>
      <c r="M39" s="65">
        <f>Assessment!L50</f>
        <v>-1.6</v>
      </c>
      <c r="N39" s="65">
        <f>Assessment!M50</f>
        <v>-1.7</v>
      </c>
      <c r="O39" s="65">
        <f>Assessment!N50</f>
        <v>-1.9</v>
      </c>
      <c r="P39" s="65">
        <f>Assessment!O50</f>
        <v>-2.2000000000000002</v>
      </c>
      <c r="Q39" s="65">
        <f>Assessment!P50</f>
        <v>-2.4</v>
      </c>
      <c r="R39" s="65">
        <f>Assessment!Q50</f>
        <v>-2.2000000000000002</v>
      </c>
      <c r="S39" s="65">
        <f>Assessment!R50</f>
        <v>-2.4</v>
      </c>
      <c r="T39" s="65">
        <f>Assessment!S50</f>
        <v>-2.5</v>
      </c>
      <c r="U39" s="65" t="str">
        <f>Assessment!T50</f>
        <v/>
      </c>
      <c r="V39" s="65" t="str">
        <f>Assessment!U50</f>
        <v/>
      </c>
      <c r="W39" s="65" t="str">
        <f>Assessment!V50</f>
        <v/>
      </c>
    </row>
    <row r="40" spans="2:23" x14ac:dyDescent="0.4">
      <c r="C40" s="2" t="s">
        <v>243</v>
      </c>
      <c r="F40" s="65" t="e">
        <f>IF(OR(ISNUMBER(F41),ISNUMBER(F42)),NA(),IF(ISNUMBER(Assessment!E17),Assessment!E17,NA()))</f>
        <v>#N/A</v>
      </c>
      <c r="G40" s="65" t="e">
        <f>IF(OR(ISNUMBER(G41),ISNUMBER(G42)),NA(),IF(ISNUMBER(Assessment!F17),Assessment!F17,NA()))</f>
        <v>#N/A</v>
      </c>
      <c r="H40" s="65">
        <f>IF(OR(ISNUMBER(H41),ISNUMBER(H42)),NA(),IF(ISNUMBER(Assessment!G17),Assessment!G17,NA()))</f>
        <v>0.2</v>
      </c>
      <c r="I40" s="65" t="e">
        <f>IF(OR(ISNUMBER(I41),ISNUMBER(I42)),NA(),IF(ISNUMBER(Assessment!H17),Assessment!H17,NA()))</f>
        <v>#N/A</v>
      </c>
      <c r="J40" s="65" t="e">
        <f>IF(OR(ISNUMBER(J41),ISNUMBER(J42)),NA(),IF(ISNUMBER(Assessment!I17),Assessment!I17,NA()))</f>
        <v>#N/A</v>
      </c>
      <c r="K40" s="65" t="e">
        <f>IF(OR(ISNUMBER(K41),ISNUMBER(K42)),NA(),IF(ISNUMBER(Assessment!J17),Assessment!J17,NA()))</f>
        <v>#N/A</v>
      </c>
      <c r="L40" s="65" t="e">
        <f>IF(OR(ISNUMBER(L41),ISNUMBER(L42)),NA(),IF(ISNUMBER(Assessment!K17),Assessment!K17,NA()))</f>
        <v>#N/A</v>
      </c>
      <c r="M40" s="65" t="e">
        <f>IF(OR(ISNUMBER(M41),ISNUMBER(M42)),NA(),IF(ISNUMBER(Assessment!L17),Assessment!L17,NA()))</f>
        <v>#N/A</v>
      </c>
      <c r="N40" s="65" t="e">
        <f>IF(OR(ISNUMBER(N41),ISNUMBER(N42)),NA(),IF(ISNUMBER(Assessment!M17),Assessment!M17,NA()))</f>
        <v>#N/A</v>
      </c>
      <c r="O40" s="65" t="e">
        <f>IF(OR(ISNUMBER(O41),ISNUMBER(O42)),NA(),IF(ISNUMBER(Assessment!N17),Assessment!N17,NA()))</f>
        <v>#N/A</v>
      </c>
      <c r="P40" s="65" t="e">
        <f>IF(OR(ISNUMBER(P41),ISNUMBER(P42)),NA(),IF(ISNUMBER(Assessment!O17),Assessment!O17,NA()))</f>
        <v>#N/A</v>
      </c>
      <c r="Q40" s="65" t="e">
        <f>IF(OR(ISNUMBER(Q41),ISNUMBER(Q42)),NA(),IF(ISNUMBER(Assessment!P17),Assessment!P17,NA()))</f>
        <v>#N/A</v>
      </c>
      <c r="R40" s="65" t="e">
        <f>IF(OR(ISNUMBER(R41),ISNUMBER(R42)),NA(),IF(ISNUMBER(Assessment!Q17),Assessment!Q17,NA()))</f>
        <v>#N/A</v>
      </c>
      <c r="S40" s="65" t="e">
        <f>IF(OR(ISNUMBER(S41),ISNUMBER(S42)),NA(),IF(ISNUMBER(Assessment!R17),Assessment!R17,NA()))</f>
        <v>#N/A</v>
      </c>
      <c r="T40" s="65" t="e">
        <f>IF(OR(ISNUMBER(T41),ISNUMBER(T42)),NA(),IF(ISNUMBER(Assessment!S17),Assessment!S17,NA()))</f>
        <v>#N/A</v>
      </c>
      <c r="U40" s="65" t="e">
        <f>IF(OR(ISNUMBER(U41),ISNUMBER(U42)),NA(),IF(ISNUMBER(Assessment!T17),Assessment!T17,NA()))</f>
        <v>#N/A</v>
      </c>
      <c r="V40" s="65" t="e">
        <f>IF(OR(ISNUMBER(V41),ISNUMBER(V42)),NA(),IF(ISNUMBER(Assessment!U17),Assessment!U17,NA()))</f>
        <v>#N/A</v>
      </c>
      <c r="W40" s="65" t="e">
        <f>IF(OR(ISNUMBER(W41),ISNUMBER(W42)),NA(),IF(ISNUMBER(Assessment!V17),Assessment!V17,NA()))</f>
        <v>#N/A</v>
      </c>
    </row>
    <row r="41" spans="2:23" x14ac:dyDescent="0.4">
      <c r="C41" s="2" t="s">
        <v>298</v>
      </c>
      <c r="F41" s="65"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1.3470701540957015</v>
      </c>
      <c r="G41" s="65"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1.7273751105781794</v>
      </c>
      <c r="H41" s="65"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65"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65"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65"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65"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65"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65"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65"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65"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65"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65"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65"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65"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65"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65"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65"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299</v>
      </c>
      <c r="F42" s="65"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246</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300</v>
      </c>
      <c r="F44" s="65">
        <f t="shared" ref="F44:T44" si="0">IF(F79&lt;&gt;"",-F79,NA())</f>
        <v>1</v>
      </c>
      <c r="G44" s="65">
        <f t="shared" si="0"/>
        <v>0.6</v>
      </c>
      <c r="H44" s="65">
        <f t="shared" si="0"/>
        <v>0.8</v>
      </c>
      <c r="I44" s="65">
        <f t="shared" si="0"/>
        <v>1.1000000000000001</v>
      </c>
      <c r="J44" s="65">
        <f t="shared" si="0"/>
        <v>1.2</v>
      </c>
      <c r="K44" s="65">
        <f t="shared" si="0"/>
        <v>1.4</v>
      </c>
      <c r="L44" s="65">
        <f t="shared" si="0"/>
        <v>1.5</v>
      </c>
      <c r="M44" s="65">
        <f t="shared" si="0"/>
        <v>1.6</v>
      </c>
      <c r="N44" s="65">
        <f t="shared" si="0"/>
        <v>1.7</v>
      </c>
      <c r="O44" s="65">
        <f t="shared" si="0"/>
        <v>1.9</v>
      </c>
      <c r="P44" s="65">
        <f t="shared" si="0"/>
        <v>2.2000000000000002</v>
      </c>
      <c r="Q44" s="65">
        <f t="shared" si="0"/>
        <v>2.4</v>
      </c>
      <c r="R44" s="65">
        <f t="shared" si="0"/>
        <v>2.2000000000000002</v>
      </c>
      <c r="S44" s="65">
        <f t="shared" si="0"/>
        <v>2.4</v>
      </c>
      <c r="T44" s="65">
        <f t="shared" si="0"/>
        <v>2.5</v>
      </c>
      <c r="U44" s="65" t="e">
        <f t="shared" ref="U44:W44" si="1">IF(U79&lt;&gt;"",-U79,NA())</f>
        <v>#N/A</v>
      </c>
      <c r="V44" s="65" t="e">
        <f t="shared" si="1"/>
        <v>#N/A</v>
      </c>
      <c r="W44" s="65" t="e">
        <f t="shared" si="1"/>
        <v>#N/A</v>
      </c>
    </row>
    <row r="45" spans="2:23" x14ac:dyDescent="0.4">
      <c r="C45" s="2" t="s">
        <v>301</v>
      </c>
      <c r="F45" s="65">
        <f t="shared" ref="F45:T45" si="2">IF(F81&lt;&gt;"",-F81,NA())</f>
        <v>-1.3470701540957015</v>
      </c>
      <c r="G45" s="65">
        <f t="shared" si="2"/>
        <v>-1.7273751105781794</v>
      </c>
      <c r="H45" s="65" t="e">
        <f t="shared" si="2"/>
        <v>#N/A</v>
      </c>
      <c r="I45" s="65" t="e">
        <f t="shared" si="2"/>
        <v>#N/A</v>
      </c>
      <c r="J45" s="65" t="e">
        <f t="shared" si="2"/>
        <v>#N/A</v>
      </c>
      <c r="K45" s="65" t="e">
        <f t="shared" si="2"/>
        <v>#N/A</v>
      </c>
      <c r="L45" s="65" t="e">
        <f t="shared" si="2"/>
        <v>#N/A</v>
      </c>
      <c r="M45" s="65" t="e">
        <f t="shared" si="2"/>
        <v>#N/A</v>
      </c>
      <c r="N45" s="65" t="e">
        <f t="shared" si="2"/>
        <v>#N/A</v>
      </c>
      <c r="O45" s="65" t="e">
        <f t="shared" si="2"/>
        <v>#N/A</v>
      </c>
      <c r="P45" s="65" t="e">
        <f t="shared" si="2"/>
        <v>#N/A</v>
      </c>
      <c r="Q45" s="65" t="e">
        <f t="shared" si="2"/>
        <v>#N/A</v>
      </c>
      <c r="R45" s="65" t="e">
        <f t="shared" si="2"/>
        <v>#N/A</v>
      </c>
      <c r="S45" s="65" t="e">
        <f t="shared" si="2"/>
        <v>#N/A</v>
      </c>
      <c r="T45" s="65" t="e">
        <f t="shared" si="2"/>
        <v>#N/A</v>
      </c>
      <c r="U45" s="65" t="e">
        <f t="shared" ref="U45:W45" si="3">IF(U81&lt;&gt;"",-U81,NA())</f>
        <v>#N/A</v>
      </c>
      <c r="V45" s="65" t="e">
        <f t="shared" si="3"/>
        <v>#N/A</v>
      </c>
      <c r="W45" s="65" t="e">
        <f t="shared" si="3"/>
        <v>#N/A</v>
      </c>
    </row>
    <row r="46" spans="2:23" x14ac:dyDescent="0.4">
      <c r="C46" s="2" t="s">
        <v>302</v>
      </c>
      <c r="F46" s="65" t="e">
        <f t="shared" ref="F46:T46" si="4">IF(F82&lt;&gt;"",-F82,NA())</f>
        <v>#N/A</v>
      </c>
      <c r="G46" s="65" t="e">
        <f t="shared" si="4"/>
        <v>#N/A</v>
      </c>
      <c r="H46" s="65" t="e">
        <f t="shared" si="4"/>
        <v>#N/A</v>
      </c>
      <c r="I46" s="65" t="e">
        <f t="shared" si="4"/>
        <v>#N/A</v>
      </c>
      <c r="J46" s="65" t="e">
        <f t="shared" si="4"/>
        <v>#N/A</v>
      </c>
      <c r="K46" s="65" t="e">
        <f t="shared" si="4"/>
        <v>#N/A</v>
      </c>
      <c r="L46" s="65" t="e">
        <f t="shared" si="4"/>
        <v>#N/A</v>
      </c>
      <c r="M46" s="65" t="e">
        <f t="shared" si="4"/>
        <v>#N/A</v>
      </c>
      <c r="N46" s="65" t="e">
        <f t="shared" si="4"/>
        <v>#N/A</v>
      </c>
      <c r="O46" s="65" t="e">
        <f t="shared" si="4"/>
        <v>#N/A</v>
      </c>
      <c r="P46" s="65" t="e">
        <f t="shared" si="4"/>
        <v>#N/A</v>
      </c>
      <c r="Q46" s="65" t="e">
        <f t="shared" si="4"/>
        <v>#N/A</v>
      </c>
      <c r="R46" s="65" t="e">
        <f t="shared" si="4"/>
        <v>#N/A</v>
      </c>
      <c r="S46" s="65" t="e">
        <f t="shared" si="4"/>
        <v>#N/A</v>
      </c>
      <c r="T46" s="65" t="e">
        <f t="shared" si="4"/>
        <v>#N/A</v>
      </c>
      <c r="U46" s="65" t="e">
        <f t="shared" ref="U46:W46" si="5">IF(U82&lt;&gt;"",-U82,NA())</f>
        <v>#N/A</v>
      </c>
      <c r="V46" s="65" t="e">
        <f t="shared" si="5"/>
        <v>#N/A</v>
      </c>
      <c r="W46" s="65" t="e">
        <f t="shared" si="5"/>
        <v>#N/A</v>
      </c>
    </row>
    <row r="47" spans="2:23" x14ac:dyDescent="0.4">
      <c r="C47" s="2"/>
    </row>
    <row r="48" spans="2:23" ht="14.25" customHeight="1" x14ac:dyDescent="0.6">
      <c r="B48" s="111" t="s">
        <v>501</v>
      </c>
      <c r="C48" s="12" t="s">
        <v>995</v>
      </c>
      <c r="F48" s="107"/>
      <c r="G48" s="107"/>
      <c r="H48" s="107"/>
      <c r="I48" s="107"/>
      <c r="J48" s="107"/>
      <c r="K48" s="107"/>
      <c r="L48" s="107"/>
      <c r="M48" s="107"/>
      <c r="N48" s="107"/>
      <c r="O48" s="107"/>
      <c r="P48" s="107"/>
      <c r="Q48" s="107"/>
      <c r="R48" s="107"/>
      <c r="S48" s="107"/>
      <c r="T48" s="107"/>
      <c r="U48" s="107"/>
      <c r="V48" s="107"/>
      <c r="W48" s="107"/>
    </row>
    <row r="49" spans="2:23" x14ac:dyDescent="0.4">
      <c r="C49" s="2" t="s">
        <v>390</v>
      </c>
      <c r="F49" s="65">
        <f>Assessment!E37</f>
        <v>1.9</v>
      </c>
      <c r="G49" s="65">
        <f>Assessment!F37</f>
        <v>2</v>
      </c>
      <c r="H49" s="65">
        <f>Assessment!G37</f>
        <v>2.1</v>
      </c>
      <c r="I49" s="65">
        <f>Assessment!H37</f>
        <v>2.2000000000000002</v>
      </c>
      <c r="J49" s="65">
        <f>Assessment!I37</f>
        <v>2.2999999999999998</v>
      </c>
      <c r="K49" s="65" t="str">
        <f>Assessment!J37</f>
        <v/>
      </c>
      <c r="L49" s="65" t="str">
        <f>Assessment!K37</f>
        <v/>
      </c>
      <c r="M49" s="65" t="str">
        <f>Assessment!L37</f>
        <v/>
      </c>
      <c r="N49" s="65" t="str">
        <f>Assessment!M37</f>
        <v/>
      </c>
      <c r="O49" s="65" t="str">
        <f>Assessment!N37</f>
        <v/>
      </c>
      <c r="P49" s="65">
        <f>Assessment!O37</f>
        <v>0</v>
      </c>
      <c r="Q49" s="65">
        <f>Assessment!P37</f>
        <v>0</v>
      </c>
      <c r="R49" s="65">
        <f>Assessment!Q37</f>
        <v>0</v>
      </c>
      <c r="S49" s="65">
        <f>Assessment!R37</f>
        <v>0</v>
      </c>
      <c r="T49" s="65">
        <f>Assessment!S37</f>
        <v>0</v>
      </c>
      <c r="U49" s="65">
        <f>Assessment!T37</f>
        <v>0</v>
      </c>
      <c r="V49" s="65">
        <f>Assessment!U37</f>
        <v>0</v>
      </c>
      <c r="W49" s="65">
        <f>Assessment!V37</f>
        <v>0</v>
      </c>
    </row>
    <row r="50" spans="2:23" x14ac:dyDescent="0.4">
      <c r="C50" s="2" t="s">
        <v>296</v>
      </c>
      <c r="F50" s="4"/>
      <c r="G50" s="4"/>
      <c r="H50" s="4"/>
      <c r="I50" s="4"/>
      <c r="J50" s="4"/>
      <c r="K50" s="4"/>
      <c r="L50" s="4"/>
      <c r="M50" s="4"/>
      <c r="N50" s="4"/>
      <c r="O50" s="4"/>
      <c r="P50" s="4"/>
      <c r="Q50" s="4"/>
      <c r="R50" s="4"/>
      <c r="S50" s="4"/>
      <c r="T50" s="4"/>
      <c r="U50" s="4"/>
      <c r="V50" s="4"/>
      <c r="W50" s="4"/>
    </row>
    <row r="51" spans="2:23" x14ac:dyDescent="0.4">
      <c r="C51" s="2" t="s">
        <v>243</v>
      </c>
      <c r="F51" s="65" t="e">
        <f>IF(OR(ISNUMBER(F53),ISNUMBER(F54)),NA(),IF(ISNUMBER(Assessment!E19),Assessment!E19,NA()))</f>
        <v>#N/A</v>
      </c>
      <c r="G51" s="65" t="e">
        <f>IF(OR(ISNUMBER(G53),ISNUMBER(G54)),NA(),IF(ISNUMBER(Assessment!F19),Assessment!F19,NA()))</f>
        <v>#N/A</v>
      </c>
      <c r="H51" s="65">
        <f>IF(OR(ISNUMBER(H53),ISNUMBER(H54)),NA(),IF(ISNUMBER(Assessment!G19),Assessment!G19,NA()))</f>
        <v>1.8</v>
      </c>
      <c r="I51" s="65" t="e">
        <f>IF(OR(ISNUMBER(I53),ISNUMBER(I54)),NA(),IF(ISNUMBER(Assessment!H19),Assessment!H19,NA()))</f>
        <v>#N/A</v>
      </c>
      <c r="J51" s="65" t="e">
        <f>IF(OR(ISNUMBER(J53),ISNUMBER(J54)),NA(),IF(ISNUMBER(Assessment!I19),Assessment!I19,NA()))</f>
        <v>#N/A</v>
      </c>
      <c r="K51" s="65" t="e">
        <f>IF(OR(ISNUMBER(K53),ISNUMBER(K54)),NA(),IF(ISNUMBER(Assessment!J19),Assessment!J19,NA()))</f>
        <v>#N/A</v>
      </c>
      <c r="L51" s="65" t="e">
        <f>IF(OR(ISNUMBER(L53),ISNUMBER(L54)),NA(),IF(ISNUMBER(Assessment!K19),Assessment!K19,NA()))</f>
        <v>#N/A</v>
      </c>
      <c r="M51" s="65" t="e">
        <f>IF(OR(ISNUMBER(M53),ISNUMBER(M54)),NA(),IF(ISNUMBER(Assessment!L19),Assessment!L19,NA()))</f>
        <v>#N/A</v>
      </c>
      <c r="N51" s="65" t="e">
        <f>IF(OR(ISNUMBER(N53),ISNUMBER(N54)),NA(),IF(ISNUMBER(Assessment!M19),Assessment!M19,NA()))</f>
        <v>#N/A</v>
      </c>
      <c r="O51" s="65" t="e">
        <f>IF(OR(ISNUMBER(O53),ISNUMBER(O54)),NA(),IF(ISNUMBER(Assessment!N19),Assessment!N19,NA()))</f>
        <v>#N/A</v>
      </c>
      <c r="P51" s="65" t="e">
        <f>IF(OR(ISNUMBER(P53),ISNUMBER(P54)),NA(),IF(ISNUMBER(Assessment!O19),Assessment!O19,NA()))</f>
        <v>#N/A</v>
      </c>
      <c r="Q51" s="65" t="e">
        <f>IF(OR(ISNUMBER(Q53),ISNUMBER(Q54)),NA(),IF(ISNUMBER(Assessment!P19),Assessment!P19,NA()))</f>
        <v>#N/A</v>
      </c>
      <c r="R51" s="65" t="e">
        <f>IF(OR(ISNUMBER(R53),ISNUMBER(R54)),NA(),IF(ISNUMBER(Assessment!Q19),Assessment!Q19,NA()))</f>
        <v>#N/A</v>
      </c>
      <c r="S51" s="65" t="e">
        <f>IF(OR(ISNUMBER(S53),ISNUMBER(S54)),NA(),IF(ISNUMBER(Assessment!R19),Assessment!R19,NA()))</f>
        <v>#N/A</v>
      </c>
      <c r="T51" s="65" t="e">
        <f>IF(OR(ISNUMBER(T53),ISNUMBER(T54)),NA(),IF(ISNUMBER(Assessment!S19),Assessment!S19,NA()))</f>
        <v>#N/A</v>
      </c>
      <c r="U51" s="65" t="e">
        <f>IF(OR(ISNUMBER(U53),ISNUMBER(U54)),NA(),IF(ISNUMBER(Assessment!T19),Assessment!T19,NA()))</f>
        <v>#N/A</v>
      </c>
      <c r="V51" s="65" t="e">
        <f>IF(OR(ISNUMBER(V53),ISNUMBER(V54)),NA(),IF(ISNUMBER(Assessment!U19),Assessment!U19,NA()))</f>
        <v>#N/A</v>
      </c>
      <c r="W51" s="65" t="e">
        <f>IF(OR(ISNUMBER(W53),ISNUMBER(W54)),NA(),IF(ISNUMBER(Assessment!V19),Assessment!V19,NA()))</f>
        <v>#N/A</v>
      </c>
    </row>
    <row r="52" spans="2:23" x14ac:dyDescent="0.4">
      <c r="C52" s="2" t="s">
        <v>297</v>
      </c>
      <c r="F52" s="4"/>
      <c r="G52" s="4"/>
      <c r="H52" s="4"/>
      <c r="I52" s="4"/>
      <c r="J52" s="4"/>
      <c r="K52" s="4"/>
      <c r="L52" s="4"/>
      <c r="M52" s="4"/>
      <c r="N52" s="4"/>
      <c r="O52" s="4"/>
      <c r="P52" s="4"/>
      <c r="Q52" s="4"/>
      <c r="R52" s="4"/>
      <c r="S52" s="4"/>
      <c r="T52" s="4"/>
      <c r="U52" s="4"/>
      <c r="V52" s="4"/>
      <c r="W52" s="4"/>
    </row>
    <row r="53" spans="2:23" ht="13.5" customHeight="1" x14ac:dyDescent="0.4">
      <c r="C53" s="2" t="s">
        <v>298</v>
      </c>
      <c r="F53" s="107" cm="1">
        <f t="array" ref="F53">IF(
  AND(
    INDEX($2:$2, COLUMN()) &gt;= MTP_BaseYear,
    INDEX($2:$2, COLUMN()) &lt;= OutturnThrough
  ),
  IFERROR(
    IF(
      F49 - INDEX(Assessment!$19:$19,
                   _xlfn.XMATCH(INDEX($2:$2, COLUMN()),
                          Assessment!$4:$4, 0)
            ) &lt; 0,
      INDEX(Assessment!$19:$19,
            _xlfn.XMATCH(INDEX($2:$2, COLUMN()),
                   Assessment!$4:$4, 0)
      ),
      NA()
    ),
    NA()
  ),
  NA()
)</f>
        <v>3.8204099999999999</v>
      </c>
      <c r="G53" s="107" cm="1">
        <f t="array" ref="G53">IF(
  AND(
    INDEX($2:$2, COLUMN()) &gt;= MTP_BaseYear,
    INDEX($2:$2, COLUMN()) &lt;= OutturnThrough
  ),
  IFERROR(
    IF(
      G49 - INDEX(Assessment!$19:$19,
                   _xlfn.XMATCH(INDEX($2:$2, COLUMN()),
                          Assessment!$4:$4, 0)
            ) &lt; 0,
      INDEX(Assessment!$19:$19,
            _xlfn.XMATCH(INDEX($2:$2, COLUMN()),
                   Assessment!$4:$4, 0)
      ),
      NA()
    ),
    NA()
  ),
  NA()
)</f>
        <v>3.6435300000000002</v>
      </c>
      <c r="H53" s="107" t="e" cm="1">
        <f t="array" ref="H53">IF(
  AND(
    INDEX($2:$2, COLUMN()) &gt;= MTP_BaseYear,
    INDEX($2:$2, COLUMN()) &lt;= OutturnThrough
  ),
  IFERROR(
    IF(
      H49 - INDEX(Assessment!$19:$19,
                   _xlfn.XMATCH(INDEX($2:$2, COLUMN()),
                          Assessment!$4:$4, 0)
            ) &lt; 0,
      INDEX(Assessment!$19:$19,
            _xlfn.XMATCH(INDEX($2:$2, COLUMN()),
                   Assessment!$4:$4, 0)
      ),
      NA()
    ),
    NA()
  ),
  NA()
)</f>
        <v>#N/A</v>
      </c>
      <c r="I53" s="107" t="e" cm="1">
        <f t="array" ref="I53">IF(
  AND(
    INDEX($2:$2, COLUMN()) &gt;= MTP_BaseYear,
    INDEX($2:$2, COLUMN()) &lt;= OutturnThrough
  ),
  IFERROR(
    IF(
      I49 - INDEX(Assessment!$19:$19,
                   _xlfn.XMATCH(INDEX($2:$2, COLUMN()),
                          Assessment!$4:$4, 0)
            ) &lt; 0,
      INDEX(Assessment!$19:$19,
            _xlfn.XMATCH(INDEX($2:$2, COLUMN()),
                   Assessment!$4:$4, 0)
      ),
      NA()
    ),
    NA()
  ),
  NA()
)</f>
        <v>#N/A</v>
      </c>
      <c r="J53" s="107" t="e" cm="1">
        <f t="array" ref="J53">IF(
  AND(
    INDEX($2:$2, COLUMN()) &gt;= MTP_BaseYear,
    INDEX($2:$2, COLUMN()) &lt;= OutturnThrough
  ),
  IFERROR(
    IF(
      J49 - INDEX(Assessment!$19:$19,
                   _xlfn.XMATCH(INDEX($2:$2, COLUMN()),
                          Assessment!$4:$4, 0)
            ) &lt; 0,
      INDEX(Assessment!$19:$19,
            _xlfn.XMATCH(INDEX($2:$2, COLUMN()),
                   Assessment!$4:$4, 0)
      ),
      NA()
    ),
    NA()
  ),
  NA()
)</f>
        <v>#N/A</v>
      </c>
      <c r="K53" s="107" t="e" cm="1">
        <f t="array" ref="K53">IF(
  AND(
    INDEX($2:$2, COLUMN()) &gt;= MTP_BaseYear,
    INDEX($2:$2, COLUMN()) &lt;= OutturnThrough
  ),
  IFERROR(
    IF(
      K49 - INDEX(Assessment!$19:$19,
                   _xlfn.XMATCH(INDEX($2:$2, COLUMN()),
                          Assessment!$4:$4, 0)
            ) &lt; 0,
      INDEX(Assessment!$19:$19,
            _xlfn.XMATCH(INDEX($2:$2, COLUMN()),
                   Assessment!$4:$4, 0)
      ),
      NA()
    ),
    NA()
  ),
  NA()
)</f>
        <v>#N/A</v>
      </c>
      <c r="L53" s="107" t="e" cm="1">
        <f t="array" ref="L53">IF(
  AND(
    INDEX($2:$2, COLUMN()) &gt;= MTP_BaseYear,
    INDEX($2:$2, COLUMN()) &lt;= OutturnThrough
  ),
  IFERROR(
    IF(
      L49 - INDEX(Assessment!$19:$19,
                   _xlfn.XMATCH(INDEX($2:$2, COLUMN()),
                          Assessment!$4:$4, 0)
            ) &lt; 0,
      INDEX(Assessment!$19:$19,
            _xlfn.XMATCH(INDEX($2:$2, COLUMN()),
                   Assessment!$4:$4, 0)
      ),
      NA()
    ),
    NA()
  ),
  NA()
)</f>
        <v>#N/A</v>
      </c>
      <c r="M53" s="107" t="e" cm="1">
        <f t="array" ref="M53">IF(
  AND(
    INDEX($2:$2, COLUMN()) &gt;= MTP_BaseYear,
    INDEX($2:$2, COLUMN()) &lt;= OutturnThrough
  ),
  IFERROR(
    IF(
      M49 - INDEX(Assessment!$19:$19,
                   _xlfn.XMATCH(INDEX($2:$2, COLUMN()),
                          Assessment!$4:$4, 0)
            ) &lt; 0,
      INDEX(Assessment!$19:$19,
            _xlfn.XMATCH(INDEX($2:$2, COLUMN()),
                   Assessment!$4:$4, 0)
      ),
      NA()
    ),
    NA()
  ),
  NA()
)</f>
        <v>#N/A</v>
      </c>
      <c r="N53" s="107" t="e" cm="1">
        <f t="array" ref="N53">IF(
  AND(
    INDEX($2:$2, COLUMN()) &gt;= MTP_BaseYear,
    INDEX($2:$2, COLUMN()) &lt;= OutturnThrough
  ),
  IFERROR(
    IF(
      N49 - INDEX(Assessment!$19:$19,
                   _xlfn.XMATCH(INDEX($2:$2, COLUMN()),
                          Assessment!$4:$4, 0)
            ) &lt; 0,
      INDEX(Assessment!$19:$19,
            _xlfn.XMATCH(INDEX($2:$2, COLUMN()),
                   Assessment!$4:$4, 0)
      ),
      NA()
    ),
    NA()
  ),
  NA()
)</f>
        <v>#N/A</v>
      </c>
      <c r="O53" s="107" t="e" cm="1">
        <f t="array" ref="O53">IF(
  AND(
    INDEX($2:$2, COLUMN()) &gt;= MTP_BaseYear,
    INDEX($2:$2, COLUMN()) &lt;= OutturnThrough
  ),
  IFERROR(
    IF(
      O49 - INDEX(Assessment!$19:$19,
                   _xlfn.XMATCH(INDEX($2:$2, COLUMN()),
                          Assessment!$4:$4, 0)
            ) &lt; 0,
      INDEX(Assessment!$19:$19,
            _xlfn.XMATCH(INDEX($2:$2, COLUMN()),
                   Assessment!$4:$4, 0)
      ),
      NA()
    ),
    NA()
  ),
  NA()
)</f>
        <v>#N/A</v>
      </c>
      <c r="P53" s="107" t="e" cm="1">
        <f t="array" ref="P53">IF(
  AND(
    INDEX($2:$2, COLUMN()) &gt;= MTP_BaseYear,
    INDEX($2:$2, COLUMN()) &lt;= OutturnThrough
  ),
  IFERROR(
    IF(
      P49 - INDEX(Assessment!$19:$19,
                   _xlfn.XMATCH(INDEX($2:$2, COLUMN()),
                          Assessment!$4:$4, 0)
            ) &lt; 0,
      INDEX(Assessment!$19:$19,
            _xlfn.XMATCH(INDEX($2:$2, COLUMN()),
                   Assessment!$4:$4, 0)
      ),
      NA()
    ),
    NA()
  ),
  NA()
)</f>
        <v>#N/A</v>
      </c>
      <c r="Q53" s="107" t="e" cm="1">
        <f t="array" ref="Q53">IF(
  AND(
    INDEX($2:$2, COLUMN()) &gt;= MTP_BaseYear,
    INDEX($2:$2, COLUMN()) &lt;= OutturnThrough
  ),
  IFERROR(
    IF(
      Q49 - INDEX(Assessment!$19:$19,
                   _xlfn.XMATCH(INDEX($2:$2, COLUMN()),
                          Assessment!$4:$4, 0)
            ) &lt; 0,
      INDEX(Assessment!$19:$19,
            _xlfn.XMATCH(INDEX($2:$2, COLUMN()),
                   Assessment!$4:$4, 0)
      ),
      NA()
    ),
    NA()
  ),
  NA()
)</f>
        <v>#N/A</v>
      </c>
      <c r="R53" s="107" t="e" cm="1">
        <f t="array" ref="R53">IF(
  AND(
    INDEX($2:$2, COLUMN()) &gt;= MTP_BaseYear,
    INDEX($2:$2, COLUMN()) &lt;= OutturnThrough
  ),
  IFERROR(
    IF(
      R49 - INDEX(Assessment!$19:$19,
                   _xlfn.XMATCH(INDEX($2:$2, COLUMN()),
                          Assessment!$4:$4, 0)
            ) &lt; 0,
      INDEX(Assessment!$19:$19,
            _xlfn.XMATCH(INDEX($2:$2, COLUMN()),
                   Assessment!$4:$4, 0)
      ),
      NA()
    ),
    NA()
  ),
  NA()
)</f>
        <v>#N/A</v>
      </c>
      <c r="S53" s="107" t="e" cm="1">
        <f t="array" ref="S53">IF(
  AND(
    INDEX($2:$2, COLUMN()) &gt;= MTP_BaseYear,
    INDEX($2:$2, COLUMN()) &lt;= OutturnThrough
  ),
  IFERROR(
    IF(
      S49 - INDEX(Assessment!$19:$19,
                   _xlfn.XMATCH(INDEX($2:$2, COLUMN()),
                          Assessment!$4:$4, 0)
            ) &lt; 0,
      INDEX(Assessment!$19:$19,
            _xlfn.XMATCH(INDEX($2:$2, COLUMN()),
                   Assessment!$4:$4, 0)
      ),
      NA()
    ),
    NA()
  ),
  NA()
)</f>
        <v>#N/A</v>
      </c>
      <c r="T53" s="107" t="e" cm="1">
        <f t="array" ref="T53">IF(
  AND(
    INDEX($2:$2, COLUMN()) &gt;= MTP_BaseYear,
    INDEX($2:$2, COLUMN()) &lt;= OutturnThrough
  ),
  IFERROR(
    IF(
      T49 - INDEX(Assessment!$19:$19,
                   _xlfn.XMATCH(INDEX($2:$2, COLUMN()),
                          Assessment!$4:$4, 0)
            ) &lt; 0,
      INDEX(Assessment!$19:$19,
            _xlfn.XMATCH(INDEX($2:$2, COLUMN()),
                   Assessment!$4:$4, 0)
      ),
      NA()
    ),
    NA()
  ),
  NA()
)</f>
        <v>#N/A</v>
      </c>
      <c r="U53" s="107" t="e" cm="1">
        <f t="array" ref="U53">IF(
  AND(
    INDEX($2:$2, COLUMN()) &gt;= MTP_BaseYear,
    INDEX($2:$2, COLUMN()) &lt;= OutturnThrough
  ),
  IFERROR(
    IF(
      U49 - INDEX(Assessment!$19:$19,
                   _xlfn.XMATCH(INDEX($2:$2, COLUMN()),
                          Assessment!$4:$4, 0)
            ) &lt; 0,
      INDEX(Assessment!$19:$19,
            _xlfn.XMATCH(INDEX($2:$2, COLUMN()),
                   Assessment!$4:$4, 0)
      ),
      NA()
    ),
    NA()
  ),
  NA()
)</f>
        <v>#N/A</v>
      </c>
      <c r="V53" s="107" t="e" cm="1">
        <f t="array" ref="V53">IF(
  AND(
    INDEX($2:$2, COLUMN()) &gt;= MTP_BaseYear,
    INDEX($2:$2, COLUMN()) &lt;= OutturnThrough
  ),
  IFERROR(
    IF(
      V49 - INDEX(Assessment!$19:$19,
                   _xlfn.XMATCH(INDEX($2:$2, COLUMN()),
                          Assessment!$4:$4, 0)
            ) &lt; 0,
      INDEX(Assessment!$19:$19,
            _xlfn.XMATCH(INDEX($2:$2, COLUMN()),
                   Assessment!$4:$4, 0)
      ),
      NA()
    ),
    NA()
  ),
  NA()
)</f>
        <v>#N/A</v>
      </c>
      <c r="W53" s="107"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299</v>
      </c>
      <c r="F54" s="107" t="e" cm="1">
        <f t="array" ref="F54">IF(
  AND(
    INDEX('Chart data'!$2:$2, COLUMN()) &gt;= MTP_BaseYear,
    INDEX('Chart data'!$2:$2, COLUMN()) &lt;= OutturnThrough
  ),
  IFERROR(
    IF(
      F49 - INDEX(Assessment!$19:$19,
                   _xlfn.XMATCH(INDEX('Chart data'!$2:$2, COLUMN()),
                          Assessment!$4:$4, 0)
            ) &gt;= 0,
      INDEX(Assessment!$19:$19,
            _xlfn.XMATCH(INDEX('Chart data'!$2:$2, COLUMN()),
                   Assessment!$4:$4, 0)
      ),
      NA()
    ),
    NA()
  ),
  NA()
)</f>
        <v>#N/A</v>
      </c>
      <c r="G54" s="107" t="e" cm="1">
        <f t="array" ref="G54">IF(
  AND(
    INDEX('Chart data'!$2:$2, COLUMN()) &gt;= MTP_BaseYear,
    INDEX('Chart data'!$2:$2, COLUMN()) &lt;= OutturnThrough
  ),
  IFERROR(
    IF(
      G49 - INDEX(Assessment!$19:$19,
                   _xlfn.XMATCH(INDEX('Chart data'!$2:$2, COLUMN()),
                          Assessment!$4:$4, 0)
            ) &gt;= 0,
      INDEX(Assessment!$19:$19,
            _xlfn.XMATCH(INDEX('Chart data'!$2:$2, COLUMN()),
                   Assessment!$4:$4, 0)
      ),
      NA()
    ),
    NA()
  ),
  NA()
)</f>
        <v>#N/A</v>
      </c>
      <c r="H54" s="107" t="e" cm="1">
        <f t="array" ref="H54">IF(
  AND(
    INDEX('Chart data'!$2:$2, COLUMN()) &gt;= MTP_BaseYear,
    INDEX('Chart data'!$2:$2, COLUMN()) &lt;= OutturnThrough
  ),
  IFERROR(
    IF(
      H49 - INDEX(Assessment!$19:$19,
                   _xlfn.XMATCH(INDEX('Chart data'!$2:$2, COLUMN()),
                          Assessment!$4:$4, 0)
            ) &gt;= 0,
      INDEX(Assessment!$19:$19,
            _xlfn.XMATCH(INDEX('Chart data'!$2:$2, COLUMN()),
                   Assessment!$4:$4, 0)
      ),
      NA()
    ),
    NA()
  ),
  NA()
)</f>
        <v>#N/A</v>
      </c>
      <c r="I54" s="107" t="e" cm="1">
        <f t="array" ref="I54">IF(
  AND(
    INDEX('Chart data'!$2:$2, COLUMN()) &gt;= MTP_BaseYear,
    INDEX('Chart data'!$2:$2, COLUMN()) &lt;= OutturnThrough
  ),
  IFERROR(
    IF(
      I49 - INDEX(Assessment!$19:$19,
                   _xlfn.XMATCH(INDEX('Chart data'!$2:$2, COLUMN()),
                          Assessment!$4:$4, 0)
            ) &gt;= 0,
      INDEX(Assessment!$19:$19,
            _xlfn.XMATCH(INDEX('Chart data'!$2:$2, COLUMN()),
                   Assessment!$4:$4, 0)
      ),
      NA()
    ),
    NA()
  ),
  NA()
)</f>
        <v>#N/A</v>
      </c>
      <c r="J54" s="107" t="e" cm="1">
        <f t="array" ref="J54">IF(
  AND(
    INDEX('Chart data'!$2:$2, COLUMN()) &gt;= MTP_BaseYear,
    INDEX('Chart data'!$2:$2, COLUMN()) &lt;= OutturnThrough
  ),
  IFERROR(
    IF(
      J49 - INDEX(Assessment!$19:$19,
                   _xlfn.XMATCH(INDEX('Chart data'!$2:$2, COLUMN()),
                          Assessment!$4:$4, 0)
            ) &gt;= 0,
      INDEX(Assessment!$19:$19,
            _xlfn.XMATCH(INDEX('Chart data'!$2:$2, COLUMN()),
                   Assessment!$4:$4, 0)
      ),
      NA()
    ),
    NA()
  ),
  NA()
)</f>
        <v>#N/A</v>
      </c>
      <c r="K54" s="107" t="e" cm="1">
        <f t="array" ref="K54">IF(
  AND(
    INDEX('Chart data'!$2:$2, COLUMN()) &gt;= MTP_BaseYear,
    INDEX('Chart data'!$2:$2, COLUMN()) &lt;= OutturnThrough
  ),
  IFERROR(
    IF(
      K49 - INDEX(Assessment!$19:$19,
                   _xlfn.XMATCH(INDEX('Chart data'!$2:$2, COLUMN()),
                          Assessment!$4:$4, 0)
            ) &gt;= 0,
      INDEX(Assessment!$19:$19,
            _xlfn.XMATCH(INDEX('Chart data'!$2:$2, COLUMN()),
                   Assessment!$4:$4, 0)
      ),
      NA()
    ),
    NA()
  ),
  NA()
)</f>
        <v>#N/A</v>
      </c>
      <c r="L54" s="107" t="e" cm="1">
        <f t="array" ref="L54">IF(
  AND(
    INDEX('Chart data'!$2:$2, COLUMN()) &gt;= MTP_BaseYear,
    INDEX('Chart data'!$2:$2, COLUMN()) &lt;= OutturnThrough
  ),
  IFERROR(
    IF(
      L49 - INDEX(Assessment!$19:$19,
                   _xlfn.XMATCH(INDEX('Chart data'!$2:$2, COLUMN()),
                          Assessment!$4:$4, 0)
            ) &gt;= 0,
      INDEX(Assessment!$19:$19,
            _xlfn.XMATCH(INDEX('Chart data'!$2:$2, COLUMN()),
                   Assessment!$4:$4, 0)
      ),
      NA()
    ),
    NA()
  ),
  NA()
)</f>
        <v>#N/A</v>
      </c>
      <c r="M54" s="107" t="e" cm="1">
        <f t="array" ref="M54">IF(
  AND(
    INDEX('Chart data'!$2:$2, COLUMN()) &gt;= MTP_BaseYear,
    INDEX('Chart data'!$2:$2, COLUMN()) &lt;= OutturnThrough
  ),
  IFERROR(
    IF(
      M49 - INDEX(Assessment!$19:$19,
                   _xlfn.XMATCH(INDEX('Chart data'!$2:$2, COLUMN()),
                          Assessment!$4:$4, 0)
            ) &gt;= 0,
      INDEX(Assessment!$19:$19,
            _xlfn.XMATCH(INDEX('Chart data'!$2:$2, COLUMN()),
                   Assessment!$4:$4, 0)
      ),
      NA()
    ),
    NA()
  ),
  NA()
)</f>
        <v>#N/A</v>
      </c>
      <c r="N54" s="107" t="e" cm="1">
        <f t="array" ref="N54">IF(
  AND(
    INDEX('Chart data'!$2:$2, COLUMN()) &gt;= MTP_BaseYear,
    INDEX('Chart data'!$2:$2, COLUMN()) &lt;= OutturnThrough
  ),
  IFERROR(
    IF(
      N49 - INDEX(Assessment!$19:$19,
                   _xlfn.XMATCH(INDEX('Chart data'!$2:$2, COLUMN()),
                          Assessment!$4:$4, 0)
            ) &gt;= 0,
      INDEX(Assessment!$19:$19,
            _xlfn.XMATCH(INDEX('Chart data'!$2:$2, COLUMN()),
                   Assessment!$4:$4, 0)
      ),
      NA()
    ),
    NA()
  ),
  NA()
)</f>
        <v>#N/A</v>
      </c>
      <c r="O54" s="107" t="e" cm="1">
        <f t="array" ref="O54">IF(
  AND(
    INDEX('Chart data'!$2:$2, COLUMN()) &gt;= MTP_BaseYear,
    INDEX('Chart data'!$2:$2, COLUMN()) &lt;= OutturnThrough
  ),
  IFERROR(
    IF(
      O49 - INDEX(Assessment!$19:$19,
                   _xlfn.XMATCH(INDEX('Chart data'!$2:$2, COLUMN()),
                          Assessment!$4:$4, 0)
            ) &gt;= 0,
      INDEX(Assessment!$19:$19,
            _xlfn.XMATCH(INDEX('Chart data'!$2:$2, COLUMN()),
                   Assessment!$4:$4, 0)
      ),
      NA()
    ),
    NA()
  ),
  NA()
)</f>
        <v>#N/A</v>
      </c>
      <c r="P54" s="107" t="e" cm="1">
        <f t="array" ref="P54">IF(
  AND(
    INDEX('Chart data'!$2:$2, COLUMN()) &gt;= MTP_BaseYear,
    INDEX('Chart data'!$2:$2, COLUMN()) &lt;= OutturnThrough
  ),
  IFERROR(
    IF(
      P49 - INDEX(Assessment!$19:$19,
                   _xlfn.XMATCH(INDEX('Chart data'!$2:$2, COLUMN()),
                          Assessment!$4:$4, 0)
            ) &gt;= 0,
      INDEX(Assessment!$19:$19,
            _xlfn.XMATCH(INDEX('Chart data'!$2:$2, COLUMN()),
                   Assessment!$4:$4, 0)
      ),
      NA()
    ),
    NA()
  ),
  NA()
)</f>
        <v>#N/A</v>
      </c>
      <c r="Q54" s="107" t="e" cm="1">
        <f t="array" ref="Q54">IF(
  AND(
    INDEX('Chart data'!$2:$2, COLUMN()) &gt;= MTP_BaseYear,
    INDEX('Chart data'!$2:$2, COLUMN()) &lt;= OutturnThrough
  ),
  IFERROR(
    IF(
      Q49 - INDEX(Assessment!$19:$19,
                   _xlfn.XMATCH(INDEX('Chart data'!$2:$2, COLUMN()),
                          Assessment!$4:$4, 0)
            ) &gt;= 0,
      INDEX(Assessment!$19:$19,
            _xlfn.XMATCH(INDEX('Chart data'!$2:$2, COLUMN()),
                   Assessment!$4:$4, 0)
      ),
      NA()
    ),
    NA()
  ),
  NA()
)</f>
        <v>#N/A</v>
      </c>
      <c r="R54" s="107" t="e" cm="1">
        <f t="array" ref="R54">IF(
  AND(
    INDEX('Chart data'!$2:$2, COLUMN()) &gt;= MTP_BaseYear,
    INDEX('Chart data'!$2:$2, COLUMN()) &lt;= OutturnThrough
  ),
  IFERROR(
    IF(
      R49 - INDEX(Assessment!$19:$19,
                   _xlfn.XMATCH(INDEX('Chart data'!$2:$2, COLUMN()),
                          Assessment!$4:$4, 0)
            ) &gt;= 0,
      INDEX(Assessment!$19:$19,
            _xlfn.XMATCH(INDEX('Chart data'!$2:$2, COLUMN()),
                   Assessment!$4:$4, 0)
      ),
      NA()
    ),
    NA()
  ),
  NA()
)</f>
        <v>#N/A</v>
      </c>
      <c r="S54" s="107" t="e" cm="1">
        <f t="array" ref="S54">IF(
  AND(
    INDEX('Chart data'!$2:$2, COLUMN()) &gt;= MTP_BaseYear,
    INDEX('Chart data'!$2:$2, COLUMN()) &lt;= OutturnThrough
  ),
  IFERROR(
    IF(
      S49 - INDEX(Assessment!$19:$19,
                   _xlfn.XMATCH(INDEX('Chart data'!$2:$2, COLUMN()),
                          Assessment!$4:$4, 0)
            ) &gt;= 0,
      INDEX(Assessment!$19:$19,
            _xlfn.XMATCH(INDEX('Chart data'!$2:$2, COLUMN()),
                   Assessment!$4:$4, 0)
      ),
      NA()
    ),
    NA()
  ),
  NA()
)</f>
        <v>#N/A</v>
      </c>
      <c r="T54" s="107" t="e" cm="1">
        <f t="array" ref="T54">IF(
  AND(
    INDEX('Chart data'!$2:$2, COLUMN()) &gt;= MTP_BaseYear,
    INDEX('Chart data'!$2:$2, COLUMN()) &lt;= OutturnThrough
  ),
  IFERROR(
    IF(
      T49 - INDEX(Assessment!$19:$19,
                   _xlfn.XMATCH(INDEX('Chart data'!$2:$2, COLUMN()),
                          Assessment!$4:$4, 0)
            ) &gt;= 0,
      INDEX(Assessment!$19:$19,
            _xlfn.XMATCH(INDEX('Chart data'!$2:$2, COLUMN()),
                   Assessment!$4:$4, 0)
      ),
      NA()
    ),
    NA()
  ),
  NA()
)</f>
        <v>#N/A</v>
      </c>
      <c r="U54" s="107" t="e" cm="1">
        <f t="array" ref="U54">IF(
  AND(
    INDEX('Chart data'!$2:$2, COLUMN()) &gt;= MTP_BaseYear,
    INDEX('Chart data'!$2:$2, COLUMN()) &lt;= OutturnThrough
  ),
  IFERROR(
    IF(
      U49 - INDEX(Assessment!$19:$19,
                   _xlfn.XMATCH(INDEX('Chart data'!$2:$2, COLUMN()),
                          Assessment!$4:$4, 0)
            ) &gt;= 0,
      INDEX(Assessment!$19:$19,
            _xlfn.XMATCH(INDEX('Chart data'!$2:$2, COLUMN()),
                   Assessment!$4:$4, 0)
      ),
      NA()
    ),
    NA()
  ),
  NA()
)</f>
        <v>#N/A</v>
      </c>
      <c r="V54" s="107" t="e" cm="1">
        <f t="array" ref="V54">IF(
  AND(
    INDEX('Chart data'!$2:$2, COLUMN()) &gt;= MTP_BaseYear,
    INDEX('Chart data'!$2:$2, COLUMN()) &lt;= OutturnThrough
  ),
  IFERROR(
    IF(
      V49 - INDEX(Assessment!$19:$19,
                   _xlfn.XMATCH(INDEX('Chart data'!$2:$2, COLUMN()),
                          Assessment!$4:$4, 0)
            ) &gt;= 0,
      INDEX(Assessment!$19:$19,
            _xlfn.XMATCH(INDEX('Chart data'!$2:$2, COLUMN()),
                   Assessment!$4:$4, 0)
      ),
      NA()
    ),
    NA()
  ),
  NA()
)</f>
        <v>#N/A</v>
      </c>
      <c r="W54" s="107" t="e" cm="1">
        <f t="array" ref="W54">IF(
  AND(
    INDEX('Chart data'!$2:$2, COLUMN()) &gt;= MTP_BaseYear,
    INDEX('Chart data'!$2:$2, COLUMN()) &lt;= OutturnThrough
  ),
  IFERROR(
    IF(
      W49 - INDEX(Assessment!$19:$19,
                   _xlfn.XMATCH(INDEX('Chart data'!$2:$2, COLUMN()),
                          Assessment!$4:$4, 0)
            ) &gt;= 0,
      INDEX(Assessment!$19:$19,
            _xlfn.XMATCH(INDEX('Chart data'!$2:$2, COLUMN()),
                   Assessment!$4:$4, 0)
      ),
      NA()
    ),
    NA()
  ),
  NA()
)</f>
        <v>#N/A</v>
      </c>
    </row>
    <row r="55" spans="2:23" x14ac:dyDescent="0.4">
      <c r="C55" s="111" t="s">
        <v>573</v>
      </c>
      <c r="D55" s="4">
        <f>IF(_xlfn.AGGREGATE(5,6,F49:W54)&lt;0, _xlfn.AGGREGATE(5,6,F49:W54), 0)</f>
        <v>0</v>
      </c>
      <c r="F55" s="65"/>
      <c r="G55" s="65"/>
      <c r="H55" s="65"/>
      <c r="I55" s="65"/>
      <c r="J55" s="65"/>
      <c r="K55" s="65"/>
      <c r="L55" s="65"/>
      <c r="M55" s="65"/>
      <c r="N55" s="65"/>
      <c r="O55" s="65"/>
      <c r="P55" s="65"/>
      <c r="Q55" s="65"/>
      <c r="R55" s="65"/>
      <c r="S55" s="65"/>
      <c r="T55" s="65"/>
      <c r="U55" s="65"/>
      <c r="V55" s="65"/>
      <c r="W55" s="65"/>
    </row>
    <row r="56" spans="2:23" x14ac:dyDescent="0.4">
      <c r="C56" s="111" t="s">
        <v>574</v>
      </c>
      <c r="D56" s="4">
        <f>_xlfn.AGGREGATE(4,6,F49:W54)</f>
        <v>3.8204099999999999</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11" t="s">
        <v>502</v>
      </c>
      <c r="C58" s="12" t="s">
        <v>996</v>
      </c>
      <c r="F58" s="4"/>
      <c r="G58" s="4"/>
      <c r="H58" s="4"/>
      <c r="I58" s="4"/>
      <c r="J58" s="4"/>
      <c r="K58" s="4"/>
      <c r="L58" s="4"/>
      <c r="M58" s="4"/>
      <c r="N58" s="4"/>
      <c r="O58" s="4"/>
      <c r="P58" s="4"/>
      <c r="Q58" s="4"/>
      <c r="R58" s="4"/>
      <c r="S58" s="4"/>
      <c r="T58" s="4"/>
      <c r="U58" s="4"/>
      <c r="V58" s="4"/>
      <c r="W58" s="4"/>
    </row>
    <row r="59" spans="2:23" ht="13.5" customHeight="1" x14ac:dyDescent="0.4">
      <c r="C59" s="2" t="s">
        <v>390</v>
      </c>
      <c r="E59" s="65" t="e">
        <f>IF(
  AND(
    ISNUMBER(Assessment!C38),
    ISNUMBER(Assessment!D38)
  ),
  Assessment!D38-Assessment!C38,
  NA()
)</f>
        <v>#N/A</v>
      </c>
      <c r="F59" s="65">
        <f>IF(
  AND(
    ISNUMBER(Assessment!D38),
    ISNUMBER(Assessment!E38)
  ),
  Assessment!E38-Assessment!D38,
  NA()
)</f>
        <v>-8.2000000000000171</v>
      </c>
      <c r="G59" s="65">
        <f>IF(
  AND(
    ISNUMBER(Assessment!E38),
    ISNUMBER(Assessment!F38)
  ),
  Assessment!F38-Assessment!E38,
  NA()
)</f>
        <v>-4.5999999999999943</v>
      </c>
      <c r="H59" s="65">
        <f>IF(
  AND(
    ISNUMBER(Assessment!F38),
    ISNUMBER(Assessment!G38)
  ),
  Assessment!G38-Assessment!F38,
  NA()
)</f>
        <v>-6</v>
      </c>
      <c r="I59" s="65">
        <f>IF(
  AND(
    ISNUMBER(Assessment!G38),
    ISNUMBER(Assessment!H38)
  ),
  Assessment!H38-Assessment!G38,
  NA()
)</f>
        <v>-5.0999999999999943</v>
      </c>
      <c r="J59" s="65">
        <f>IF(
  AND(
    ISNUMBER(Assessment!H38),
    ISNUMBER(Assessment!I38)
  ),
  Assessment!I38-Assessment!H38,
  NA()
)</f>
        <v>-4.5999999999999943</v>
      </c>
      <c r="K59" s="65" t="e">
        <f>IF(
  AND(
    ISNUMBER(Assessment!I38),
    ISNUMBER(Assessment!J38)
  ),
  Assessment!J38-Assessment!I38,
  NA()
)</f>
        <v>#N/A</v>
      </c>
      <c r="L59" s="65" t="e">
        <f>IF(
  AND(
    ISNUMBER(Assessment!J38),
    ISNUMBER(Assessment!K38)
  ),
  Assessment!K38-Assessment!J38,
  NA()
)</f>
        <v>#N/A</v>
      </c>
      <c r="M59" s="65" t="e">
        <f>IF(
  AND(
    ISNUMBER(Assessment!K38),
    ISNUMBER(Assessment!L38)
  ),
  Assessment!L38-Assessment!K38,
  NA()
)</f>
        <v>#N/A</v>
      </c>
      <c r="N59" s="65" t="e">
        <f>IF(
  AND(
    ISNUMBER(Assessment!L38),
    ISNUMBER(Assessment!M38)
  ),
  Assessment!M38-Assessment!L38,
  NA()
)</f>
        <v>#N/A</v>
      </c>
      <c r="O59" s="65" t="e">
        <f>IF(
  AND(
    ISNUMBER(Assessment!M38),
    ISNUMBER(Assessment!N38)
  ),
  Assessment!N38-Assessment!M38,
  NA()
)</f>
        <v>#N/A</v>
      </c>
      <c r="P59" s="65" t="e">
        <f>IF(
  AND(
    ISNUMBER(Assessment!N38),
    ISNUMBER(Assessment!O38)
  ),
  Assessment!O38-Assessment!N38,
  NA()
)</f>
        <v>#N/A</v>
      </c>
      <c r="Q59" s="65" t="e">
        <f>IF(
  AND(
    ISNUMBER(Assessment!O38),
    ISNUMBER(Assessment!P38)
  ),
  Assessment!P38-Assessment!O38,
  NA()
)</f>
        <v>#N/A</v>
      </c>
      <c r="R59" s="65" t="e">
        <f>IF(
  AND(
    ISNUMBER(Assessment!P38),
    ISNUMBER(Assessment!Q38)
  ),
  Assessment!Q38-Assessment!P38,
  NA()
)</f>
        <v>#N/A</v>
      </c>
      <c r="S59" s="65" t="e">
        <f>IF(
  AND(
    ISNUMBER(Assessment!Q38),
    ISNUMBER(Assessment!R38)
  ),
  Assessment!R38-Assessment!Q38,
  NA()
)</f>
        <v>#N/A</v>
      </c>
      <c r="T59" s="65" t="e">
        <f>IF(
  AND(
    ISNUMBER(Assessment!R38),
    ISNUMBER(Assessment!S38)
  ),
  Assessment!S38-Assessment!R38,
  NA()
)</f>
        <v>#N/A</v>
      </c>
      <c r="U59" s="65" t="e">
        <f>IF(
  AND(
    ISNUMBER(Assessment!S38),
    ISNUMBER(Assessment!T38)
  ),
  Assessment!T38-Assessment!S38,
  NA()
)</f>
        <v>#N/A</v>
      </c>
      <c r="V59" s="65" t="e">
        <f>IF(
  AND(
    ISNUMBER(Assessment!T38),
    ISNUMBER(Assessment!U38)
  ),
  Assessment!U38-Assessment!T38,
  NA()
)</f>
        <v>#N/A</v>
      </c>
      <c r="W59" s="65" t="e">
        <f>IF(
  AND(
    ISNUMBER(Assessment!U38),
    ISNUMBER(Assessment!V38)
  ),
  Assessment!V38-Assessment!U38,
  NA()
)</f>
        <v>#N/A</v>
      </c>
    </row>
    <row r="60" spans="2:23" ht="13.5" customHeight="1" x14ac:dyDescent="0.4">
      <c r="C60" s="2" t="s">
        <v>296</v>
      </c>
      <c r="E60" s="65"/>
      <c r="F60" s="65"/>
      <c r="G60" s="65"/>
      <c r="H60" s="65"/>
      <c r="I60" s="65"/>
      <c r="J60" s="65"/>
      <c r="K60" s="65"/>
      <c r="L60" s="65"/>
      <c r="M60" s="65"/>
      <c r="N60" s="65"/>
      <c r="O60" s="65"/>
      <c r="P60" s="65"/>
      <c r="Q60" s="65"/>
      <c r="R60" s="65"/>
      <c r="S60" s="65"/>
      <c r="T60" s="65"/>
      <c r="U60" s="65"/>
      <c r="V60" s="65"/>
      <c r="W60" s="65"/>
    </row>
    <row r="61" spans="2:23" ht="13.5" customHeight="1" x14ac:dyDescent="0.4">
      <c r="C61" s="2" t="s">
        <v>297</v>
      </c>
      <c r="E61" s="65"/>
      <c r="F61" s="65"/>
      <c r="G61" s="65"/>
      <c r="H61" s="65"/>
      <c r="I61" s="65"/>
      <c r="J61" s="65"/>
      <c r="K61" s="65"/>
      <c r="L61" s="65"/>
      <c r="M61" s="65"/>
      <c r="N61" s="65"/>
      <c r="O61" s="65"/>
      <c r="P61" s="65"/>
      <c r="Q61" s="65"/>
      <c r="R61" s="65"/>
      <c r="S61" s="65"/>
      <c r="T61" s="65"/>
      <c r="U61" s="65"/>
      <c r="V61" s="65"/>
      <c r="W61" s="65"/>
    </row>
    <row r="62" spans="2:23" ht="13.5" customHeight="1" x14ac:dyDescent="0.4">
      <c r="C62" s="2" t="s">
        <v>298</v>
      </c>
      <c r="E62" s="65" t="e" cm="1">
        <f t="array" ref="E62">IF(
  AND(
    INDEX(2:2, COLUMN()) &gt; MTP_BaseYear,
    INDEX(2:2, COLUMN()) &lt;= OutturnThrough
  ),
  IFERROR(
    IF(
      Assessment!D21 &lt;= INDEX($65:$65, COLUMN()),
      Assessment!D21,
      NA()
    ),
    NA()
  ),
  NA()
)</f>
        <v>#N/A</v>
      </c>
      <c r="F62" s="65" cm="1">
        <f t="array" ref="F62">IF(
  AND(
    INDEX(2:2, COLUMN()) &gt; MTP_BaseYear,
    INDEX(2:2, COLUMN()) &lt;= OutturnThrough
  ),
  IFERROR(
    IF(
      Assessment!E21 &lt;= INDEX($65:$65, COLUMN()),
      Assessment!E21,
      NA()
    ),
    NA()
  ),
  NA()
)</f>
        <v>-1.7513179237631793</v>
      </c>
      <c r="G62" s="65" t="e" cm="1">
        <f t="array" ref="G62">IF(
  AND(
    INDEX(2:2, COLUMN()) &gt; MTP_BaseYear,
    INDEX(2:2, COLUMN()) &lt;= OutturnThrough
  ),
  IFERROR(
    IF(
      Assessment!F21 &lt;= INDEX($65:$65, COLUMN()),
      Assessment!F21,
      NA()
    ),
    NA()
  ),
  NA()
)</f>
        <v>#N/A</v>
      </c>
      <c r="H62" s="65" t="e" cm="1">
        <f t="array" ref="H62">IF(
  AND(
    INDEX(2:2, COLUMN()) &gt; MTP_BaseYear,
    INDEX(2:2, COLUMN()) &lt;= OutturnThrough
  ),
  IFERROR(
    IF(
      Assessment!G21 &lt;= INDEX($65:$65, COLUMN()),
      Assessment!G21,
      NA()
    ),
    NA()
  ),
  NA()
)</f>
        <v>#N/A</v>
      </c>
      <c r="I62" s="65" t="e" cm="1">
        <f t="array" ref="I62">IF(
  AND(
    INDEX(2:2, COLUMN()) &gt; MTP_BaseYear,
    INDEX(2:2, COLUMN()) &lt;= OutturnThrough
  ),
  IFERROR(
    IF(
      Assessment!H21 &lt;= INDEX($65:$65, COLUMN()),
      Assessment!H21,
      NA()
    ),
    NA()
  ),
  NA()
)</f>
        <v>#N/A</v>
      </c>
      <c r="J62" s="65" t="e" cm="1">
        <f t="array" ref="J62">IF(
  AND(
    INDEX(2:2, COLUMN()) &gt; MTP_BaseYear,
    INDEX(2:2, COLUMN()) &lt;= OutturnThrough
  ),
  IFERROR(
    IF(
      Assessment!I21 &lt;= INDEX($65:$65, COLUMN()),
      Assessment!I21,
      NA()
    ),
    NA()
  ),
  NA()
)</f>
        <v>#N/A</v>
      </c>
      <c r="K62" s="65" t="e" cm="1">
        <f t="array" ref="K62">IF(
  AND(
    INDEX(2:2, COLUMN()) &gt; MTP_BaseYear,
    INDEX(2:2, COLUMN()) &lt;= OutturnThrough
  ),
  IFERROR(
    IF(
      Assessment!J21 &lt;= INDEX($65:$65, COLUMN()),
      Assessment!J21,
      NA()
    ),
    NA()
  ),
  NA()
)</f>
        <v>#N/A</v>
      </c>
      <c r="L62" s="65" t="e" cm="1">
        <f t="array" ref="L62">IF(
  AND(
    INDEX(2:2, COLUMN()) &gt; MTP_BaseYear,
    INDEX(2:2, COLUMN()) &lt;= OutturnThrough
  ),
  IFERROR(
    IF(
      Assessment!K21 &lt;= INDEX($65:$65, COLUMN()),
      Assessment!K21,
      NA()
    ),
    NA()
  ),
  NA()
)</f>
        <v>#N/A</v>
      </c>
      <c r="M62" s="65" t="e" cm="1">
        <f t="array" ref="M62">IF(
  AND(
    INDEX(2:2, COLUMN()) &gt; MTP_BaseYear,
    INDEX(2:2, COLUMN()) &lt;= OutturnThrough
  ),
  IFERROR(
    IF(
      Assessment!L21 &lt;= INDEX($65:$65, COLUMN()),
      Assessment!L21,
      NA()
    ),
    NA()
  ),
  NA()
)</f>
        <v>#N/A</v>
      </c>
      <c r="N62" s="65" t="e" cm="1">
        <f t="array" ref="N62">IF(
  AND(
    INDEX(2:2, COLUMN()) &gt; MTP_BaseYear,
    INDEX(2:2, COLUMN()) &lt;= OutturnThrough
  ),
  IFERROR(
    IF(
      Assessment!M21 &lt;= INDEX($65:$65, COLUMN()),
      Assessment!M21,
      NA()
    ),
    NA()
  ),
  NA()
)</f>
        <v>#N/A</v>
      </c>
      <c r="O62" s="65" t="e" cm="1">
        <f t="array" ref="O62">IF(
  AND(
    INDEX(2:2, COLUMN()) &gt; MTP_BaseYear,
    INDEX(2:2, COLUMN()) &lt;= OutturnThrough
  ),
  IFERROR(
    IF(
      Assessment!N21 &lt;= INDEX($65:$65, COLUMN()),
      Assessment!N21,
      NA()
    ),
    NA()
  ),
  NA()
)</f>
        <v>#N/A</v>
      </c>
      <c r="P62" s="65" t="e" cm="1">
        <f t="array" ref="P62">IF(
  AND(
    INDEX(2:2, COLUMN()) &gt; MTP_BaseYear,
    INDEX(2:2, COLUMN()) &lt;= OutturnThrough
  ),
  IFERROR(
    IF(
      Assessment!O21 &lt;= INDEX($65:$65, COLUMN()),
      Assessment!O21,
      NA()
    ),
    NA()
  ),
  NA()
)</f>
        <v>#N/A</v>
      </c>
      <c r="Q62" s="65" t="e" cm="1">
        <f t="array" ref="Q62">IF(
  AND(
    INDEX(2:2, COLUMN()) &gt; MTP_BaseYear,
    INDEX(2:2, COLUMN()) &lt;= OutturnThrough
  ),
  IFERROR(
    IF(
      Assessment!P21 &lt;= INDEX($65:$65, COLUMN()),
      Assessment!P21,
      NA()
    ),
    NA()
  ),
  NA()
)</f>
        <v>#N/A</v>
      </c>
      <c r="R62" s="65" t="e" cm="1">
        <f t="array" ref="R62">IF(
  AND(
    INDEX(2:2, COLUMN()) &gt; MTP_BaseYear,
    INDEX(2:2, COLUMN()) &lt;= OutturnThrough
  ),
  IFERROR(
    IF(
      Assessment!Q21 &lt;= INDEX($65:$65, COLUMN()),
      Assessment!Q21,
      NA()
    ),
    NA()
  ),
  NA()
)</f>
        <v>#N/A</v>
      </c>
      <c r="S62" s="65" t="e" cm="1">
        <f t="array" ref="S62">IF(
  AND(
    INDEX(2:2, COLUMN()) &gt; MTP_BaseYear,
    INDEX(2:2, COLUMN()) &lt;= OutturnThrough
  ),
  IFERROR(
    IF(
      Assessment!R21 &lt;= INDEX($65:$65, COLUMN()),
      Assessment!R21,
      NA()
    ),
    NA()
  ),
  NA()
)</f>
        <v>#N/A</v>
      </c>
      <c r="T62" s="65" t="e" cm="1">
        <f t="array" ref="T62">IF(
  AND(
    INDEX(2:2, COLUMN()) &gt; MTP_BaseYear,
    INDEX(2:2, COLUMN()) &lt;= OutturnThrough
  ),
  IFERROR(
    IF(
      Assessment!S21 &lt;= INDEX($65:$65, COLUMN()),
      Assessment!S21,
      NA()
    ),
    NA()
  ),
  NA()
)</f>
        <v>#N/A</v>
      </c>
      <c r="U62" s="65" t="e" cm="1">
        <f t="array" ref="U62">IF(
  AND(
    INDEX(2:2, COLUMN()) &gt; MTP_BaseYear,
    INDEX(2:2, COLUMN()) &lt;= OutturnThrough
  ),
  IFERROR(
    IF(
      Assessment!T21 &lt;= INDEX($65:$65, COLUMN()),
      Assessment!T21,
      NA()
    ),
    NA()
  ),
  NA()
)</f>
        <v>#N/A</v>
      </c>
      <c r="V62" s="65" t="e" cm="1">
        <f t="array" ref="V62">IF(
  AND(
    INDEX(2:2, COLUMN()) &gt; MTP_BaseYear,
    INDEX(2:2, COLUMN()) &lt;= OutturnThrough
  ),
  IFERROR(
    IF(
      Assessment!U21 &lt;= INDEX($65:$65, COLUMN()),
      Assessment!U21,
      NA()
    ),
    NA()
  ),
  NA()
)</f>
        <v>#N/A</v>
      </c>
      <c r="W62" s="65" t="e" cm="1">
        <f t="array" ref="W62">IF(
  AND(
    INDEX(2:2, COLUMN()) &gt; MTP_BaseYear,
    INDEX(2:2, COLUMN()) &lt;= OutturnThrough
  ),
  IFERROR(
    IF(
      Assessment!V21 &lt;= INDEX($65:$65, COLUMN()),
      Assessment!V21,
      NA()
    ),
    NA()
  ),
  NA()
)</f>
        <v>#N/A</v>
      </c>
    </row>
    <row r="63" spans="2:23" ht="13.5" customHeight="1" x14ac:dyDescent="0.4">
      <c r="C63" s="2" t="s">
        <v>299</v>
      </c>
      <c r="E63" s="65" t="e" cm="1">
        <f t="array" ref="E63">IF(
  AND(
    INDEX(2:2, COLUMN()) &gt; MTP_BaseYear,
    INDEX(2:2, COLUMN()) &lt;= OutturnThrough
  ),
  IFERROR(
    IF(
      Assessment!D21 &gt; INDEX($65:$65, COLUMN()),
      Assessment!D21,
      NA()
    ),
    NA()
  ),
  NA()
)</f>
        <v>#N/A</v>
      </c>
      <c r="F63" s="65" t="e" cm="1">
        <f t="array" ref="F63">IF(
  AND(
    INDEX(2:2, COLUMN()) &gt; MTP_BaseYear,
    INDEX(2:2, COLUMN()) &lt;= OutturnThrough
  ),
  IFERROR(
    IF(
      Assessment!E21 &gt; INDEX($65:$65, COLUMN()),
      Assessment!E21,
      NA()
    ),
    NA()
  ),
  NA()
)</f>
        <v>#N/A</v>
      </c>
      <c r="G63" s="65" cm="1">
        <f t="array" ref="G63">IF(
  AND(
    INDEX(2:2, COLUMN()) &gt; MTP_BaseYear,
    INDEX(2:2, COLUMN()) &lt;= OutturnThrough
  ),
  IFERROR(
    IF(
      Assessment!F21 &gt; INDEX($65:$65, COLUMN()),
      Assessment!F21,
      NA()
    ),
    NA()
  ),
  NA()
)</f>
        <v>-0.82100649195079434</v>
      </c>
      <c r="H63" s="65" t="e" cm="1">
        <f t="array" ref="H63">IF(
  AND(
    INDEX(2:2, COLUMN()) &gt; MTP_BaseYear,
    INDEX(2:2, COLUMN()) &lt;= OutturnThrough
  ),
  IFERROR(
    IF(
      Assessment!G21 &gt; INDEX($65:$65, COLUMN()),
      Assessment!G21,
      NA()
    ),
    NA()
  ),
  NA()
)</f>
        <v>#N/A</v>
      </c>
      <c r="I63" s="65" t="e" cm="1">
        <f t="array" ref="I63">IF(
  AND(
    INDEX(2:2, COLUMN()) &gt; MTP_BaseYear,
    INDEX(2:2, COLUMN()) &lt;= OutturnThrough
  ),
  IFERROR(
    IF(
      Assessment!H21 &gt; INDEX($65:$65, COLUMN()),
      Assessment!H21,
      NA()
    ),
    NA()
  ),
  NA()
)</f>
        <v>#N/A</v>
      </c>
      <c r="J63" s="65" t="e" cm="1">
        <f t="array" ref="J63">IF(
  AND(
    INDEX(2:2, COLUMN()) &gt; MTP_BaseYear,
    INDEX(2:2, COLUMN()) &lt;= OutturnThrough
  ),
  IFERROR(
    IF(
      Assessment!I21 &gt; INDEX($65:$65, COLUMN()),
      Assessment!I21,
      NA()
    ),
    NA()
  ),
  NA()
)</f>
        <v>#N/A</v>
      </c>
      <c r="K63" s="65" t="e" cm="1">
        <f t="array" ref="K63">IF(
  AND(
    INDEX(2:2, COLUMN()) &gt; MTP_BaseYear,
    INDEX(2:2, COLUMN()) &lt;= OutturnThrough
  ),
  IFERROR(
    IF(
      Assessment!J21 &gt; INDEX($65:$65, COLUMN()),
      Assessment!J21,
      NA()
    ),
    NA()
  ),
  NA()
)</f>
        <v>#N/A</v>
      </c>
      <c r="L63" s="65" t="e" cm="1">
        <f t="array" ref="L63">IF(
  AND(
    INDEX(2:2, COLUMN()) &gt; MTP_BaseYear,
    INDEX(2:2, COLUMN()) &lt;= OutturnThrough
  ),
  IFERROR(
    IF(
      Assessment!K21 &gt; INDEX($65:$65, COLUMN()),
      Assessment!K21,
      NA()
    ),
    NA()
  ),
  NA()
)</f>
        <v>#N/A</v>
      </c>
      <c r="M63" s="65" t="e" cm="1">
        <f t="array" ref="M63">IF(
  AND(
    INDEX(2:2, COLUMN()) &gt; MTP_BaseYear,
    INDEX(2:2, COLUMN()) &lt;= OutturnThrough
  ),
  IFERROR(
    IF(
      Assessment!L21 &gt; INDEX($65:$65, COLUMN()),
      Assessment!L21,
      NA()
    ),
    NA()
  ),
  NA()
)</f>
        <v>#N/A</v>
      </c>
      <c r="N63" s="65" t="e" cm="1">
        <f t="array" ref="N63">IF(
  AND(
    INDEX(2:2, COLUMN()) &gt; MTP_BaseYear,
    INDEX(2:2, COLUMN()) &lt;= OutturnThrough
  ),
  IFERROR(
    IF(
      Assessment!M21 &gt; INDEX($65:$65, COLUMN()),
      Assessment!M21,
      NA()
    ),
    NA()
  ),
  NA()
)</f>
        <v>#N/A</v>
      </c>
      <c r="O63" s="65" t="e" cm="1">
        <f t="array" ref="O63">IF(
  AND(
    INDEX(2:2, COLUMN()) &gt; MTP_BaseYear,
    INDEX(2:2, COLUMN()) &lt;= OutturnThrough
  ),
  IFERROR(
    IF(
      Assessment!N21 &gt; INDEX($65:$65, COLUMN()),
      Assessment!N21,
      NA()
    ),
    NA()
  ),
  NA()
)</f>
        <v>#N/A</v>
      </c>
      <c r="P63" s="65" t="e" cm="1">
        <f t="array" ref="P63">IF(
  AND(
    INDEX(2:2, COLUMN()) &gt; MTP_BaseYear,
    INDEX(2:2, COLUMN()) &lt;= OutturnThrough
  ),
  IFERROR(
    IF(
      Assessment!O21 &gt; INDEX($65:$65, COLUMN()),
      Assessment!O21,
      NA()
    ),
    NA()
  ),
  NA()
)</f>
        <v>#N/A</v>
      </c>
      <c r="Q63" s="65" t="e" cm="1">
        <f t="array" ref="Q63">IF(
  AND(
    INDEX(2:2, COLUMN()) &gt; MTP_BaseYear,
    INDEX(2:2, COLUMN()) &lt;= OutturnThrough
  ),
  IFERROR(
    IF(
      Assessment!P21 &gt; INDEX($65:$65, COLUMN()),
      Assessment!P21,
      NA()
    ),
    NA()
  ),
  NA()
)</f>
        <v>#N/A</v>
      </c>
      <c r="R63" s="65" t="e" cm="1">
        <f t="array" ref="R63">IF(
  AND(
    INDEX(2:2, COLUMN()) &gt; MTP_BaseYear,
    INDEX(2:2, COLUMN()) &lt;= OutturnThrough
  ),
  IFERROR(
    IF(
      Assessment!Q21 &gt; INDEX($65:$65, COLUMN()),
      Assessment!Q21,
      NA()
    ),
    NA()
  ),
  NA()
)</f>
        <v>#N/A</v>
      </c>
      <c r="S63" s="65" t="e" cm="1">
        <f t="array" ref="S63">IF(
  AND(
    INDEX(2:2, COLUMN()) &gt; MTP_BaseYear,
    INDEX(2:2, COLUMN()) &lt;= OutturnThrough
  ),
  IFERROR(
    IF(
      Assessment!R21 &gt; INDEX($65:$65, COLUMN()),
      Assessment!R21,
      NA()
    ),
    NA()
  ),
  NA()
)</f>
        <v>#N/A</v>
      </c>
      <c r="T63" s="65" t="e" cm="1">
        <f t="array" ref="T63">IF(
  AND(
    INDEX(2:2, COLUMN()) &gt; MTP_BaseYear,
    INDEX(2:2, COLUMN()) &lt;= OutturnThrough
  ),
  IFERROR(
    IF(
      Assessment!S21 &gt; INDEX($65:$65, COLUMN()),
      Assessment!S21,
      NA()
    ),
    NA()
  ),
  NA()
)</f>
        <v>#N/A</v>
      </c>
      <c r="U63" s="65" t="e" cm="1">
        <f t="array" ref="U63">IF(
  AND(
    INDEX(2:2, COLUMN()) &gt; MTP_BaseYear,
    INDEX(2:2, COLUMN()) &lt;= OutturnThrough
  ),
  IFERROR(
    IF(
      Assessment!T21 &gt; INDEX($65:$65, COLUMN()),
      Assessment!T21,
      NA()
    ),
    NA()
  ),
  NA()
)</f>
        <v>#N/A</v>
      </c>
      <c r="V63" s="65" t="e" cm="1">
        <f t="array" ref="V63">IF(
  AND(
    INDEX(2:2, COLUMN()) &gt; MTP_BaseYear,
    INDEX(2:2, COLUMN()) &lt;= OutturnThrough
  ),
  IFERROR(
    IF(
      Assessment!U21 &gt; INDEX($65:$65, COLUMN()),
      Assessment!U21,
      NA()
    ),
    NA()
  ),
  NA()
)</f>
        <v>#N/A</v>
      </c>
      <c r="W63" s="65" t="e" cm="1">
        <f t="array" ref="W63">IF(
  AND(
    INDEX(2:2, COLUMN()) &gt; MTP_BaseYear,
    INDEX(2:2, COLUMN()) &lt;= OutturnThrough
  ),
  IFERROR(
    IF(
      Assessment!V21 &gt; INDEX($65:$65, COLUMN()),
      Assessment!V21,
      NA()
    ),
    NA()
  ),
  NA()
)</f>
        <v>#N/A</v>
      </c>
    </row>
    <row r="64" spans="2:23" ht="13.5" customHeight="1" x14ac:dyDescent="0.4">
      <c r="C64" s="2" t="s">
        <v>571</v>
      </c>
      <c r="E64" s="65">
        <f>IF(OR(ISNUMBER(E62),ISNUMBER(E63)),NA(),IF(ISNUMBER(Assessment!D21),Assessment!D21,NA()))</f>
        <v>0.4917970039993555</v>
      </c>
      <c r="F64" s="65" t="e">
        <f>IF(OR(ISNUMBER(F62),ISNUMBER(F63)),NA(),IF(ISNUMBER(Assessment!E21),Assessment!E21,NA()))</f>
        <v>#N/A</v>
      </c>
      <c r="G64" s="65" t="e">
        <f>IF(OR(ISNUMBER(G62),ISNUMBER(G63)),NA(),IF(ISNUMBER(Assessment!F21),Assessment!F21,NA()))</f>
        <v>#N/A</v>
      </c>
      <c r="H64" s="65">
        <f>IF(OR(ISNUMBER(H62),ISNUMBER(H63)),NA(),IF(ISNUMBER(Assessment!G21),Assessment!G21,NA()))</f>
        <v>-9.3000000000000007</v>
      </c>
      <c r="I64" s="65" t="e">
        <f>IF(OR(ISNUMBER(I62),ISNUMBER(I63)),NA(),IF(ISNUMBER(Assessment!H21),Assessment!H21,NA()))</f>
        <v>#N/A</v>
      </c>
      <c r="J64" s="65" t="e">
        <f>IF(OR(ISNUMBER(J62),ISNUMBER(J63)),NA(),IF(ISNUMBER(Assessment!I21),Assessment!I21,NA()))</f>
        <v>#N/A</v>
      </c>
      <c r="K64" s="65" t="e">
        <f>IF(OR(ISNUMBER(K62),ISNUMBER(K63)),NA(),IF(ISNUMBER(Assessment!J21),Assessment!J21,NA()))</f>
        <v>#N/A</v>
      </c>
      <c r="L64" s="65" t="e">
        <f>IF(OR(ISNUMBER(L62),ISNUMBER(L63)),NA(),IF(ISNUMBER(Assessment!K21),Assessment!K21,NA()))</f>
        <v>#N/A</v>
      </c>
      <c r="M64" s="65" t="e">
        <f>IF(OR(ISNUMBER(M62),ISNUMBER(M63)),NA(),IF(ISNUMBER(Assessment!L21),Assessment!L21,NA()))</f>
        <v>#N/A</v>
      </c>
      <c r="N64" s="65" t="e">
        <f>IF(OR(ISNUMBER(N62),ISNUMBER(N63)),NA(),IF(ISNUMBER(Assessment!M21),Assessment!M21,NA()))</f>
        <v>#N/A</v>
      </c>
      <c r="O64" s="65" t="e">
        <f>IF(OR(ISNUMBER(O62),ISNUMBER(O63)),NA(),IF(ISNUMBER(Assessment!N21),Assessment!N21,NA()))</f>
        <v>#N/A</v>
      </c>
      <c r="P64" s="65" t="e">
        <f>IF(OR(ISNUMBER(P62),ISNUMBER(P63)),NA(),IF(ISNUMBER(Assessment!O21),Assessment!O21,NA()))</f>
        <v>#N/A</v>
      </c>
      <c r="Q64" s="65" t="e">
        <f>IF(OR(ISNUMBER(Q62),ISNUMBER(Q63)),NA(),IF(ISNUMBER(Assessment!P21),Assessment!P21,NA()))</f>
        <v>#N/A</v>
      </c>
      <c r="R64" s="65" t="e">
        <f>IF(OR(ISNUMBER(R62),ISNUMBER(R63)),NA(),IF(ISNUMBER(Assessment!Q21),Assessment!Q21,NA()))</f>
        <v>#N/A</v>
      </c>
      <c r="S64" s="65" t="e">
        <f>IF(OR(ISNUMBER(S62),ISNUMBER(S63)),NA(),IF(ISNUMBER(Assessment!R21),Assessment!R21,NA()))</f>
        <v>#N/A</v>
      </c>
      <c r="T64" s="65" t="e">
        <f>IF(OR(ISNUMBER(T62),ISNUMBER(T63)),NA(),IF(ISNUMBER(Assessment!S21),Assessment!S21,NA()))</f>
        <v>#N/A</v>
      </c>
      <c r="U64" s="65" t="e">
        <f>IF(ISNUMBER(U62),NA(),IF(ISNUMBER(Assessment!T21),Assessment!T21,NA()))</f>
        <v>#N/A</v>
      </c>
      <c r="V64" s="65" t="e">
        <f>IF(ISNUMBER(V62),NA(),IF(ISNUMBER(Assessment!U21),Assessment!U21,NA()))</f>
        <v>#N/A</v>
      </c>
      <c r="W64" s="65" t="e">
        <f>IF(ISNUMBER(W62),NA(),IF(ISNUMBER(Assessment!V21),Assessment!V21,NA()))</f>
        <v>#N/A</v>
      </c>
    </row>
    <row r="65" spans="2:23" ht="13.5" customHeight="1" x14ac:dyDescent="0.4">
      <c r="C65" s="2" t="s">
        <v>572</v>
      </c>
      <c r="E65" s="65">
        <f>IF(
  ISNUMBER(Assessment!D20),
  IF(Assessment!D20&gt;90,-1,
     IF(Assessment!D20&gt;60,-0.5,0)
  ),
  NA()
)</f>
        <v>-1</v>
      </c>
      <c r="F65" s="65">
        <f>IF(
  ISNUMBER(Assessment!E20),
  IF(Assessment!E20&gt;90,-1,
     IF(Assessment!E20&gt;60,-0.5,0)
  ),
  NA()
)</f>
        <v>-1</v>
      </c>
      <c r="G65" s="65">
        <f>IF(
  ISNUMBER(Assessment!F20),
  IF(Assessment!F20&gt;90,-1,
     IF(Assessment!F20&gt;60,-0.5,0)
  ),
  NA()
)</f>
        <v>-1</v>
      </c>
      <c r="H65" s="65">
        <f>IF(
  ISNUMBER(Assessment!G20),
  IF(Assessment!G20&gt;90,-1,
     IF(Assessment!G20&gt;60,-0.5,0)
  ),
  NA()
)</f>
        <v>-1</v>
      </c>
      <c r="I65" s="65" t="e">
        <f>IF(
  ISNUMBER(Assessment!H20),
  IF(Assessment!H20&gt;90,-1,
     IF(Assessment!H20&gt;60,-0.5,0)
  ),
  NA()
)</f>
        <v>#N/A</v>
      </c>
      <c r="J65" s="65" t="e">
        <f>IF(
  ISNUMBER(Assessment!I20),
  IF(Assessment!I20&gt;90,-1,
     IF(Assessment!I20&gt;60,-0.5,0)
  ),
  NA()
)</f>
        <v>#N/A</v>
      </c>
      <c r="K65" s="65" t="e">
        <f>IF(
  ISNUMBER(Assessment!J20),
  IF(Assessment!J20&gt;90,-1,
     IF(Assessment!J20&gt;60,-0.5,0)
  ),
  NA()
)</f>
        <v>#N/A</v>
      </c>
      <c r="L65" s="65" t="e">
        <f>IF(
  ISNUMBER(Assessment!K20),
  IF(Assessment!K20&gt;90,-1,
     IF(Assessment!K20&gt;60,-0.5,0)
  ),
  NA()
)</f>
        <v>#N/A</v>
      </c>
      <c r="M65" s="65" t="e">
        <f>IF(
  ISNUMBER(Assessment!L20),
  IF(Assessment!L20&gt;90,-1,
     IF(Assessment!L20&gt;60,-0.5,0)
  ),
  NA()
)</f>
        <v>#N/A</v>
      </c>
      <c r="N65" s="65" t="e">
        <f>IF(
  ISNUMBER(Assessment!M20),
  IF(Assessment!M20&gt;90,-1,
     IF(Assessment!M20&gt;60,-0.5,0)
  ),
  NA()
)</f>
        <v>#N/A</v>
      </c>
      <c r="O65" s="65" t="e">
        <f>IF(
  ISNUMBER(Assessment!N20),
  IF(Assessment!N20&gt;90,-1,
     IF(Assessment!N20&gt;60,-0.5,0)
  ),
  NA()
)</f>
        <v>#N/A</v>
      </c>
      <c r="P65" s="65" t="e">
        <f>IF(
  ISNUMBER(Assessment!O20),
  IF(Assessment!O20&gt;90,-1,
     IF(Assessment!O20&gt;60,-0.5,0)
  ),
  NA()
)</f>
        <v>#N/A</v>
      </c>
      <c r="Q65" s="65" t="e">
        <f>IF(
  ISNUMBER(Assessment!P20),
  IF(Assessment!P20&gt;90,-1,
     IF(Assessment!P20&gt;60,-0.5,0)
  ),
  NA()
)</f>
        <v>#N/A</v>
      </c>
      <c r="R65" s="65" t="e">
        <f>IF(
  ISNUMBER(Assessment!Q20),
  IF(Assessment!Q20&gt;90,-1,
     IF(Assessment!Q20&gt;60,-0.5,0)
  ),
  NA()
)</f>
        <v>#N/A</v>
      </c>
      <c r="S65" s="65" t="e">
        <f>IF(
  ISNUMBER(Assessment!R20),
  IF(Assessment!R20&gt;90,-1,
     IF(Assessment!R20&gt;60,-0.5,0)
  ),
  NA()
)</f>
        <v>#N/A</v>
      </c>
      <c r="T65" s="65" t="e">
        <f>IF(
  ISNUMBER(Assessment!S20),
  IF(Assessment!S20&gt;90,-1,
     IF(Assessment!S20&gt;60,-0.5,0)
  ),
  NA()
)</f>
        <v>#N/A</v>
      </c>
      <c r="U65" s="65" t="e">
        <f>IF(
  ISNUMBER(Assessment!T20),
  IF(Assessment!T20&gt;90,-1,
     IF(Assessment!T20&gt;60,-0.5,0)
  ),
  NA()
)</f>
        <v>#N/A</v>
      </c>
      <c r="V65" s="65" t="e">
        <f>IF(
  ISNUMBER(Assessment!U20),
  IF(Assessment!U20&gt;90,-1,
     IF(Assessment!U20&gt;60,-0.5,0)
  ),
  NA()
)</f>
        <v>#N/A</v>
      </c>
      <c r="W65" s="65" t="e">
        <f>IF(
  ISNUMBER(Assessment!V20),
  IF(Assessment!V20&gt;90,-1,
     IF(Assessment!V20&gt;60,-0.5,0)
  ),
  NA()
)</f>
        <v>#N/A</v>
      </c>
    </row>
    <row r="66" spans="2:23" x14ac:dyDescent="0.4">
      <c r="C66" s="111" t="s">
        <v>573</v>
      </c>
      <c r="D66" s="4">
        <f>IF(_xlfn.AGGREGATE(5,6,F59:W65)&lt;0, _xlfn.AGGREGATE(5,6,F59:W65), 0)</f>
        <v>-9.3000000000000007</v>
      </c>
      <c r="F66" s="65"/>
      <c r="G66" s="65"/>
      <c r="H66" s="65"/>
      <c r="I66" s="65"/>
      <c r="J66" s="65"/>
      <c r="K66" s="65"/>
      <c r="L66" s="65"/>
      <c r="M66" s="65"/>
      <c r="N66" s="65"/>
      <c r="O66" s="65"/>
      <c r="P66" s="65"/>
      <c r="Q66" s="65"/>
      <c r="R66" s="65"/>
      <c r="S66" s="65"/>
      <c r="T66" s="65"/>
      <c r="U66" s="65"/>
      <c r="V66" s="65"/>
      <c r="W66" s="65"/>
    </row>
    <row r="67" spans="2:23" x14ac:dyDescent="0.4">
      <c r="C67" s="111" t="s">
        <v>574</v>
      </c>
      <c r="D67" s="4">
        <f>_xlfn.AGGREGATE(4,6,F59:W65)</f>
        <v>-0.82100649195079434</v>
      </c>
    </row>
    <row r="68" spans="2:23" x14ac:dyDescent="0.4">
      <c r="C68" s="111"/>
      <c r="D68" s="4"/>
    </row>
    <row r="69" spans="2:23" ht="14.25" customHeight="1" x14ac:dyDescent="0.6">
      <c r="B69" s="137" t="s">
        <v>581</v>
      </c>
      <c r="C69" s="12" t="s">
        <v>992</v>
      </c>
      <c r="F69" s="107"/>
      <c r="G69" s="107"/>
      <c r="H69" s="107"/>
      <c r="I69" s="107"/>
      <c r="J69" s="107"/>
      <c r="K69" s="107"/>
      <c r="L69" s="107"/>
      <c r="M69" s="107"/>
      <c r="N69" s="107"/>
      <c r="O69" s="107"/>
      <c r="P69" s="107"/>
      <c r="Q69" s="107"/>
      <c r="R69" s="107"/>
      <c r="S69" s="107"/>
      <c r="T69" s="107"/>
      <c r="U69" s="65"/>
      <c r="V69" s="65"/>
      <c r="W69" s="65"/>
    </row>
    <row r="70" spans="2:23" x14ac:dyDescent="0.4">
      <c r="C70" s="2" t="s">
        <v>521</v>
      </c>
      <c r="F70" s="65"/>
      <c r="G70" s="65">
        <f>IF(
  AND(
    ISNUMBER(Assessment!F37),
    ISNUMBER(Assessment!E37)
  ),
  Assessment!F37 - Assessment!E37,
  NA()
)</f>
        <v>0.10000000000000009</v>
      </c>
      <c r="H70" s="65">
        <f>IF(
  AND(
    ISNUMBER(Assessment!G37),
    ISNUMBER(Assessment!F37)
  ),
  Assessment!G37 - Assessment!F37,
  NA()
)</f>
        <v>0.10000000000000009</v>
      </c>
      <c r="I70" s="65">
        <f>IF(
  AND(
    ISNUMBER(Assessment!H37),
    ISNUMBER(Assessment!G37)
  ),
  Assessment!H37 - Assessment!G37,
  NA()
)</f>
        <v>0.10000000000000009</v>
      </c>
      <c r="J70" s="65">
        <f>IF(
  AND(
    ISNUMBER(Assessment!I37),
    ISNUMBER(Assessment!H37)
  ),
  Assessment!I37 - Assessment!H37,
  NA()
)</f>
        <v>9.9999999999999645E-2</v>
      </c>
      <c r="K70" s="65" t="e">
        <f>IF(
  AND(
    ISNUMBER(Assessment!J37),
    ISNUMBER(Assessment!I37)
  ),
  Assessment!J37 - Assessment!I37,
  NA()
)</f>
        <v>#N/A</v>
      </c>
      <c r="L70" s="65" t="e">
        <f>IF(
  AND(
    ISNUMBER(Assessment!K37),
    ISNUMBER(Assessment!J37)
  ),
  Assessment!K37 - Assessment!J37,
  NA()
)</f>
        <v>#N/A</v>
      </c>
      <c r="M70" s="65" t="e">
        <f>IF(
  AND(
    ISNUMBER(Assessment!L37),
    ISNUMBER(Assessment!K37)
  ),
  Assessment!L37 - Assessment!K37,
  NA()
)</f>
        <v>#N/A</v>
      </c>
      <c r="N70" s="65" t="e">
        <f>IF(
  AND(
    ISNUMBER(Assessment!M37),
    ISNUMBER(Assessment!L37)
  ),
  Assessment!M37 - Assessment!L37,
  NA()
)</f>
        <v>#N/A</v>
      </c>
      <c r="O70" s="65" t="e">
        <f>IF(
  AND(
    ISNUMBER(Assessment!N37),
    ISNUMBER(Assessment!M37)
  ),
  Assessment!N37 - Assessment!M37,
  NA()
)</f>
        <v>#N/A</v>
      </c>
      <c r="P70" s="65" t="e">
        <f>IF(
  AND(
    ISNUMBER(Assessment!O37),
    ISNUMBER(Assessment!N37)
  ),
  Assessment!O37 - Assessment!N37,
  NA()
)</f>
        <v>#N/A</v>
      </c>
      <c r="Q70" s="65" t="e">
        <f>IF(
  AND(
    ISNUMBER(Assessment!P37),
    ISNUMBER(Assessment!O37)
  ),
  Assessment!P37 - Assessment!O37,
  NA()
)</f>
        <v>#N/A</v>
      </c>
      <c r="R70" s="65" t="e">
        <f>IF(
  AND(
    ISNUMBER(Assessment!Q37),
    ISNUMBER(Assessment!P37)
  ),
  Assessment!Q37 - Assessment!P37,
  NA()
)</f>
        <v>#N/A</v>
      </c>
      <c r="S70" s="65" t="e">
        <f>IF(
  AND(
    ISNUMBER(Assessment!R37),
    ISNUMBER(Assessment!Q37)
  ),
  Assessment!R37 - Assessment!Q37,
  NA()
)</f>
        <v>#N/A</v>
      </c>
      <c r="T70" s="65" t="e">
        <f>IF(
  AND(
    ISNUMBER(Assessment!S37),
    ISNUMBER(Assessment!R37)
  ),
  Assessment!S37 - Assessment!R37,
  NA()
)</f>
        <v>#N/A</v>
      </c>
      <c r="U70" s="65" t="e">
        <f>IF(
  AND(
    ISNUMBER(Assessment!T37),
    ISNUMBER(Assessment!S37)
  ),
  Assessment!T37 - Assessment!S37,
  NA()
)</f>
        <v>#N/A</v>
      </c>
      <c r="V70" s="65" t="e">
        <f>IF(
  AND(
    ISNUMBER(Assessment!U37),
    ISNUMBER(Assessment!T37)
  ),
  Assessment!U37 - Assessment!T37,
  NA()
)</f>
        <v>#N/A</v>
      </c>
      <c r="W70" s="65" t="e">
        <f>IF(
  AND(
    ISNUMBER(Assessment!V37),
    ISNUMBER(Assessment!U37)
  ),
  Assessment!V37 - Assessment!U37,
  NA()
)</f>
        <v>#N/A</v>
      </c>
    </row>
    <row r="71" spans="2:23" x14ac:dyDescent="0.4">
      <c r="C71" s="2" t="s">
        <v>296</v>
      </c>
      <c r="F71" s="4"/>
      <c r="G71" s="4"/>
      <c r="H71" s="4"/>
      <c r="I71" s="4"/>
      <c r="J71" s="4"/>
      <c r="K71" s="4"/>
      <c r="L71" s="4"/>
      <c r="M71" s="4"/>
      <c r="N71" s="4"/>
      <c r="O71" s="4"/>
      <c r="P71" s="4"/>
      <c r="Q71" s="4"/>
      <c r="R71" s="4"/>
      <c r="S71" s="4"/>
      <c r="T71" s="4"/>
      <c r="U71" s="65"/>
      <c r="V71" s="65"/>
      <c r="W71" s="65"/>
    </row>
    <row r="72" spans="2:23" x14ac:dyDescent="0.4">
      <c r="C72" s="2" t="s">
        <v>243</v>
      </c>
      <c r="F72" s="65" t="e">
        <f>IF(ISNUMBER(F74),NA(),IF(ISNUMBER(Assessment!E19),Assessment!E19-Assessment!D19,NA()))</f>
        <v>#N/A</v>
      </c>
      <c r="G72" s="65" t="e">
        <f>IF(ISNUMBER(G74),NA(),IF(ISNUMBER(Assessment!F19),Assessment!F19-Assessment!E19,NA()))</f>
        <v>#N/A</v>
      </c>
      <c r="H72" s="65">
        <f>IF(ISNUMBER(H74),NA(),IF(ISNUMBER(Assessment!G19),Assessment!G19-Assessment!F19,NA()))</f>
        <v>-1.8435300000000001</v>
      </c>
      <c r="I72" s="65" t="e">
        <f>IF(ISNUMBER(I74),NA(),IF(ISNUMBER(Assessment!H19),Assessment!H19-Assessment!G19,NA()))</f>
        <v>#N/A</v>
      </c>
      <c r="J72" s="65" t="e">
        <f>IF(ISNUMBER(J74),NA(),IF(ISNUMBER(Assessment!I19),Assessment!I19-Assessment!H19,NA()))</f>
        <v>#N/A</v>
      </c>
      <c r="K72" s="65" t="e">
        <f>IF(ISNUMBER(K74),NA(),IF(ISNUMBER(Assessment!J19),Assessment!J19-Assessment!I19,NA()))</f>
        <v>#N/A</v>
      </c>
      <c r="L72" s="65" t="e">
        <f>IF(ISNUMBER(L74),NA(),IF(ISNUMBER(Assessment!K19),Assessment!K19-Assessment!J19,NA()))</f>
        <v>#N/A</v>
      </c>
      <c r="M72" s="65" t="e">
        <f>IF(ISNUMBER(M74),NA(),IF(ISNUMBER(Assessment!L19),Assessment!L19-Assessment!K19,NA()))</f>
        <v>#N/A</v>
      </c>
      <c r="N72" s="65" t="e">
        <f>IF(ISNUMBER(N74),NA(),IF(ISNUMBER(Assessment!M19),Assessment!M19-Assessment!L19,NA()))</f>
        <v>#N/A</v>
      </c>
      <c r="O72" s="65" t="e">
        <f>IF(ISNUMBER(O74),NA(),IF(ISNUMBER(Assessment!N19),Assessment!N19-Assessment!M19,NA()))</f>
        <v>#N/A</v>
      </c>
      <c r="P72" s="65" t="e">
        <f>IF(ISNUMBER(P74),NA(),IF(ISNUMBER(Assessment!O19),Assessment!O19-Assessment!N19,NA()))</f>
        <v>#N/A</v>
      </c>
      <c r="Q72" s="65" t="e">
        <f>IF(ISNUMBER(Q74),NA(),IF(ISNUMBER(Assessment!P19),Assessment!P19-Assessment!O19,NA()))</f>
        <v>#N/A</v>
      </c>
      <c r="R72" s="65" t="e">
        <f>IF(ISNUMBER(R74),NA(),IF(ISNUMBER(Assessment!Q19),Assessment!Q19-Assessment!P19,NA()))</f>
        <v>#N/A</v>
      </c>
      <c r="S72" s="65" t="e">
        <f>IF(ISNUMBER(S74),NA(),IF(ISNUMBER(Assessment!R19),Assessment!R19-Assessment!Q19,NA()))</f>
        <v>#N/A</v>
      </c>
      <c r="T72" s="65" t="e">
        <f>IF(ISNUMBER(T74),NA(),IF(ISNUMBER(Assessment!S19),Assessment!S19-Assessment!R19,NA()))</f>
        <v>#N/A</v>
      </c>
      <c r="U72" s="65" t="e">
        <f>IF(ISNUMBER(U74),NA(),IF(ISNUMBER(Assessment!T19),Assessment!T19-Assessment!S19,NA()))</f>
        <v>#N/A</v>
      </c>
      <c r="V72" s="65" t="e">
        <f>IF(ISNUMBER(V74),NA(),IF(ISNUMBER(Assessment!U19),Assessment!U19-Assessment!T19,NA()))</f>
        <v>#N/A</v>
      </c>
      <c r="W72" s="65" t="e">
        <f>IF(ISNUMBER(W74),NA(),IF(ISNUMBER(Assessment!V19),Assessment!V19-Assessment!U19,NA()))</f>
        <v>#N/A</v>
      </c>
    </row>
    <row r="73" spans="2:23" x14ac:dyDescent="0.4">
      <c r="C73" s="2" t="s">
        <v>297</v>
      </c>
      <c r="F73" s="4"/>
      <c r="G73" s="4"/>
      <c r="H73" s="4"/>
      <c r="I73" s="4"/>
      <c r="J73" s="4"/>
      <c r="K73" s="4"/>
      <c r="L73" s="4"/>
      <c r="M73" s="4"/>
      <c r="N73" s="4"/>
      <c r="O73" s="4"/>
      <c r="P73" s="4"/>
      <c r="Q73" s="4"/>
      <c r="R73" s="4"/>
      <c r="S73" s="4"/>
      <c r="T73" s="4"/>
      <c r="U73" s="65"/>
      <c r="V73" s="65"/>
      <c r="W73" s="65"/>
    </row>
    <row r="74" spans="2:23" ht="13.5" customHeight="1" x14ac:dyDescent="0.4">
      <c r="C74" s="2" t="s">
        <v>520</v>
      </c>
      <c r="E74" s="107"/>
      <c r="F74" s="107"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2.2746199999999996</v>
      </c>
      <c r="G74" s="107"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-0.1768799999999997</v>
      </c>
      <c r="H74" s="107"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07"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07"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07"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07"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07"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07"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07"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07"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07"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07"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07"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07"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07"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07"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07"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11" t="s">
        <v>573</v>
      </c>
      <c r="D75" s="4">
        <f>IF(_xlfn.AGGREGATE(5,6,F70:W74)&lt;0, _xlfn.AGGREGATE(5,6,F70:W74), 0)</f>
        <v>-1.8435300000000001</v>
      </c>
      <c r="F75" s="65"/>
      <c r="G75" s="65"/>
      <c r="H75" s="65"/>
      <c r="I75" s="65"/>
      <c r="J75" s="65"/>
      <c r="K75" s="65"/>
      <c r="L75" s="65"/>
      <c r="M75" s="65"/>
      <c r="N75" s="65"/>
      <c r="O75" s="65"/>
      <c r="P75" s="65"/>
      <c r="Q75" s="65"/>
      <c r="R75" s="65"/>
      <c r="S75" s="65"/>
      <c r="T75" s="65"/>
      <c r="U75" s="65"/>
      <c r="V75" s="65"/>
      <c r="W75" s="65"/>
    </row>
    <row r="76" spans="2:23" x14ac:dyDescent="0.4">
      <c r="C76" s="111" t="s">
        <v>574</v>
      </c>
      <c r="D76" s="4">
        <f>_xlfn.AGGREGATE(4,6,F70:W74)</f>
        <v>2.2746199999999996</v>
      </c>
    </row>
    <row r="77" spans="2:23" ht="13.5" customHeight="1" x14ac:dyDescent="0.4">
      <c r="C77" s="2"/>
      <c r="F77" s="4"/>
      <c r="G77" s="4"/>
      <c r="H77" s="4"/>
      <c r="I77" s="4"/>
      <c r="J77" s="4"/>
      <c r="K77" s="4"/>
      <c r="L77" s="4"/>
      <c r="M77" s="4"/>
      <c r="N77" s="4"/>
      <c r="O77" s="4"/>
      <c r="P77" s="4"/>
      <c r="Q77" s="4"/>
      <c r="R77" s="4"/>
      <c r="S77" s="4"/>
      <c r="T77" s="4"/>
    </row>
    <row r="78" spans="2:23" ht="16.5" x14ac:dyDescent="0.6">
      <c r="B78" s="137" t="s">
        <v>582</v>
      </c>
      <c r="C78" s="12"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244</v>
      </c>
      <c r="F79" s="65">
        <f>Assessment!E50</f>
        <v>-1</v>
      </c>
      <c r="G79" s="65">
        <f>Assessment!F50</f>
        <v>-0.6</v>
      </c>
      <c r="H79" s="65">
        <f>Assessment!G50</f>
        <v>-0.8</v>
      </c>
      <c r="I79" s="65">
        <f>Assessment!H50</f>
        <v>-1.1000000000000001</v>
      </c>
      <c r="J79" s="65">
        <f>Assessment!I50</f>
        <v>-1.2</v>
      </c>
      <c r="K79" s="65">
        <f>Assessment!J50</f>
        <v>-1.4</v>
      </c>
      <c r="L79" s="65">
        <f>Assessment!K50</f>
        <v>-1.5</v>
      </c>
      <c r="M79" s="65">
        <f>Assessment!L50</f>
        <v>-1.6</v>
      </c>
      <c r="N79" s="65">
        <f>Assessment!M50</f>
        <v>-1.7</v>
      </c>
      <c r="O79" s="65">
        <f>Assessment!N50</f>
        <v>-1.9</v>
      </c>
      <c r="P79" s="65">
        <f>Assessment!O50</f>
        <v>-2.2000000000000002</v>
      </c>
      <c r="Q79" s="65">
        <f>Assessment!P50</f>
        <v>-2.4</v>
      </c>
      <c r="R79" s="65">
        <f>Assessment!Q50</f>
        <v>-2.2000000000000002</v>
      </c>
      <c r="S79" s="65">
        <f>Assessment!R50</f>
        <v>-2.4</v>
      </c>
      <c r="T79" s="65">
        <f>Assessment!S50</f>
        <v>-2.5</v>
      </c>
      <c r="U79" s="65" t="str">
        <f>Assessment!T50</f>
        <v/>
      </c>
      <c r="V79" s="65" t="str">
        <f>Assessment!U50</f>
        <v/>
      </c>
      <c r="W79" s="65" t="str">
        <f>Assessment!V50</f>
        <v/>
      </c>
    </row>
    <row r="80" spans="2:23" x14ac:dyDescent="0.4">
      <c r="C80" s="2" t="s">
        <v>243</v>
      </c>
      <c r="F80" s="65" t="e">
        <f>IF(OR(ISNUMBER(F81),ISNUMBER(F82)),NA(),IF(ISNUMBER(Assessment!E17),Assessment!E17,NA()))</f>
        <v>#N/A</v>
      </c>
      <c r="G80" s="65" t="e">
        <f>IF(OR(ISNUMBER(G81),ISNUMBER(G82)),NA(),IF(ISNUMBER(Assessment!F17),Assessment!F17,NA()))</f>
        <v>#N/A</v>
      </c>
      <c r="H80" s="65">
        <f>IF(OR(ISNUMBER(H81),ISNUMBER(H82)),NA(),IF(ISNUMBER(Assessment!G17),Assessment!G17,NA()))</f>
        <v>0.2</v>
      </c>
      <c r="I80" s="65" t="e">
        <f>IF(OR(ISNUMBER(I81),ISNUMBER(I82)),NA(),IF(ISNUMBER(Assessment!H17),Assessment!H17,NA()))</f>
        <v>#N/A</v>
      </c>
      <c r="J80" s="65" t="e">
        <f>IF(OR(ISNUMBER(J81),ISNUMBER(J82)),NA(),IF(ISNUMBER(Assessment!I17),Assessment!I17,NA()))</f>
        <v>#N/A</v>
      </c>
      <c r="K80" s="65" t="e">
        <f>IF(OR(ISNUMBER(K81),ISNUMBER(K82)),NA(),IF(ISNUMBER(Assessment!J17),Assessment!J17,NA()))</f>
        <v>#N/A</v>
      </c>
      <c r="L80" s="65" t="e">
        <f>IF(OR(ISNUMBER(L81),ISNUMBER(L82)),NA(),IF(ISNUMBER(Assessment!K17),Assessment!K17,NA()))</f>
        <v>#N/A</v>
      </c>
      <c r="M80" s="65" t="e">
        <f>IF(OR(ISNUMBER(M81),ISNUMBER(M82)),NA(),IF(ISNUMBER(Assessment!L17),Assessment!L17,NA()))</f>
        <v>#N/A</v>
      </c>
      <c r="N80" s="65" t="e">
        <f>IF(OR(ISNUMBER(N81),ISNUMBER(N82)),NA(),IF(ISNUMBER(Assessment!M17),Assessment!M17,NA()))</f>
        <v>#N/A</v>
      </c>
      <c r="O80" s="65" t="e">
        <f>IF(OR(ISNUMBER(O81),ISNUMBER(O82)),NA(),IF(ISNUMBER(Assessment!N17),Assessment!N17,NA()))</f>
        <v>#N/A</v>
      </c>
      <c r="P80" s="65" t="e">
        <f>IF(OR(ISNUMBER(P81),ISNUMBER(P82)),NA(),IF(ISNUMBER(Assessment!O17),Assessment!O17,NA()))</f>
        <v>#N/A</v>
      </c>
      <c r="Q80" s="65" t="e">
        <f>IF(OR(ISNUMBER(Q81),ISNUMBER(Q82)),NA(),IF(ISNUMBER(Assessment!P17),Assessment!P17,NA()))</f>
        <v>#N/A</v>
      </c>
      <c r="R80" s="65" t="e">
        <f>IF(OR(ISNUMBER(R81),ISNUMBER(R82)),NA(),IF(ISNUMBER(Assessment!Q17),Assessment!Q17,NA()))</f>
        <v>#N/A</v>
      </c>
      <c r="S80" s="65" t="e">
        <f>IF(OR(ISNUMBER(S81),ISNUMBER(S82)),NA(),IF(ISNUMBER(Assessment!R17),Assessment!R17,NA()))</f>
        <v>#N/A</v>
      </c>
      <c r="T80" s="65" t="e">
        <f>IF(OR(ISNUMBER(T81),ISNUMBER(T82)),NA(),IF(ISNUMBER(Assessment!S17),Assessment!S17,NA()))</f>
        <v>#N/A</v>
      </c>
      <c r="U80" s="65" t="e">
        <f>IF(OR(ISNUMBER(U81),ISNUMBER(U82)),NA(),IF(ISNUMBER(Assessment!T17),Assessment!T17,NA()))</f>
        <v>#N/A</v>
      </c>
      <c r="V80" s="65" t="e">
        <f>IF(OR(ISNUMBER(V81),ISNUMBER(V82)),NA(),IF(ISNUMBER(Assessment!U17),Assessment!U17,NA()))</f>
        <v>#N/A</v>
      </c>
      <c r="W80" s="65" t="e">
        <f>IF(OR(ISNUMBER(W81),ISNUMBER(W82)),NA(),IF(ISNUMBER(Assessment!V17),Assessment!V17,NA()))</f>
        <v>#N/A</v>
      </c>
    </row>
    <row r="81" spans="2:23" x14ac:dyDescent="0.4">
      <c r="C81" s="2" t="s">
        <v>298</v>
      </c>
      <c r="F81" s="107"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1.3470701540957015</v>
      </c>
      <c r="G81" s="107"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1.7273751105781794</v>
      </c>
      <c r="H81" s="107"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07"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07"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07"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07"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07"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07"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07"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07"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07"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07"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07"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07"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07"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07"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07"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299</v>
      </c>
      <c r="F82" s="107"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24"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24"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24"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24"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24"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24"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24"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24"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24"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24"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24"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24"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24"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24"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24"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24"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24"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246</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300</v>
      </c>
      <c r="F84" s="65">
        <f t="shared" ref="F84:T84" si="6">IF(F79&lt;&gt;"",-F79,NA())</f>
        <v>1</v>
      </c>
      <c r="G84" s="65">
        <f t="shared" si="6"/>
        <v>0.6</v>
      </c>
      <c r="H84" s="65">
        <f t="shared" si="6"/>
        <v>0.8</v>
      </c>
      <c r="I84" s="65">
        <f t="shared" si="6"/>
        <v>1.1000000000000001</v>
      </c>
      <c r="J84" s="65">
        <f t="shared" si="6"/>
        <v>1.2</v>
      </c>
      <c r="K84" s="65">
        <f t="shared" si="6"/>
        <v>1.4</v>
      </c>
      <c r="L84" s="65">
        <f t="shared" si="6"/>
        <v>1.5</v>
      </c>
      <c r="M84" s="65">
        <f t="shared" si="6"/>
        <v>1.6</v>
      </c>
      <c r="N84" s="65">
        <f t="shared" si="6"/>
        <v>1.7</v>
      </c>
      <c r="O84" s="65">
        <f t="shared" si="6"/>
        <v>1.9</v>
      </c>
      <c r="P84" s="65">
        <f t="shared" si="6"/>
        <v>2.2000000000000002</v>
      </c>
      <c r="Q84" s="65">
        <f t="shared" si="6"/>
        <v>2.4</v>
      </c>
      <c r="R84" s="65">
        <f t="shared" si="6"/>
        <v>2.2000000000000002</v>
      </c>
      <c r="S84" s="65">
        <f t="shared" si="6"/>
        <v>2.4</v>
      </c>
      <c r="T84" s="65">
        <f t="shared" si="6"/>
        <v>2.5</v>
      </c>
      <c r="U84" s="65" t="e">
        <f t="shared" ref="U84:W84" si="7">IF(U79&lt;&gt;"",-U79,NA())</f>
        <v>#N/A</v>
      </c>
      <c r="V84" s="65" t="e">
        <f t="shared" si="7"/>
        <v>#N/A</v>
      </c>
      <c r="W84" s="65" t="e">
        <f t="shared" si="7"/>
        <v>#N/A</v>
      </c>
    </row>
    <row r="85" spans="2:23" x14ac:dyDescent="0.4">
      <c r="C85" s="2" t="s">
        <v>301</v>
      </c>
      <c r="F85" s="65">
        <f t="shared" ref="F85:T85" si="8">IF(F81&lt;&gt;"",-F81,NA())</f>
        <v>-1.3470701540957015</v>
      </c>
      <c r="G85" s="65">
        <f t="shared" si="8"/>
        <v>-1.7273751105781794</v>
      </c>
      <c r="H85" s="65" t="e">
        <f t="shared" si="8"/>
        <v>#N/A</v>
      </c>
      <c r="I85" s="65" t="e">
        <f t="shared" si="8"/>
        <v>#N/A</v>
      </c>
      <c r="J85" s="65" t="e">
        <f t="shared" si="8"/>
        <v>#N/A</v>
      </c>
      <c r="K85" s="65" t="e">
        <f t="shared" si="8"/>
        <v>#N/A</v>
      </c>
      <c r="L85" s="65" t="e">
        <f t="shared" si="8"/>
        <v>#N/A</v>
      </c>
      <c r="M85" s="65" t="e">
        <f t="shared" si="8"/>
        <v>#N/A</v>
      </c>
      <c r="N85" s="65" t="e">
        <f t="shared" si="8"/>
        <v>#N/A</v>
      </c>
      <c r="O85" s="65" t="e">
        <f t="shared" si="8"/>
        <v>#N/A</v>
      </c>
      <c r="P85" s="65" t="e">
        <f t="shared" si="8"/>
        <v>#N/A</v>
      </c>
      <c r="Q85" s="65" t="e">
        <f t="shared" si="8"/>
        <v>#N/A</v>
      </c>
      <c r="R85" s="65" t="e">
        <f t="shared" si="8"/>
        <v>#N/A</v>
      </c>
      <c r="S85" s="65" t="e">
        <f t="shared" si="8"/>
        <v>#N/A</v>
      </c>
      <c r="T85" s="65" t="e">
        <f t="shared" si="8"/>
        <v>#N/A</v>
      </c>
      <c r="U85" s="65" t="e">
        <f t="shared" ref="U85:W85" si="9">IF(U81&lt;&gt;"",-U81,NA())</f>
        <v>#N/A</v>
      </c>
      <c r="V85" s="65" t="e">
        <f t="shared" si="9"/>
        <v>#N/A</v>
      </c>
      <c r="W85" s="65" t="e">
        <f t="shared" si="9"/>
        <v>#N/A</v>
      </c>
    </row>
    <row r="86" spans="2:23" x14ac:dyDescent="0.4">
      <c r="C86" s="2" t="s">
        <v>302</v>
      </c>
      <c r="F86" s="65" t="e">
        <f t="shared" ref="F86:T86" si="10">IF(F82&lt;&gt;"",-F82,NA())</f>
        <v>#N/A</v>
      </c>
      <c r="G86" s="65" t="e">
        <f t="shared" si="10"/>
        <v>#N/A</v>
      </c>
      <c r="H86" s="65" t="e">
        <f t="shared" si="10"/>
        <v>#N/A</v>
      </c>
      <c r="I86" s="65" t="e">
        <f t="shared" si="10"/>
        <v>#N/A</v>
      </c>
      <c r="J86" s="65" t="e">
        <f t="shared" si="10"/>
        <v>#N/A</v>
      </c>
      <c r="K86" s="65" t="e">
        <f t="shared" si="10"/>
        <v>#N/A</v>
      </c>
      <c r="L86" s="65" t="e">
        <f t="shared" si="10"/>
        <v>#N/A</v>
      </c>
      <c r="M86" s="65" t="e">
        <f t="shared" si="10"/>
        <v>#N/A</v>
      </c>
      <c r="N86" s="65" t="e">
        <f t="shared" si="10"/>
        <v>#N/A</v>
      </c>
      <c r="O86" s="65" t="e">
        <f t="shared" si="10"/>
        <v>#N/A</v>
      </c>
      <c r="P86" s="65" t="e">
        <f t="shared" si="10"/>
        <v>#N/A</v>
      </c>
      <c r="Q86" s="65" t="e">
        <f t="shared" si="10"/>
        <v>#N/A</v>
      </c>
      <c r="R86" s="65" t="e">
        <f t="shared" si="10"/>
        <v>#N/A</v>
      </c>
      <c r="S86" s="65" t="e">
        <f t="shared" si="10"/>
        <v>#N/A</v>
      </c>
      <c r="T86" s="65" t="e">
        <f t="shared" si="10"/>
        <v>#N/A</v>
      </c>
      <c r="U86" s="65" t="e">
        <f t="shared" ref="U86:W86" si="11">IF(U82&lt;&gt;"",-U82,NA())</f>
        <v>#N/A</v>
      </c>
      <c r="V86" s="65" t="e">
        <f t="shared" si="11"/>
        <v>#N/A</v>
      </c>
      <c r="W86" s="65" t="e">
        <f t="shared" si="11"/>
        <v>#N/A</v>
      </c>
    </row>
    <row r="87" spans="2:23" x14ac:dyDescent="0.4">
      <c r="C87" s="2"/>
    </row>
    <row r="88" spans="2:23" ht="16.5" x14ac:dyDescent="0.6">
      <c r="B88" s="111" t="s">
        <v>583</v>
      </c>
      <c r="C88" s="12"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245</v>
      </c>
      <c r="E89" s="65">
        <f>Assessment!D73</f>
        <v>161.9</v>
      </c>
      <c r="F89" s="65">
        <f>Assessment!E73</f>
        <v>153.9</v>
      </c>
      <c r="G89" s="65">
        <f>Assessment!F73</f>
        <v>149.69999999999999</v>
      </c>
      <c r="H89" s="65">
        <f>Assessment!G73</f>
        <v>145.1</v>
      </c>
      <c r="I89" s="65">
        <f>Assessment!H73</f>
        <v>140.80000000000001</v>
      </c>
      <c r="J89" s="65">
        <f>Assessment!I73</f>
        <v>136.6</v>
      </c>
      <c r="K89" s="65">
        <f>Assessment!J73</f>
        <v>132.4</v>
      </c>
      <c r="L89" s="65">
        <f>Assessment!K73</f>
        <v>128.4</v>
      </c>
      <c r="M89" s="65">
        <f>Assessment!L73</f>
        <v>124.7</v>
      </c>
      <c r="N89" s="65">
        <f>Assessment!M73</f>
        <v>121.2</v>
      </c>
      <c r="O89" s="65">
        <f>Assessment!N73</f>
        <v>119.1</v>
      </c>
      <c r="P89" s="65">
        <f>Assessment!O73</f>
        <v>117.4</v>
      </c>
      <c r="Q89" s="65">
        <f>Assessment!P73</f>
        <v>115.9</v>
      </c>
      <c r="R89" s="65">
        <f>Assessment!Q73</f>
        <v>114.3</v>
      </c>
      <c r="S89" s="65">
        <f>Assessment!R73</f>
        <v>112.9</v>
      </c>
      <c r="T89" s="65">
        <f>Assessment!S73</f>
        <v>111.5</v>
      </c>
      <c r="U89" s="65" t="str">
        <f>Assessment!T73</f>
        <v/>
      </c>
      <c r="V89" s="65" t="str">
        <f>Assessment!U73</f>
        <v/>
      </c>
      <c r="W89" s="65" t="str">
        <f>Assessment!V73</f>
        <v/>
      </c>
    </row>
    <row r="90" spans="2:23" x14ac:dyDescent="0.4">
      <c r="C90" s="2" t="s">
        <v>243</v>
      </c>
      <c r="E90" s="65">
        <f>IF(OR(ISNUMBER(E91),ISNUMBER(E92)),NA(),IF(ISNUMBER(Assessment!D20),Assessment!D20,NA()))</f>
        <v>164.27800194226435</v>
      </c>
      <c r="F90" s="65" t="e">
        <f>IF(OR(ISNUMBER(F91),ISNUMBER(F92)),NA(),IF(ISNUMBER(Assessment!E20),Assessment!E20,NA()))</f>
        <v>#N/A</v>
      </c>
      <c r="G90" s="65" t="e">
        <f>IF(OR(ISNUMBER(G91),ISNUMBER(G92)),NA(),IF(ISNUMBER(Assessment!F20),Assessment!F20,NA()))</f>
        <v>#N/A</v>
      </c>
      <c r="H90" s="65">
        <f>IF(OR(ISNUMBER(H91),ISNUMBER(H92)),NA(),IF(ISNUMBER(Assessment!G20),Assessment!G20,NA()))</f>
        <v>136.80000000000001</v>
      </c>
      <c r="I90" s="65" t="e">
        <f>IF(OR(ISNUMBER(I91),ISNUMBER(I92)),NA(),IF(ISNUMBER(Assessment!H20),Assessment!H20,NA()))</f>
        <v>#N/A</v>
      </c>
      <c r="J90" s="65" t="e">
        <f>IF(OR(ISNUMBER(J91),ISNUMBER(J92)),NA(),IF(ISNUMBER(Assessment!I20),Assessment!I20,NA()))</f>
        <v>#N/A</v>
      </c>
      <c r="K90" s="65" t="e">
        <f>IF(OR(ISNUMBER(K91),ISNUMBER(K92)),NA(),IF(ISNUMBER(Assessment!J20),Assessment!J20,NA()))</f>
        <v>#N/A</v>
      </c>
      <c r="L90" s="65" t="e">
        <f>IF(OR(ISNUMBER(L91),ISNUMBER(L92)),NA(),IF(ISNUMBER(Assessment!K20),Assessment!K20,NA()))</f>
        <v>#N/A</v>
      </c>
      <c r="M90" s="65" t="e">
        <f>IF(OR(ISNUMBER(M91),ISNUMBER(M92)),NA(),IF(ISNUMBER(Assessment!L20),Assessment!L20,NA()))</f>
        <v>#N/A</v>
      </c>
      <c r="N90" s="65" t="e">
        <f>IF(OR(ISNUMBER(N91),ISNUMBER(N92)),NA(),IF(ISNUMBER(Assessment!M20),Assessment!M20,NA()))</f>
        <v>#N/A</v>
      </c>
      <c r="O90" s="65" t="e">
        <f>IF(OR(ISNUMBER(O91),ISNUMBER(O92)),NA(),IF(ISNUMBER(Assessment!N20),Assessment!N20,NA()))</f>
        <v>#N/A</v>
      </c>
      <c r="P90" s="65" t="e">
        <f>IF(OR(ISNUMBER(P91),ISNUMBER(P92)),NA(),IF(ISNUMBER(Assessment!O20),Assessment!O20,NA()))</f>
        <v>#N/A</v>
      </c>
      <c r="Q90" s="65" t="e">
        <f>IF(OR(ISNUMBER(Q91),ISNUMBER(Q92)),NA(),IF(ISNUMBER(Assessment!P20),Assessment!P20,NA()))</f>
        <v>#N/A</v>
      </c>
      <c r="R90" s="65" t="e">
        <f>IF(OR(ISNUMBER(R91),ISNUMBER(R92)),NA(),IF(ISNUMBER(Assessment!Q20),Assessment!Q20,NA()))</f>
        <v>#N/A</v>
      </c>
      <c r="S90" s="65" t="e">
        <f>IF(OR(ISNUMBER(S91),ISNUMBER(S92)),NA(),IF(ISNUMBER(Assessment!R20),Assessment!R20,NA()))</f>
        <v>#N/A</v>
      </c>
      <c r="T90" s="65" t="e">
        <f>IF(OR(ISNUMBER(T91),ISNUMBER(T92)),NA(),IF(ISNUMBER(Assessment!S20),Assessment!S20,NA()))</f>
        <v>#N/A</v>
      </c>
      <c r="U90" s="65" t="e">
        <f>IF(OR(ISNUMBER(U91),ISNUMBER(U92)),NA(),IF(ISNUMBER(Assessment!T20),Assessment!T20,NA()))</f>
        <v>#N/A</v>
      </c>
      <c r="V90" s="65" t="e">
        <f>IF(OR(ISNUMBER(V91),ISNUMBER(V92)),NA(),IF(ISNUMBER(Assessment!U20),Assessment!U20,NA()))</f>
        <v>#N/A</v>
      </c>
      <c r="W90" s="65" t="e">
        <f>IF(OR(ISNUMBER(W91),ISNUMBER(W92)),NA(),IF(ISNUMBER(Assessment!V20),Assessment!V20,NA()))</f>
        <v>#N/A</v>
      </c>
    </row>
    <row r="91" spans="2:23" x14ac:dyDescent="0.4">
      <c r="C91" s="2" t="s">
        <v>298</v>
      </c>
      <c r="E91" s="3"/>
      <c r="F91" s="107" t="e"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#N/A</v>
      </c>
      <c r="G91" s="107" t="e"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#N/A</v>
      </c>
      <c r="H91" s="107"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07"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07"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07"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07"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07"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07"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07"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07"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07"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07"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07"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07"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07"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07"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07"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299</v>
      </c>
      <c r="E92" s="3"/>
      <c r="F92" s="107"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154.16497702081645</v>
      </c>
      <c r="G92" s="107"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146.13231049104562</v>
      </c>
      <c r="H92" s="107"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07"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07"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07"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07"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07"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07"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07"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07"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07"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07"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07"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07"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07"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07"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07"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247</v>
      </c>
      <c r="E93" s="3"/>
      <c r="F93" s="89">
        <f>Validation!$T$3</f>
        <v>60.05</v>
      </c>
      <c r="G93" s="89">
        <f>Validation!$T$3</f>
        <v>60.05</v>
      </c>
      <c r="H93" s="89">
        <f>Validation!$T$3</f>
        <v>60.05</v>
      </c>
      <c r="I93" s="89">
        <f>Validation!$T$3</f>
        <v>60.05</v>
      </c>
      <c r="J93" s="89">
        <f>Validation!$T$3</f>
        <v>60.05</v>
      </c>
      <c r="K93" s="89">
        <f>Validation!$T$3</f>
        <v>60.05</v>
      </c>
      <c r="L93" s="89">
        <f>Validation!$T$3</f>
        <v>60.05</v>
      </c>
      <c r="M93" s="89">
        <f>Validation!$T$3</f>
        <v>60.05</v>
      </c>
      <c r="N93" s="89">
        <f>Validation!$T$3</f>
        <v>60.05</v>
      </c>
      <c r="O93" s="89">
        <f>Validation!$T$3</f>
        <v>60.05</v>
      </c>
      <c r="P93" s="89">
        <f>Validation!$T$3</f>
        <v>60.05</v>
      </c>
      <c r="Q93" s="89">
        <f>Validation!$T$3</f>
        <v>60.05</v>
      </c>
      <c r="R93" s="89">
        <f>Validation!$T$3</f>
        <v>60.05</v>
      </c>
      <c r="S93" s="89">
        <f>Validation!$T$3</f>
        <v>60.05</v>
      </c>
      <c r="T93" s="89">
        <f>Validation!$T$3</f>
        <v>60.05</v>
      </c>
      <c r="U93" s="89">
        <f>Validation!$T$3</f>
        <v>60.05</v>
      </c>
      <c r="V93" s="89">
        <f>Validation!$T$3</f>
        <v>60.05</v>
      </c>
      <c r="W93" s="89">
        <f>Validation!$T$3</f>
        <v>60.05</v>
      </c>
    </row>
    <row r="94" spans="2:23" x14ac:dyDescent="0.4">
      <c r="C94" s="2"/>
    </row>
    <row r="95" spans="2:23" ht="16.5" x14ac:dyDescent="0.6">
      <c r="B95" s="111" t="s">
        <v>584</v>
      </c>
      <c r="C95" s="12" t="s">
        <v>292</v>
      </c>
    </row>
    <row r="96" spans="2:23" x14ac:dyDescent="0.4">
      <c r="C96" s="2" t="s">
        <v>387</v>
      </c>
      <c r="E96" s="6">
        <f>IF(ISNUMBER(Assessment!D53),Assessment!D53,NA())</f>
        <v>161.9</v>
      </c>
      <c r="F96" s="6">
        <f>IF(ISNUMBER(Assessment!E53),Assessment!E53,NA())</f>
        <v>153.69999999999999</v>
      </c>
      <c r="G96" s="6">
        <f>IF(ISNUMBER(Assessment!F53),Assessment!F53,NA())</f>
        <v>149.1</v>
      </c>
      <c r="H96" s="6">
        <f>IF(ISNUMBER(Assessment!G53),Assessment!G53,NA())</f>
        <v>143.1</v>
      </c>
      <c r="I96" s="6">
        <f>IF(ISNUMBER(Assessment!H53),Assessment!H53,NA())</f>
        <v>138</v>
      </c>
      <c r="J96" s="6">
        <f>IF(ISNUMBER(Assessment!I53),Assessment!I53,NA())</f>
        <v>133.4</v>
      </c>
      <c r="K96" s="6">
        <f>IF(ISNUMBER(Assessment!J53),Assessment!J53,NA())</f>
        <v>130.1</v>
      </c>
      <c r="L96" s="6">
        <f>IF(ISNUMBER(Assessment!K53),Assessment!K53,NA())</f>
        <v>127.1</v>
      </c>
      <c r="M96" s="6">
        <f>IF(ISNUMBER(Assessment!L53),Assessment!L53,NA())</f>
        <v>124.3</v>
      </c>
      <c r="N96" s="6">
        <f>IF(ISNUMBER(Assessment!M53),Assessment!M53,NA())</f>
        <v>121.7</v>
      </c>
      <c r="O96" s="6">
        <f>IF(ISNUMBER(Assessment!N53),Assessment!N53,NA())</f>
        <v>120.6</v>
      </c>
      <c r="P96" s="6">
        <f>IF(ISNUMBER(Assessment!O53),Assessment!O53,NA())</f>
        <v>119.6</v>
      </c>
      <c r="Q96" s="6">
        <f>IF(ISNUMBER(Assessment!P53),Assessment!P53,NA())</f>
        <v>118.4</v>
      </c>
      <c r="R96" s="6">
        <f>IF(ISNUMBER(Assessment!Q53),Assessment!Q53,NA())</f>
        <v>117.1</v>
      </c>
      <c r="S96" s="6">
        <f>IF(ISNUMBER(Assessment!R53),Assessment!R53,NA())</f>
        <v>115.9</v>
      </c>
      <c r="T96" s="6">
        <f>IF(ISNUMBER(Assessment!S53),Assessment!S53,NA())</f>
        <v>114.9</v>
      </c>
      <c r="U96" s="89" t="e">
        <f>IF(ISNUMBER(Assessment!T53),Assessment!T53,NA())</f>
        <v>#N/A</v>
      </c>
      <c r="V96" s="89" t="e">
        <f>IF(ISNUMBER(Assessment!U53),Assessment!U53,NA())</f>
        <v>#N/A</v>
      </c>
      <c r="W96" s="89" t="e">
        <f>IF(ISNUMBER(Assessment!V53),Assessment!V53,NA())</f>
        <v>#N/A</v>
      </c>
    </row>
    <row r="97" spans="3:23" x14ac:dyDescent="0.4">
      <c r="C97" s="2" t="s">
        <v>207</v>
      </c>
      <c r="E97" s="89" t="e">
        <f>IF(ISNUMBER(Assessment!D56),Assessment!D56,NA())</f>
        <v>#N/A</v>
      </c>
      <c r="F97" s="89" t="e">
        <f>IF(ISNUMBER(Assessment!E56),Assessment!E56,NA())</f>
        <v>#N/A</v>
      </c>
      <c r="G97" s="89" t="e">
        <f>IF(ISNUMBER(Assessment!F56),Assessment!F56,NA())</f>
        <v>#N/A</v>
      </c>
      <c r="H97" s="89" t="e">
        <f>IF(ISNUMBER(Assessment!G56),Assessment!G56,NA())</f>
        <v>#N/A</v>
      </c>
      <c r="I97" s="89" t="e">
        <f>IF(ISNUMBER(Assessment!H56),Assessment!H56,NA())</f>
        <v>#N/A</v>
      </c>
      <c r="J97" s="89" t="e">
        <f>IF(ISNUMBER(Assessment!I56),Assessment!I56,NA())</f>
        <v>#N/A</v>
      </c>
      <c r="K97" s="89" t="e">
        <f>IF(ISNUMBER(Assessment!J56),Assessment!J56,NA())</f>
        <v>#N/A</v>
      </c>
      <c r="L97" s="89" t="e">
        <f>IF(ISNUMBER(Assessment!K56),Assessment!K56,NA())</f>
        <v>#N/A</v>
      </c>
      <c r="M97" s="89" t="e">
        <f>IF(ISNUMBER(Assessment!L56),Assessment!L56,NA())</f>
        <v>#N/A</v>
      </c>
      <c r="N97" s="89" t="e">
        <f>IF(ISNUMBER(Assessment!M56),Assessment!M56,NA())</f>
        <v>#N/A</v>
      </c>
      <c r="O97" s="89" t="e">
        <f>IF(ISNUMBER(Assessment!N56),Assessment!N56,NA())</f>
        <v>#N/A</v>
      </c>
      <c r="P97" s="89" t="e">
        <f>IF(ISNUMBER(Assessment!O56),Assessment!O56,NA())</f>
        <v>#N/A</v>
      </c>
      <c r="Q97" s="89" t="e">
        <f>IF(ISNUMBER(Assessment!P56),Assessment!P56,NA())</f>
        <v>#N/A</v>
      </c>
      <c r="R97" s="89" t="e">
        <f>IF(ISNUMBER(Assessment!Q56),Assessment!Q56,NA())</f>
        <v>#N/A</v>
      </c>
      <c r="S97" s="89" t="e">
        <f>IF(ISNUMBER(Assessment!R56),Assessment!R56,NA())</f>
        <v>#N/A</v>
      </c>
      <c r="T97" s="89" t="e">
        <f>IF(ISNUMBER(Assessment!S56),Assessment!S56,NA())</f>
        <v>#N/A</v>
      </c>
      <c r="U97" s="89" t="e">
        <f>IF(ISNUMBER(Assessment!T56),Assessment!T56,NA())</f>
        <v>#N/A</v>
      </c>
      <c r="V97" s="89" t="e">
        <f>IF(ISNUMBER(Assessment!U56),Assessment!U56,NA())</f>
        <v>#N/A</v>
      </c>
      <c r="W97" s="89" t="e">
        <f>IF(ISNUMBER(Assessment!V56),Assessment!V56,NA())</f>
        <v>#N/A</v>
      </c>
    </row>
    <row r="98" spans="3:23" x14ac:dyDescent="0.4">
      <c r="C98" s="2" t="s">
        <v>208</v>
      </c>
      <c r="E98" s="89" t="e">
        <f>IF(ISNUMBER(Assessment!D57),Assessment!D57,NA())</f>
        <v>#N/A</v>
      </c>
      <c r="F98" s="89" t="e">
        <f>IF(ISNUMBER(Assessment!E57),Assessment!E57,NA())</f>
        <v>#N/A</v>
      </c>
      <c r="G98" s="89" t="e">
        <f>IF(ISNUMBER(Assessment!F57),Assessment!F57,NA())</f>
        <v>#N/A</v>
      </c>
      <c r="H98" s="89" t="e">
        <f>IF(ISNUMBER(Assessment!G57),Assessment!G57,NA())</f>
        <v>#N/A</v>
      </c>
      <c r="I98" s="89" t="e">
        <f>IF(ISNUMBER(Assessment!H57),Assessment!H57,NA())</f>
        <v>#N/A</v>
      </c>
      <c r="J98" s="89" t="e">
        <f>IF(ISNUMBER(Assessment!I57),Assessment!I57,NA())</f>
        <v>#N/A</v>
      </c>
      <c r="K98" s="89" t="e">
        <f>IF(ISNUMBER(Assessment!J57),Assessment!J57,NA())</f>
        <v>#N/A</v>
      </c>
      <c r="L98" s="89" t="e">
        <f>IF(ISNUMBER(Assessment!K57),Assessment!K57,NA())</f>
        <v>#N/A</v>
      </c>
      <c r="M98" s="89" t="e">
        <f>IF(ISNUMBER(Assessment!L57),Assessment!L57,NA())</f>
        <v>#N/A</v>
      </c>
      <c r="N98" s="89" t="e">
        <f>IF(ISNUMBER(Assessment!M57),Assessment!M57,NA())</f>
        <v>#N/A</v>
      </c>
      <c r="O98" s="89" t="e">
        <f>IF(ISNUMBER(Assessment!N57),Assessment!N57,NA())</f>
        <v>#N/A</v>
      </c>
      <c r="P98" s="89" t="e">
        <f>IF(ISNUMBER(Assessment!O57),Assessment!O57,NA())</f>
        <v>#N/A</v>
      </c>
      <c r="Q98" s="89" t="e">
        <f>IF(ISNUMBER(Assessment!P57),Assessment!P57,NA())</f>
        <v>#N/A</v>
      </c>
      <c r="R98" s="89" t="e">
        <f>IF(ISNUMBER(Assessment!Q57),Assessment!Q57,NA())</f>
        <v>#N/A</v>
      </c>
      <c r="S98" s="89" t="e">
        <f>IF(ISNUMBER(Assessment!R57),Assessment!R57,NA())</f>
        <v>#N/A</v>
      </c>
      <c r="T98" s="89" t="e">
        <f>IF(ISNUMBER(Assessment!S57),Assessment!S57,NA())</f>
        <v>#N/A</v>
      </c>
      <c r="U98" s="89" t="e">
        <f>IF(ISNUMBER(Assessment!T57),Assessment!T57,NA())</f>
        <v>#N/A</v>
      </c>
      <c r="V98" s="89" t="e">
        <f>IF(ISNUMBER(Assessment!U57),Assessment!U57,NA())</f>
        <v>#N/A</v>
      </c>
      <c r="W98" s="89" t="e">
        <f>IF(ISNUMBER(Assessment!V57),Assessment!V57,NA())</f>
        <v>#N/A</v>
      </c>
    </row>
    <row r="99" spans="3:23" x14ac:dyDescent="0.4">
      <c r="C99" s="2" t="s">
        <v>209</v>
      </c>
      <c r="E99" s="89" t="e">
        <f>IF(ISNUMBER(Assessment!D58),Assessment!D58,NA())</f>
        <v>#N/A</v>
      </c>
      <c r="F99" s="89" t="e">
        <f>IF(ISNUMBER(Assessment!E58),Assessment!E58,NA())</f>
        <v>#N/A</v>
      </c>
      <c r="G99" s="89" t="e">
        <f>IF(ISNUMBER(Assessment!F58),Assessment!F58,NA())</f>
        <v>#N/A</v>
      </c>
      <c r="H99" s="89" t="e">
        <f>IF(ISNUMBER(Assessment!G58),Assessment!G58,NA())</f>
        <v>#N/A</v>
      </c>
      <c r="I99" s="89" t="e">
        <f>IF(ISNUMBER(Assessment!H58),Assessment!H58,NA())</f>
        <v>#N/A</v>
      </c>
      <c r="J99" s="89" t="e">
        <f>IF(ISNUMBER(Assessment!I58),Assessment!I58,NA())</f>
        <v>#N/A</v>
      </c>
      <c r="K99" s="89" t="e">
        <f>IF(ISNUMBER(Assessment!J58),Assessment!J58,NA())</f>
        <v>#N/A</v>
      </c>
      <c r="L99" s="89" t="e">
        <f>IF(ISNUMBER(Assessment!K58),Assessment!K58,NA())</f>
        <v>#N/A</v>
      </c>
      <c r="M99" s="89" t="e">
        <f>IF(ISNUMBER(Assessment!L58),Assessment!L58,NA())</f>
        <v>#N/A</v>
      </c>
      <c r="N99" s="89" t="e">
        <f>IF(ISNUMBER(Assessment!M58),Assessment!M58,NA())</f>
        <v>#N/A</v>
      </c>
      <c r="O99" s="89" t="e">
        <f>IF(ISNUMBER(Assessment!N58),Assessment!N58,NA())</f>
        <v>#N/A</v>
      </c>
      <c r="P99" s="89" t="e">
        <f>IF(ISNUMBER(Assessment!O58),Assessment!O58,NA())</f>
        <v>#N/A</v>
      </c>
      <c r="Q99" s="89" t="e">
        <f>IF(ISNUMBER(Assessment!P58),Assessment!P58,NA())</f>
        <v>#N/A</v>
      </c>
      <c r="R99" s="89" t="e">
        <f>IF(ISNUMBER(Assessment!Q58),Assessment!Q58,NA())</f>
        <v>#N/A</v>
      </c>
      <c r="S99" s="89" t="e">
        <f>IF(ISNUMBER(Assessment!R58),Assessment!R58,NA())</f>
        <v>#N/A</v>
      </c>
      <c r="T99" s="89" t="e">
        <f>IF(ISNUMBER(Assessment!S58),Assessment!S58,NA())</f>
        <v>#N/A</v>
      </c>
      <c r="U99" s="89" t="e">
        <f>IF(ISNUMBER(Assessment!T58),Assessment!T58,NA())</f>
        <v>#N/A</v>
      </c>
      <c r="V99" s="89" t="e">
        <f>IF(ISNUMBER(Assessment!U58),Assessment!U58,NA())</f>
        <v>#N/A</v>
      </c>
      <c r="W99" s="89" t="e">
        <f>IF(ISNUMBER(Assessment!V58),Assessment!V58,NA())</f>
        <v>#N/A</v>
      </c>
    </row>
    <row r="100" spans="3:23" x14ac:dyDescent="0.4">
      <c r="C100" s="2" t="s">
        <v>210</v>
      </c>
      <c r="E100" s="6"/>
      <c r="F100" s="6"/>
      <c r="G100" s="6"/>
      <c r="H100" s="6"/>
      <c r="I100" s="6"/>
      <c r="J100" s="6"/>
      <c r="K100" s="6"/>
      <c r="L100" s="6"/>
      <c r="M100" s="6"/>
      <c r="N100" s="6"/>
      <c r="O100" s="6"/>
      <c r="P100" s="6"/>
      <c r="Q100" s="6"/>
      <c r="R100" s="6"/>
      <c r="S100" s="6"/>
      <c r="T100" s="6"/>
      <c r="U100" s="6"/>
      <c r="V100" s="6"/>
      <c r="W100" s="6"/>
    </row>
    <row r="101" spans="3:23" x14ac:dyDescent="0.4">
      <c r="C101" s="83" t="s">
        <v>317</v>
      </c>
      <c r="E101" s="89" t="e">
        <f>IF(ISNUMBER(Assessment!D80),Assessment!D80,NA())</f>
        <v>#N/A</v>
      </c>
      <c r="F101" s="89" t="e">
        <f>IF(ISNUMBER(Assessment!E80),Assessment!E80,NA())</f>
        <v>#N/A</v>
      </c>
      <c r="G101" s="89" t="e">
        <f>IF(ISNUMBER(Assessment!F80),Assessment!F80,NA())</f>
        <v>#N/A</v>
      </c>
      <c r="H101" s="89" t="e">
        <f>IF(ISNUMBER(Assessment!G80),Assessment!G80,NA())</f>
        <v>#N/A</v>
      </c>
      <c r="I101" s="89" t="e">
        <f>IF(ISNUMBER(Assessment!H80),Assessment!H80,NA())</f>
        <v>#N/A</v>
      </c>
      <c r="J101" s="89" t="e">
        <f>IF(ISNUMBER(Assessment!I80),Assessment!I80,NA())</f>
        <v>#N/A</v>
      </c>
      <c r="K101" s="89">
        <f>IF(ISNUMBER(Assessment!J80),Assessment!J80,NA())</f>
        <v>122.3</v>
      </c>
      <c r="L101" s="89">
        <f>IF(ISNUMBER(Assessment!K80),Assessment!K80,NA())</f>
        <v>114.3</v>
      </c>
      <c r="M101" s="89">
        <f>IF(ISNUMBER(Assessment!L80),Assessment!L80,NA())</f>
        <v>107.6</v>
      </c>
      <c r="N101" s="89">
        <f>IF(ISNUMBER(Assessment!M80),Assessment!M80,NA())</f>
        <v>101.6</v>
      </c>
      <c r="O101" s="89">
        <f>IF(ISNUMBER(Assessment!N80),Assessment!N80,NA())</f>
        <v>98.1</v>
      </c>
      <c r="P101" s="89" t="e">
        <f>IF(ISNUMBER(Assessment!O80),Assessment!O80,NA())</f>
        <v>#N/A</v>
      </c>
      <c r="Q101" s="89" t="e">
        <f>IF(ISNUMBER(Assessment!P80),Assessment!P80,NA())</f>
        <v>#N/A</v>
      </c>
      <c r="R101" s="89" t="e">
        <f>IF(ISNUMBER(Assessment!Q80),Assessment!Q80,NA())</f>
        <v>#N/A</v>
      </c>
      <c r="S101" s="89" t="e">
        <f>IF(ISNUMBER(Assessment!R80),Assessment!R80,NA())</f>
        <v>#N/A</v>
      </c>
      <c r="T101" s="89" t="e">
        <f>IF(ISNUMBER(Assessment!S80),Assessment!S80,NA())</f>
        <v>#N/A</v>
      </c>
      <c r="U101" s="89" t="e">
        <f>IF(ISNUMBER(Assessment!T80),Assessment!T80,NA())</f>
        <v>#N/A</v>
      </c>
      <c r="V101" s="89" t="e">
        <f>IF(ISNUMBER(Assessment!U80),Assessment!U80,NA())</f>
        <v>#N/A</v>
      </c>
      <c r="W101" s="89" t="e">
        <f>IF(ISNUMBER(Assessment!V80),Assessment!V80,NA())</f>
        <v>#N/A</v>
      </c>
    </row>
    <row r="102" spans="3:23" x14ac:dyDescent="0.4">
      <c r="C102" s="83" t="s">
        <v>318</v>
      </c>
      <c r="E102" s="89" t="e">
        <f>IF(ISNUMBER(Assessment!D81),Assessment!D81,NA())</f>
        <v>#N/A</v>
      </c>
      <c r="F102" s="89" t="e">
        <f>IF(ISNUMBER(Assessment!E81),Assessment!E81,NA())</f>
        <v>#N/A</v>
      </c>
      <c r="G102" s="89" t="e">
        <f>IF(ISNUMBER(Assessment!F81),Assessment!F81,NA())</f>
        <v>#N/A</v>
      </c>
      <c r="H102" s="89" t="e">
        <f>IF(ISNUMBER(Assessment!G81),Assessment!G81,NA())</f>
        <v>#N/A</v>
      </c>
      <c r="I102" s="89" t="e">
        <f>IF(ISNUMBER(Assessment!H81),Assessment!H81,NA())</f>
        <v>#N/A</v>
      </c>
      <c r="J102" s="89" t="e">
        <f>IF(ISNUMBER(Assessment!I81),Assessment!I81,NA())</f>
        <v>#N/A</v>
      </c>
      <c r="K102" s="89">
        <f>IF(ISNUMBER(Assessment!J81),Assessment!J81,NA())</f>
        <v>6.4</v>
      </c>
      <c r="L102" s="89">
        <f>IF(ISNUMBER(Assessment!K81),Assessment!K81,NA())</f>
        <v>8.9</v>
      </c>
      <c r="M102" s="89">
        <f>IF(ISNUMBER(Assessment!L81),Assessment!L81,NA())</f>
        <v>11</v>
      </c>
      <c r="N102" s="89">
        <f>IF(ISNUMBER(Assessment!M81),Assessment!M81,NA())</f>
        <v>12.5</v>
      </c>
      <c r="O102" s="89">
        <f>IF(ISNUMBER(Assessment!N81),Assessment!N81,NA())</f>
        <v>13.2</v>
      </c>
      <c r="P102" s="89" t="e">
        <f>IF(ISNUMBER(Assessment!O81),Assessment!O81,NA())</f>
        <v>#N/A</v>
      </c>
      <c r="Q102" s="89" t="e">
        <f>IF(ISNUMBER(Assessment!P81),Assessment!P81,NA())</f>
        <v>#N/A</v>
      </c>
      <c r="R102" s="89" t="e">
        <f>IF(ISNUMBER(Assessment!Q81),Assessment!Q81,NA())</f>
        <v>#N/A</v>
      </c>
      <c r="S102" s="89" t="e">
        <f>IF(ISNUMBER(Assessment!R81),Assessment!R81,NA())</f>
        <v>#N/A</v>
      </c>
      <c r="T102" s="89" t="e">
        <f>IF(ISNUMBER(Assessment!S81),Assessment!S81,NA())</f>
        <v>#N/A</v>
      </c>
      <c r="U102" s="89" t="e">
        <f>IF(ISNUMBER(Assessment!T81),Assessment!T81,NA())</f>
        <v>#N/A</v>
      </c>
      <c r="V102" s="89" t="e">
        <f>IF(ISNUMBER(Assessment!U81),Assessment!U81,NA())</f>
        <v>#N/A</v>
      </c>
      <c r="W102" s="89" t="e">
        <f>IF(ISNUMBER(Assessment!V81),Assessment!V81,NA())</f>
        <v>#N/A</v>
      </c>
    </row>
    <row r="103" spans="3:23" x14ac:dyDescent="0.4">
      <c r="C103" s="83" t="s">
        <v>319</v>
      </c>
      <c r="E103" s="89" t="e">
        <f>IF(ISNUMBER(Assessment!D82),Assessment!D82,NA())</f>
        <v>#N/A</v>
      </c>
      <c r="F103" s="89" t="e">
        <f>IF(ISNUMBER(Assessment!E82),Assessment!E82,NA())</f>
        <v>#N/A</v>
      </c>
      <c r="G103" s="89" t="e">
        <f>IF(ISNUMBER(Assessment!F82),Assessment!F82,NA())</f>
        <v>#N/A</v>
      </c>
      <c r="H103" s="89" t="e">
        <f>IF(ISNUMBER(Assessment!G82),Assessment!G82,NA())</f>
        <v>#N/A</v>
      </c>
      <c r="I103" s="89" t="e">
        <f>IF(ISNUMBER(Assessment!H82),Assessment!H82,NA())</f>
        <v>#N/A</v>
      </c>
      <c r="J103" s="89" t="e">
        <f>IF(ISNUMBER(Assessment!I82),Assessment!I82,NA())</f>
        <v>#N/A</v>
      </c>
      <c r="K103" s="89">
        <f>IF(ISNUMBER(Assessment!J82),Assessment!J82,NA())</f>
        <v>4.5999999999999996</v>
      </c>
      <c r="L103" s="89">
        <f>IF(ISNUMBER(Assessment!K82),Assessment!K82,NA())</f>
        <v>6.5</v>
      </c>
      <c r="M103" s="89">
        <f>IF(ISNUMBER(Assessment!L82),Assessment!L82,NA())</f>
        <v>7.6</v>
      </c>
      <c r="N103" s="89">
        <f>IF(ISNUMBER(Assessment!M82),Assessment!M82,NA())</f>
        <v>8.8000000000000007</v>
      </c>
      <c r="O103" s="89">
        <f>IF(ISNUMBER(Assessment!N82),Assessment!N82,NA())</f>
        <v>9.8000000000000007</v>
      </c>
      <c r="P103" s="89" t="e">
        <f>IF(ISNUMBER(Assessment!O82),Assessment!O82,NA())</f>
        <v>#N/A</v>
      </c>
      <c r="Q103" s="89" t="e">
        <f>IF(ISNUMBER(Assessment!P82),Assessment!P82,NA())</f>
        <v>#N/A</v>
      </c>
      <c r="R103" s="89" t="e">
        <f>IF(ISNUMBER(Assessment!Q82),Assessment!Q82,NA())</f>
        <v>#N/A</v>
      </c>
      <c r="S103" s="89" t="e">
        <f>IF(ISNUMBER(Assessment!R82),Assessment!R82,NA())</f>
        <v>#N/A</v>
      </c>
      <c r="T103" s="89" t="e">
        <f>IF(ISNUMBER(Assessment!S82),Assessment!S82,NA())</f>
        <v>#N/A</v>
      </c>
      <c r="U103" s="89" t="e">
        <f>IF(ISNUMBER(Assessment!T82),Assessment!T82,NA())</f>
        <v>#N/A</v>
      </c>
      <c r="V103" s="89" t="e">
        <f>IF(ISNUMBER(Assessment!U82),Assessment!U82,NA())</f>
        <v>#N/A</v>
      </c>
      <c r="W103" s="89" t="e">
        <f>IF(ISNUMBER(Assessment!V82),Assessment!V82,NA())</f>
        <v>#N/A</v>
      </c>
    </row>
    <row r="104" spans="3:23" x14ac:dyDescent="0.4">
      <c r="C104" s="83" t="s">
        <v>320</v>
      </c>
      <c r="E104" s="89" t="e">
        <f>IF(ISNUMBER(Assessment!D83),Assessment!D83,NA())</f>
        <v>#N/A</v>
      </c>
      <c r="F104" s="89" t="e">
        <f>IF(ISNUMBER(Assessment!E83),Assessment!E83,NA())</f>
        <v>#N/A</v>
      </c>
      <c r="G104" s="89" t="e">
        <f>IF(ISNUMBER(Assessment!F83),Assessment!F83,NA())</f>
        <v>#N/A</v>
      </c>
      <c r="H104" s="89" t="e">
        <f>IF(ISNUMBER(Assessment!G83),Assessment!G83,NA())</f>
        <v>#N/A</v>
      </c>
      <c r="I104" s="89" t="e">
        <f>IF(ISNUMBER(Assessment!H83),Assessment!H83,NA())</f>
        <v>#N/A</v>
      </c>
      <c r="J104" s="89" t="e">
        <f>IF(ISNUMBER(Assessment!I83),Assessment!I83,NA())</f>
        <v>#N/A</v>
      </c>
      <c r="K104" s="89">
        <f>IF(ISNUMBER(Assessment!J83),Assessment!J83,NA())</f>
        <v>4.8</v>
      </c>
      <c r="L104" s="89">
        <f>IF(ISNUMBER(Assessment!K83),Assessment!K83,NA())</f>
        <v>6.4</v>
      </c>
      <c r="M104" s="89">
        <f>IF(ISNUMBER(Assessment!L83),Assessment!L83,NA())</f>
        <v>8.1</v>
      </c>
      <c r="N104" s="89">
        <f>IF(ISNUMBER(Assessment!M83),Assessment!M83,NA())</f>
        <v>10</v>
      </c>
      <c r="O104" s="89">
        <f>IF(ISNUMBER(Assessment!N83),Assessment!N83,NA())</f>
        <v>11.1</v>
      </c>
      <c r="P104" s="89" t="e">
        <f>IF(ISNUMBER(Assessment!O83),Assessment!O83,NA())</f>
        <v>#N/A</v>
      </c>
      <c r="Q104" s="89" t="e">
        <f>IF(ISNUMBER(Assessment!P83),Assessment!P83,NA())</f>
        <v>#N/A</v>
      </c>
      <c r="R104" s="89" t="e">
        <f>IF(ISNUMBER(Assessment!Q83),Assessment!Q83,NA())</f>
        <v>#N/A</v>
      </c>
      <c r="S104" s="89" t="e">
        <f>IF(ISNUMBER(Assessment!R83),Assessment!R83,NA())</f>
        <v>#N/A</v>
      </c>
      <c r="T104" s="89" t="e">
        <f>IF(ISNUMBER(Assessment!S83),Assessment!S83,NA())</f>
        <v>#N/A</v>
      </c>
      <c r="U104" s="89" t="e">
        <f>IF(ISNUMBER(Assessment!T83),Assessment!T83,NA())</f>
        <v>#N/A</v>
      </c>
      <c r="V104" s="89" t="e">
        <f>IF(ISNUMBER(Assessment!U83),Assessment!U83,NA())</f>
        <v>#N/A</v>
      </c>
      <c r="W104" s="89" t="e">
        <f>IF(ISNUMBER(Assessment!V83),Assessment!V83,NA())</f>
        <v>#N/A</v>
      </c>
    </row>
    <row r="105" spans="3:23" x14ac:dyDescent="0.4">
      <c r="C105" s="83" t="s">
        <v>321</v>
      </c>
      <c r="E105" s="89" t="e">
        <f>IF(ISNUMBER(Assessment!D84),Assessment!D84,NA())</f>
        <v>#N/A</v>
      </c>
      <c r="F105" s="89" t="e">
        <f>IF(ISNUMBER(Assessment!E84),Assessment!E84,NA())</f>
        <v>#N/A</v>
      </c>
      <c r="G105" s="89" t="e">
        <f>IF(ISNUMBER(Assessment!F84),Assessment!F84,NA())</f>
        <v>#N/A</v>
      </c>
      <c r="H105" s="89" t="e">
        <f>IF(ISNUMBER(Assessment!G84),Assessment!G84,NA())</f>
        <v>#N/A</v>
      </c>
      <c r="I105" s="89" t="e">
        <f>IF(ISNUMBER(Assessment!H84),Assessment!H84,NA())</f>
        <v>#N/A</v>
      </c>
      <c r="J105" s="89" t="e">
        <f>IF(ISNUMBER(Assessment!I84),Assessment!I84,NA())</f>
        <v>#N/A</v>
      </c>
      <c r="K105" s="89">
        <f>IF(ISNUMBER(Assessment!J84),Assessment!J84,NA())</f>
        <v>7.1</v>
      </c>
      <c r="L105" s="89">
        <f>IF(ISNUMBER(Assessment!K84),Assessment!K84,NA())</f>
        <v>10.3</v>
      </c>
      <c r="M105" s="89">
        <f>IF(ISNUMBER(Assessment!L84),Assessment!L84,NA())</f>
        <v>12.4</v>
      </c>
      <c r="N105" s="89">
        <f>IF(ISNUMBER(Assessment!M84),Assessment!M84,NA())</f>
        <v>14.2</v>
      </c>
      <c r="O105" s="89">
        <f>IF(ISNUMBER(Assessment!N84),Assessment!N84,NA())</f>
        <v>16</v>
      </c>
      <c r="P105" s="89" t="e">
        <f>IF(ISNUMBER(Assessment!O84),Assessment!O84,NA())</f>
        <v>#N/A</v>
      </c>
      <c r="Q105" s="89" t="e">
        <f>IF(ISNUMBER(Assessment!P84),Assessment!P84,NA())</f>
        <v>#N/A</v>
      </c>
      <c r="R105" s="89" t="e">
        <f>IF(ISNUMBER(Assessment!Q84),Assessment!Q84,NA())</f>
        <v>#N/A</v>
      </c>
      <c r="S105" s="89" t="e">
        <f>IF(ISNUMBER(Assessment!R84),Assessment!R84,NA())</f>
        <v>#N/A</v>
      </c>
      <c r="T105" s="89" t="e">
        <f>IF(ISNUMBER(Assessment!S84),Assessment!S84,NA())</f>
        <v>#N/A</v>
      </c>
      <c r="U105" s="89" t="e">
        <f>IF(ISNUMBER(Assessment!T84),Assessment!T84,NA())</f>
        <v>#N/A</v>
      </c>
      <c r="V105" s="89" t="e">
        <f>IF(ISNUMBER(Assessment!U84),Assessment!U84,NA())</f>
        <v>#N/A</v>
      </c>
      <c r="W105" s="89" t="e">
        <f>IF(ISNUMBER(Assessment!V84),Assessment!V84,NA())</f>
        <v>#N/A</v>
      </c>
    </row>
    <row r="106" spans="3:23" x14ac:dyDescent="0.4">
      <c r="C106" s="83" t="s">
        <v>317</v>
      </c>
      <c r="E106" s="89" t="e">
        <f>IF(ISNUMBER(Assessment!D85),Assessment!D85,NA())</f>
        <v>#N/A</v>
      </c>
      <c r="F106" s="89" t="e">
        <f>IF(ISNUMBER(Assessment!E85),Assessment!E85,NA())</f>
        <v>#N/A</v>
      </c>
      <c r="G106" s="89" t="e">
        <f>IF(ISNUMBER(Assessment!F85),Assessment!F85,NA())</f>
        <v>#N/A</v>
      </c>
      <c r="H106" s="89" t="e">
        <f>IF(ISNUMBER(Assessment!G85),Assessment!G85,NA())</f>
        <v>#N/A</v>
      </c>
      <c r="I106" s="89" t="e">
        <f>IF(ISNUMBER(Assessment!H85),Assessment!H85,NA())</f>
        <v>#N/A</v>
      </c>
      <c r="J106" s="89" t="e">
        <f>IF(ISNUMBER(Assessment!I85),Assessment!I85,NA())</f>
        <v>#N/A</v>
      </c>
      <c r="K106" s="89">
        <f>IF(ISNUMBER(Assessment!J85),Assessment!J85,NA())</f>
        <v>122.3</v>
      </c>
      <c r="L106" s="89">
        <f>IF(ISNUMBER(Assessment!K85),Assessment!K85,NA())</f>
        <v>114.3</v>
      </c>
      <c r="M106" s="89">
        <f>IF(ISNUMBER(Assessment!L85),Assessment!L85,NA())</f>
        <v>107.6</v>
      </c>
      <c r="N106" s="89">
        <f>IF(ISNUMBER(Assessment!M85),Assessment!M85,NA())</f>
        <v>101.6</v>
      </c>
      <c r="O106" s="89">
        <f>IF(ISNUMBER(Assessment!N85),Assessment!N85,NA())</f>
        <v>98.1</v>
      </c>
      <c r="P106" s="89" t="e">
        <f>IF(ISNUMBER(Assessment!O85),Assessment!O85,NA())</f>
        <v>#N/A</v>
      </c>
      <c r="Q106" s="89" t="e">
        <f>IF(ISNUMBER(Assessment!P85),Assessment!P85,NA())</f>
        <v>#N/A</v>
      </c>
      <c r="R106" s="89" t="e">
        <f>IF(ISNUMBER(Assessment!Q85),Assessment!Q85,NA())</f>
        <v>#N/A</v>
      </c>
      <c r="S106" s="89" t="e">
        <f>IF(ISNUMBER(Assessment!R85),Assessment!R85,NA())</f>
        <v>#N/A</v>
      </c>
      <c r="T106" s="89" t="e">
        <f>IF(ISNUMBER(Assessment!S85),Assessment!S85,NA())</f>
        <v>#N/A</v>
      </c>
      <c r="U106" s="89" t="e">
        <f>IF(ISNUMBER(Assessment!T85),Assessment!T85,NA())</f>
        <v>#N/A</v>
      </c>
      <c r="V106" s="89" t="e">
        <f>IF(ISNUMBER(Assessment!U85),Assessment!U85,NA())</f>
        <v>#N/A</v>
      </c>
      <c r="W106" s="89" t="e">
        <f>IF(ISNUMBER(Assessment!V85),Assessment!V85,NA())</f>
        <v>#N/A</v>
      </c>
    </row>
    <row r="107" spans="3:23" x14ac:dyDescent="0.4">
      <c r="C107" s="83" t="s">
        <v>322</v>
      </c>
      <c r="E107" s="89" t="e">
        <f>IF(ISNUMBER(Assessment!D86),Assessment!D86,NA())</f>
        <v>#N/A</v>
      </c>
      <c r="F107" s="89" t="e">
        <f>IF(ISNUMBER(Assessment!E86),Assessment!E86,NA())</f>
        <v>#N/A</v>
      </c>
      <c r="G107" s="89" t="e">
        <f>IF(ISNUMBER(Assessment!F86),Assessment!F86,NA())</f>
        <v>#N/A</v>
      </c>
      <c r="H107" s="89" t="e">
        <f>IF(ISNUMBER(Assessment!G86),Assessment!G86,NA())</f>
        <v>#N/A</v>
      </c>
      <c r="I107" s="89" t="e">
        <f>IF(ISNUMBER(Assessment!H86),Assessment!H86,NA())</f>
        <v>#N/A</v>
      </c>
      <c r="J107" s="89" t="e">
        <f>IF(ISNUMBER(Assessment!I86),Assessment!I86,NA())</f>
        <v>#N/A</v>
      </c>
      <c r="K107" s="89">
        <f>IF(ISNUMBER(Assessment!J86),Assessment!J86,NA())</f>
        <v>128.69999999999999</v>
      </c>
      <c r="L107" s="89">
        <f>IF(ISNUMBER(Assessment!K86),Assessment!K86,NA())</f>
        <v>123.1</v>
      </c>
      <c r="M107" s="89">
        <f>IF(ISNUMBER(Assessment!L86),Assessment!L86,NA())</f>
        <v>118.6</v>
      </c>
      <c r="N107" s="89">
        <f>IF(ISNUMBER(Assessment!M86),Assessment!M86,NA())</f>
        <v>114.1</v>
      </c>
      <c r="O107" s="89">
        <f>IF(ISNUMBER(Assessment!N86),Assessment!N86,NA())</f>
        <v>111.3</v>
      </c>
      <c r="P107" s="89" t="e">
        <f>IF(ISNUMBER(Assessment!O86),Assessment!O86,NA())</f>
        <v>#N/A</v>
      </c>
      <c r="Q107" s="89" t="e">
        <f>IF(ISNUMBER(Assessment!P86),Assessment!P86,NA())</f>
        <v>#N/A</v>
      </c>
      <c r="R107" s="89" t="e">
        <f>IF(ISNUMBER(Assessment!Q86),Assessment!Q86,NA())</f>
        <v>#N/A</v>
      </c>
      <c r="S107" s="89" t="e">
        <f>IF(ISNUMBER(Assessment!R86),Assessment!R86,NA())</f>
        <v>#N/A</v>
      </c>
      <c r="T107" s="89" t="e">
        <f>IF(ISNUMBER(Assessment!S86),Assessment!S86,NA())</f>
        <v>#N/A</v>
      </c>
      <c r="U107" s="89" t="e">
        <f>IF(ISNUMBER(Assessment!T86),Assessment!T86,NA())</f>
        <v>#N/A</v>
      </c>
      <c r="V107" s="89" t="e">
        <f>IF(ISNUMBER(Assessment!U86),Assessment!U86,NA())</f>
        <v>#N/A</v>
      </c>
      <c r="W107" s="89" t="e">
        <f>IF(ISNUMBER(Assessment!V86),Assessment!V86,NA())</f>
        <v>#N/A</v>
      </c>
    </row>
    <row r="108" spans="3:23" x14ac:dyDescent="0.4">
      <c r="C108" s="83" t="s">
        <v>323</v>
      </c>
      <c r="E108" s="89" t="e">
        <f>IF(ISNUMBER(Assessment!D87),Assessment!D87,NA())</f>
        <v>#N/A</v>
      </c>
      <c r="F108" s="89" t="e">
        <f>IF(ISNUMBER(Assessment!E87),Assessment!E87,NA())</f>
        <v>#N/A</v>
      </c>
      <c r="G108" s="89" t="e">
        <f>IF(ISNUMBER(Assessment!F87),Assessment!F87,NA())</f>
        <v>#N/A</v>
      </c>
      <c r="H108" s="89" t="e">
        <f>IF(ISNUMBER(Assessment!G87),Assessment!G87,NA())</f>
        <v>#N/A</v>
      </c>
      <c r="I108" s="89" t="e">
        <f>IF(ISNUMBER(Assessment!H87),Assessment!H87,NA())</f>
        <v>#N/A</v>
      </c>
      <c r="J108" s="89" t="e">
        <f>IF(ISNUMBER(Assessment!I87),Assessment!I87,NA())</f>
        <v>#N/A</v>
      </c>
      <c r="K108" s="89">
        <f>IF(ISNUMBER(Assessment!J87),Assessment!J87,NA())</f>
        <v>133.30000000000001</v>
      </c>
      <c r="L108" s="89">
        <f>IF(ISNUMBER(Assessment!K87),Assessment!K87,NA())</f>
        <v>129.6</v>
      </c>
      <c r="M108" s="89">
        <f>IF(ISNUMBER(Assessment!L87),Assessment!L87,NA())</f>
        <v>126.1</v>
      </c>
      <c r="N108" s="89">
        <f>IF(ISNUMBER(Assessment!M87),Assessment!M87,NA())</f>
        <v>122.9</v>
      </c>
      <c r="O108" s="89">
        <f>IF(ISNUMBER(Assessment!N87),Assessment!N87,NA())</f>
        <v>121.1</v>
      </c>
      <c r="P108" s="89" t="e">
        <f>IF(ISNUMBER(Assessment!O87),Assessment!O87,NA())</f>
        <v>#N/A</v>
      </c>
      <c r="Q108" s="89" t="e">
        <f>IF(ISNUMBER(Assessment!P87),Assessment!P87,NA())</f>
        <v>#N/A</v>
      </c>
      <c r="R108" s="89" t="e">
        <f>IF(ISNUMBER(Assessment!Q87),Assessment!Q87,NA())</f>
        <v>#N/A</v>
      </c>
      <c r="S108" s="89" t="e">
        <f>IF(ISNUMBER(Assessment!R87),Assessment!R87,NA())</f>
        <v>#N/A</v>
      </c>
      <c r="T108" s="89" t="e">
        <f>IF(ISNUMBER(Assessment!S87),Assessment!S87,NA())</f>
        <v>#N/A</v>
      </c>
      <c r="U108" s="89" t="e">
        <f>IF(ISNUMBER(Assessment!T87),Assessment!T87,NA())</f>
        <v>#N/A</v>
      </c>
      <c r="V108" s="89" t="e">
        <f>IF(ISNUMBER(Assessment!U87),Assessment!U87,NA())</f>
        <v>#N/A</v>
      </c>
      <c r="W108" s="89" t="e">
        <f>IF(ISNUMBER(Assessment!V87),Assessment!V87,NA())</f>
        <v>#N/A</v>
      </c>
    </row>
    <row r="109" spans="3:23" x14ac:dyDescent="0.4">
      <c r="C109" s="83" t="s">
        <v>324</v>
      </c>
      <c r="E109" s="89" t="e">
        <f>IF(ISNUMBER(Assessment!D88),Assessment!D88,NA())</f>
        <v>#N/A</v>
      </c>
      <c r="F109" s="89" t="e">
        <f>IF(ISNUMBER(Assessment!E88),Assessment!E88,NA())</f>
        <v>#N/A</v>
      </c>
      <c r="G109" s="89" t="e">
        <f>IF(ISNUMBER(Assessment!F88),Assessment!F88,NA())</f>
        <v>#N/A</v>
      </c>
      <c r="H109" s="89" t="e">
        <f>IF(ISNUMBER(Assessment!G88),Assessment!G88,NA())</f>
        <v>#N/A</v>
      </c>
      <c r="I109" s="89" t="e">
        <f>IF(ISNUMBER(Assessment!H88),Assessment!H88,NA())</f>
        <v>#N/A</v>
      </c>
      <c r="J109" s="89" t="e">
        <f>IF(ISNUMBER(Assessment!I88),Assessment!I88,NA())</f>
        <v>#N/A</v>
      </c>
      <c r="K109" s="89">
        <f>IF(ISNUMBER(Assessment!J88),Assessment!J88,NA())</f>
        <v>138.1</v>
      </c>
      <c r="L109" s="89">
        <f>IF(ISNUMBER(Assessment!K88),Assessment!K88,NA())</f>
        <v>136</v>
      </c>
      <c r="M109" s="89">
        <f>IF(ISNUMBER(Assessment!L88),Assessment!L88,NA())</f>
        <v>134.30000000000001</v>
      </c>
      <c r="N109" s="89">
        <f>IF(ISNUMBER(Assessment!M88),Assessment!M88,NA())</f>
        <v>132.9</v>
      </c>
      <c r="O109" s="89">
        <f>IF(ISNUMBER(Assessment!N88),Assessment!N88,NA())</f>
        <v>132.19999999999999</v>
      </c>
      <c r="P109" s="89" t="e">
        <f>IF(ISNUMBER(Assessment!O88),Assessment!O88,NA())</f>
        <v>#N/A</v>
      </c>
      <c r="Q109" s="89" t="e">
        <f>IF(ISNUMBER(Assessment!P88),Assessment!P88,NA())</f>
        <v>#N/A</v>
      </c>
      <c r="R109" s="89" t="e">
        <f>IF(ISNUMBER(Assessment!Q88),Assessment!Q88,NA())</f>
        <v>#N/A</v>
      </c>
      <c r="S109" s="89" t="e">
        <f>IF(ISNUMBER(Assessment!R88),Assessment!R88,NA())</f>
        <v>#N/A</v>
      </c>
      <c r="T109" s="89" t="e">
        <f>IF(ISNUMBER(Assessment!S88),Assessment!S88,NA())</f>
        <v>#N/A</v>
      </c>
      <c r="U109" s="89" t="e">
        <f>IF(ISNUMBER(Assessment!T88),Assessment!T88,NA())</f>
        <v>#N/A</v>
      </c>
      <c r="V109" s="89" t="e">
        <f>IF(ISNUMBER(Assessment!U88),Assessment!U88,NA())</f>
        <v>#N/A</v>
      </c>
      <c r="W109" s="89" t="e">
        <f>IF(ISNUMBER(Assessment!V88),Assessment!V88,NA())</f>
        <v>#N/A</v>
      </c>
    </row>
    <row r="110" spans="3:23" x14ac:dyDescent="0.4">
      <c r="C110" s="83" t="s">
        <v>325</v>
      </c>
      <c r="E110" s="89" t="e">
        <f>IF(ISNUMBER(Assessment!D89),Assessment!D89,NA())</f>
        <v>#N/A</v>
      </c>
      <c r="F110" s="89" t="e">
        <f>IF(ISNUMBER(Assessment!E89),Assessment!E89,NA())</f>
        <v>#N/A</v>
      </c>
      <c r="G110" s="89" t="e">
        <f>IF(ISNUMBER(Assessment!F89),Assessment!F89,NA())</f>
        <v>#N/A</v>
      </c>
      <c r="H110" s="89" t="e">
        <f>IF(ISNUMBER(Assessment!G89),Assessment!G89,NA())</f>
        <v>#N/A</v>
      </c>
      <c r="I110" s="89" t="e">
        <f>IF(ISNUMBER(Assessment!H89),Assessment!H89,NA())</f>
        <v>#N/A</v>
      </c>
      <c r="J110" s="89" t="e">
        <f>IF(ISNUMBER(Assessment!I89),Assessment!I89,NA())</f>
        <v>#N/A</v>
      </c>
      <c r="K110" s="89">
        <f>IF(ISNUMBER(Assessment!J89),Assessment!J89,NA())</f>
        <v>145.1</v>
      </c>
      <c r="L110" s="89">
        <f>IF(ISNUMBER(Assessment!K89),Assessment!K89,NA())</f>
        <v>146.30000000000001</v>
      </c>
      <c r="M110" s="89">
        <f>IF(ISNUMBER(Assessment!L89),Assessment!L89,NA())</f>
        <v>146.6</v>
      </c>
      <c r="N110" s="89">
        <f>IF(ISNUMBER(Assessment!M89),Assessment!M89,NA())</f>
        <v>147</v>
      </c>
      <c r="O110" s="89">
        <f>IF(ISNUMBER(Assessment!N89),Assessment!N89,NA())</f>
        <v>148.19999999999999</v>
      </c>
      <c r="P110" s="89" t="e">
        <f>IF(ISNUMBER(Assessment!O89),Assessment!O89,NA())</f>
        <v>#N/A</v>
      </c>
      <c r="Q110" s="89" t="e">
        <f>IF(ISNUMBER(Assessment!P89),Assessment!P89,NA())</f>
        <v>#N/A</v>
      </c>
      <c r="R110" s="89" t="e">
        <f>IF(ISNUMBER(Assessment!Q89),Assessment!Q89,NA())</f>
        <v>#N/A</v>
      </c>
      <c r="S110" s="89" t="e">
        <f>IF(ISNUMBER(Assessment!R89),Assessment!R89,NA())</f>
        <v>#N/A</v>
      </c>
      <c r="T110" s="89" t="e">
        <f>IF(ISNUMBER(Assessment!S89),Assessment!S89,NA())</f>
        <v>#N/A</v>
      </c>
      <c r="U110" s="89" t="e">
        <f>IF(ISNUMBER(Assessment!T89),Assessment!T89,NA())</f>
        <v>#N/A</v>
      </c>
      <c r="V110" s="89" t="e">
        <f>IF(ISNUMBER(Assessment!U89),Assessment!U89,NA())</f>
        <v>#N/A</v>
      </c>
      <c r="W110" s="89" t="e">
        <f>IF(ISNUMBER(Assessment!V89),Assessment!V89,NA())</f>
        <v>#N/A</v>
      </c>
    </row>
    <row r="111" spans="3:23" x14ac:dyDescent="0.4">
      <c r="C111" s="2" t="s">
        <v>293</v>
      </c>
      <c r="E111" s="89">
        <f>IF(Assessment!D20="",NA(),Assessment!D20)</f>
        <v>164.27800194226435</v>
      </c>
      <c r="F111" s="89">
        <f>IF(Assessment!E20="",NA(),Assessment!E20)</f>
        <v>154.16497702081645</v>
      </c>
      <c r="G111" s="89">
        <f>IF(Assessment!F20="",NA(),Assessment!F20)</f>
        <v>146.13231049104562</v>
      </c>
      <c r="H111" s="89">
        <f>IF(Assessment!G20="",NA(),Assessment!G20)</f>
        <v>136.80000000000001</v>
      </c>
      <c r="I111" s="89" t="e">
        <f>IF(Assessment!H20="",NA(),Assessment!H20)</f>
        <v>#N/A</v>
      </c>
      <c r="J111" s="89" t="e">
        <f>IF(Assessment!I20="",NA(),Assessment!I20)</f>
        <v>#N/A</v>
      </c>
      <c r="K111" s="89" t="e">
        <f>IF(Assessment!J20="",NA(),Assessment!J20)</f>
        <v>#N/A</v>
      </c>
      <c r="L111" s="89" t="e">
        <f>IF(Assessment!K20="",NA(),Assessment!K20)</f>
        <v>#N/A</v>
      </c>
      <c r="M111" s="89" t="e">
        <f>IF(Assessment!L20="",NA(),Assessment!L20)</f>
        <v>#N/A</v>
      </c>
      <c r="N111" s="89" t="e">
        <f>IF(Assessment!M20="",NA(),Assessment!M20)</f>
        <v>#N/A</v>
      </c>
      <c r="O111" s="89" t="e">
        <f>IF(Assessment!N20="",NA(),Assessment!N20)</f>
        <v>#N/A</v>
      </c>
      <c r="P111" s="89" t="e">
        <f>IF(Assessment!O20="",NA(),Assessment!O20)</f>
        <v>#N/A</v>
      </c>
      <c r="Q111" s="89" t="e">
        <f>IF(Assessment!P20="",NA(),Assessment!P20)</f>
        <v>#N/A</v>
      </c>
      <c r="R111" s="89" t="e">
        <f>IF(Assessment!Q20="",NA(),Assessment!Q20)</f>
        <v>#N/A</v>
      </c>
      <c r="S111" s="89" t="e">
        <f>IF(Assessment!R20="",NA(),Assessment!R20)</f>
        <v>#N/A</v>
      </c>
      <c r="T111" s="89" t="e">
        <f>IF(Assessment!S20="",NA(),Assessment!S20)</f>
        <v>#N/A</v>
      </c>
      <c r="U111" s="89" t="e">
        <f>IF(ISNUMBER(Assessment!T20),Assessment!T20,NA())</f>
        <v>#N/A</v>
      </c>
      <c r="V111" s="89" t="e">
        <f>IF(ISNUMBER(Assessment!U20),Assessment!U20,NA())</f>
        <v>#N/A</v>
      </c>
      <c r="W111" s="89" t="e">
        <f>IF(ISNUMBER(Assessment!V20),Assessment!V20,NA())</f>
        <v>#N/A</v>
      </c>
    </row>
    <row r="113" spans="2:23" ht="13.5" customHeight="1" x14ac:dyDescent="0.6">
      <c r="B113" s="111" t="s">
        <v>600</v>
      </c>
      <c r="C113" s="12" t="str">
        <f>"Performance of net expenditure compared to the "&amp;IF(Receives_reference_trajectory,"Commission's original reference trajectory with safeguards","Commission's technical information")</f>
        <v>Performance of net expenditure compared to the Commission's original reference trajectory with safeguards</v>
      </c>
    </row>
    <row r="114" spans="2:23" ht="13.5" customHeight="1" x14ac:dyDescent="0.4">
      <c r="C114" s="2" t="s">
        <v>388</v>
      </c>
      <c r="F114" s="65">
        <f>Assessment!E70</f>
        <v>1.8</v>
      </c>
      <c r="G114" s="65">
        <f>Assessment!F70</f>
        <v>3</v>
      </c>
      <c r="H114" s="65">
        <f>Assessment!G70</f>
        <v>3.2</v>
      </c>
      <c r="I114" s="65">
        <f>Assessment!H70</f>
        <v>3.1</v>
      </c>
      <c r="J114" s="65">
        <f>Assessment!I70</f>
        <v>3</v>
      </c>
      <c r="K114" s="65">
        <f>Assessment!J70</f>
        <v>3.3</v>
      </c>
      <c r="L114" s="65">
        <f>Assessment!K70</f>
        <v>3.3</v>
      </c>
      <c r="M114" s="65">
        <f>Assessment!L70</f>
        <v>3.3</v>
      </c>
      <c r="N114" s="65">
        <f>Assessment!M70</f>
        <v>3.2</v>
      </c>
      <c r="O114" s="65">
        <f>Assessment!N70</f>
        <v>3.2</v>
      </c>
      <c r="P114" s="65">
        <f>Assessment!O70</f>
        <v>3.2</v>
      </c>
      <c r="Q114" s="65">
        <f>Assessment!P70</f>
        <v>3.2</v>
      </c>
      <c r="R114" s="65">
        <f>Assessment!Q70</f>
        <v>3.2</v>
      </c>
      <c r="S114" s="65">
        <f>Assessment!R70</f>
        <v>3.3</v>
      </c>
      <c r="T114" s="65">
        <f>Assessment!S70</f>
        <v>3.3</v>
      </c>
      <c r="U114" s="65" t="str">
        <f>Assessment!T70</f>
        <v/>
      </c>
      <c r="V114" s="65" t="str">
        <f>Assessment!U70</f>
        <v/>
      </c>
      <c r="W114" s="65" t="str">
        <f>Assessment!V70</f>
        <v/>
      </c>
    </row>
    <row r="115" spans="2:23" ht="13.5" customHeight="1" x14ac:dyDescent="0.4">
      <c r="C115" s="2" t="s">
        <v>296</v>
      </c>
      <c r="F115" s="4"/>
      <c r="G115" s="4"/>
      <c r="H115" s="4"/>
      <c r="I115" s="4"/>
      <c r="J115" s="4"/>
      <c r="K115" s="4"/>
      <c r="L115" s="4"/>
      <c r="M115" s="4"/>
      <c r="N115" s="4"/>
      <c r="O115" s="4"/>
      <c r="P115" s="4"/>
      <c r="Q115" s="4"/>
      <c r="R115" s="4"/>
      <c r="S115" s="4"/>
      <c r="T115" s="4"/>
      <c r="U115" s="4"/>
      <c r="V115" s="4"/>
      <c r="W115" s="4"/>
    </row>
    <row r="116" spans="2:23" ht="13.5" customHeight="1" x14ac:dyDescent="0.4">
      <c r="C116" s="2" t="s">
        <v>243</v>
      </c>
      <c r="F116" s="65" t="e">
        <f>IF(OR(ISNUMBER(F128),ISNUMBER(F129)),NA(),IF(ISNUMBER(Assessment!E15),Assessment!E15,NA()))</f>
        <v>#N/A</v>
      </c>
      <c r="G116" s="65" t="e">
        <f>IF(OR(ISNUMBER(G128),ISNUMBER(G129)),NA(),IF(ISNUMBER(Assessment!F15),Assessment!F15,NA()))</f>
        <v>#N/A</v>
      </c>
      <c r="H116" s="65">
        <f>IF(OR(ISNUMBER(H128),ISNUMBER(H129)),NA(),IF(ISNUMBER(Assessment!G15),Assessment!G15,NA()))</f>
        <v>7.5</v>
      </c>
      <c r="I116" s="65" t="e">
        <f>IF(OR(ISNUMBER(I128),ISNUMBER(I129)),NA(),IF(ISNUMBER(Assessment!H15),Assessment!H15,NA()))</f>
        <v>#N/A</v>
      </c>
      <c r="J116" s="65" t="e">
        <f>IF(OR(ISNUMBER(J128),ISNUMBER(J129)),NA(),IF(ISNUMBER(Assessment!I15),Assessment!I15,NA()))</f>
        <v>#N/A</v>
      </c>
      <c r="K116" s="65" t="e">
        <f>IF(OR(ISNUMBER(K128),ISNUMBER(K129)),NA(),IF(ISNUMBER(Assessment!J15),Assessment!J15,NA()))</f>
        <v>#N/A</v>
      </c>
      <c r="L116" s="65" t="e">
        <f>IF(OR(ISNUMBER(L128),ISNUMBER(L129)),NA(),IF(ISNUMBER(Assessment!K15),Assessment!K15,NA()))</f>
        <v>#N/A</v>
      </c>
      <c r="M116" s="65" t="e">
        <f>IF(OR(ISNUMBER(M128),ISNUMBER(M129)),NA(),IF(ISNUMBER(Assessment!L15),Assessment!L15,NA()))</f>
        <v>#N/A</v>
      </c>
      <c r="N116" s="65" t="e">
        <f>IF(OR(ISNUMBER(N128),ISNUMBER(N129)),NA(),IF(ISNUMBER(Assessment!M15),Assessment!M15,NA()))</f>
        <v>#N/A</v>
      </c>
      <c r="O116" s="65" t="e">
        <f>IF(OR(ISNUMBER(O128),ISNUMBER(O129)),NA(),IF(ISNUMBER(Assessment!N15),Assessment!N15,NA()))</f>
        <v>#N/A</v>
      </c>
      <c r="P116" s="65" t="e">
        <f>IF(OR(ISNUMBER(P128),ISNUMBER(P129)),NA(),IF(ISNUMBER(Assessment!O15),Assessment!O15,NA()))</f>
        <v>#N/A</v>
      </c>
      <c r="Q116" s="65" t="e">
        <f>IF(OR(ISNUMBER(Q128),ISNUMBER(Q129)),NA(),IF(ISNUMBER(Assessment!P15),Assessment!P15,NA()))</f>
        <v>#N/A</v>
      </c>
      <c r="R116" s="65" t="e">
        <f>IF(OR(ISNUMBER(R128),ISNUMBER(R129)),NA(),IF(ISNUMBER(Assessment!Q15),Assessment!Q15,NA()))</f>
        <v>#N/A</v>
      </c>
      <c r="S116" s="65" t="e">
        <f>IF(OR(ISNUMBER(S128),ISNUMBER(S129)),NA(),IF(ISNUMBER(Assessment!R15),Assessment!R15,NA()))</f>
        <v>#N/A</v>
      </c>
      <c r="T116" s="65" t="e">
        <f>IF(OR(ISNUMBER(T128),ISNUMBER(T129)),NA(),IF(ISNUMBER(Assessment!S15),Assessment!S15,NA()))</f>
        <v>#N/A</v>
      </c>
      <c r="U116" s="65" t="e">
        <f>IF(OR(ISNUMBER(U128),ISNUMBER(U129)),NA(),IF(ISNUMBER(Assessment!T15),Assessment!T15,NA()))</f>
        <v>#N/A</v>
      </c>
      <c r="V116" s="65" t="e">
        <f>IF(OR(ISNUMBER(V128),ISNUMBER(V129)),NA(),IF(ISNUMBER(Assessment!U15),Assessment!U15,NA()))</f>
        <v>#N/A</v>
      </c>
      <c r="W116" s="65" t="e">
        <f>IF(OR(ISNUMBER(W128),ISNUMBER(W129)),NA(),IF(ISNUMBER(Assessment!V15),Assessment!V15,NA()))</f>
        <v>#N/A</v>
      </c>
    </row>
    <row r="117" spans="2:23" ht="13.5" customHeight="1" x14ac:dyDescent="0.4">
      <c r="C117" s="2" t="s">
        <v>297</v>
      </c>
      <c r="F117" s="4"/>
      <c r="G117" s="4"/>
      <c r="H117" s="4"/>
      <c r="I117" s="4"/>
      <c r="J117" s="4"/>
      <c r="K117" s="4"/>
      <c r="L117" s="4"/>
      <c r="M117" s="4"/>
      <c r="N117" s="4"/>
      <c r="O117" s="4"/>
      <c r="P117" s="4"/>
      <c r="Q117" s="4"/>
      <c r="R117" s="4"/>
      <c r="S117" s="4"/>
      <c r="T117" s="4"/>
      <c r="U117" s="4"/>
      <c r="V117" s="4"/>
      <c r="W117" s="4"/>
    </row>
    <row r="118" spans="2:23" ht="13.5" customHeight="1" x14ac:dyDescent="0.4">
      <c r="C118" s="2" t="s">
        <v>298</v>
      </c>
      <c r="F118" s="107"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-0.12946679588512477</v>
      </c>
      <c r="G118" s="107"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2.8340876161799811</v>
      </c>
      <c r="H118" s="107"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07"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07"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07"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07"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07"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07"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07"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07"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07"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07"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07"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07"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07"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07"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07"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299</v>
      </c>
      <c r="F119" s="107" t="e" cm="1">
        <f t="array" ref="F119">IF(
  AND(
    INDEX($2:$2, COLUMN()) &gt;= MTP_BaseYear,
    INDEX($2:$2, COLUMN()) &lt;= OutturnThrough
  ),
  IFERROR(
    IF(
      F114 - INDEX(Assessment!$15:$15,
                   _xlfn.XMATCH(INDEX($2:$2, COLUMN()),
                          Assessment!$4:$4, 0)
            ) &lt; 0,
      INDEX(Assessment!$15:$15,
            _xlfn.XMATCH(INDEX($2:$2, COLUMN()),
                   Assessment!$4:$4, 0)
      ),
      NA()
    ),
    NA()
  ),
  NA()
)</f>
        <v>#N/A</v>
      </c>
      <c r="G119" s="107" t="e" cm="1">
        <f t="array" ref="G119">IF(
  AND(
    INDEX($2:$2, COLUMN()) &gt;= MTP_BaseYear,
    INDEX($2:$2, COLUMN()) &lt;= OutturnThrough
  ),
  IFERROR(
    IF(
      G114 - INDEX(Assessment!$15:$15,
                   _xlfn.XMATCH(INDEX($2:$2, COLUMN()),
                          Assessment!$4:$4, 0)
            ) &lt; 0,
      INDEX(Assessment!$15:$15,
            _xlfn.XMATCH(INDEX($2:$2, COLUMN()),
                   Assessment!$4:$4, 0)
      ),
      NA()
    ),
    NA()
  ),
  NA()
)</f>
        <v>#N/A</v>
      </c>
      <c r="H119" s="107" t="e" cm="1">
        <f t="array" ref="H119">IF(
  AND(
    INDEX($2:$2, COLUMN()) &gt;= MTP_BaseYear,
    INDEX($2:$2, COLUMN()) &lt;= OutturnThrough
  ),
  IFERROR(
    IF(
      H114 - INDEX(Assessment!$15:$15,
                   _xlfn.XMATCH(INDEX($2:$2, COLUMN()),
                          Assessment!$4:$4, 0)
            ) &lt; 0,
      INDEX(Assessment!$15:$15,
            _xlfn.XMATCH(INDEX($2:$2, COLUMN()),
                   Assessment!$4:$4, 0)
      ),
      NA()
    ),
    NA()
  ),
  NA()
)</f>
        <v>#N/A</v>
      </c>
      <c r="I119" s="107" t="e" cm="1">
        <f t="array" ref="I119">IF(
  AND(
    INDEX($2:$2, COLUMN()) &gt;= MTP_BaseYear,
    INDEX($2:$2, COLUMN()) &lt;= OutturnThrough
  ),
  IFERROR(
    IF(
      I114 - INDEX(Assessment!$15:$15,
                   _xlfn.XMATCH(INDEX($2:$2, COLUMN()),
                          Assessment!$4:$4, 0)
            ) &lt; 0,
      INDEX(Assessment!$15:$15,
            _xlfn.XMATCH(INDEX($2:$2, COLUMN()),
                   Assessment!$4:$4, 0)
      ),
      NA()
    ),
    NA()
  ),
  NA()
)</f>
        <v>#N/A</v>
      </c>
      <c r="J119" s="107" t="e" cm="1">
        <f t="array" ref="J119">IF(
  AND(
    INDEX($2:$2, COLUMN()) &gt;= MTP_BaseYear,
    INDEX($2:$2, COLUMN()) &lt;= OutturnThrough
  ),
  IFERROR(
    IF(
      J114 - INDEX(Assessment!$15:$15,
                   _xlfn.XMATCH(INDEX($2:$2, COLUMN()),
                          Assessment!$4:$4, 0)
            ) &lt; 0,
      INDEX(Assessment!$15:$15,
            _xlfn.XMATCH(INDEX($2:$2, COLUMN()),
                   Assessment!$4:$4, 0)
      ),
      NA()
    ),
    NA()
  ),
  NA()
)</f>
        <v>#N/A</v>
      </c>
      <c r="K119" s="107" t="e" cm="1">
        <f t="array" ref="K119">IF(
  AND(
    INDEX($2:$2, COLUMN()) &gt;= MTP_BaseYear,
    INDEX($2:$2, COLUMN()) &lt;= OutturnThrough
  ),
  IFERROR(
    IF(
      K114 - INDEX(Assessment!$15:$15,
                   _xlfn.XMATCH(INDEX($2:$2, COLUMN()),
                          Assessment!$4:$4, 0)
            ) &lt; 0,
      INDEX(Assessment!$15:$15,
            _xlfn.XMATCH(INDEX($2:$2, COLUMN()),
                   Assessment!$4:$4, 0)
      ),
      NA()
    ),
    NA()
  ),
  NA()
)</f>
        <v>#N/A</v>
      </c>
      <c r="L119" s="107" t="e" cm="1">
        <f t="array" ref="L119">IF(
  AND(
    INDEX($2:$2, COLUMN()) &gt;= MTP_BaseYear,
    INDEX($2:$2, COLUMN()) &lt;= OutturnThrough
  ),
  IFERROR(
    IF(
      L114 - INDEX(Assessment!$15:$15,
                   _xlfn.XMATCH(INDEX($2:$2, COLUMN()),
                          Assessment!$4:$4, 0)
            ) &lt; 0,
      INDEX(Assessment!$15:$15,
            _xlfn.XMATCH(INDEX($2:$2, COLUMN()),
                   Assessment!$4:$4, 0)
      ),
      NA()
    ),
    NA()
  ),
  NA()
)</f>
        <v>#N/A</v>
      </c>
      <c r="M119" s="107" t="e" cm="1">
        <f t="array" ref="M119">IF(
  AND(
    INDEX($2:$2, COLUMN()) &gt;= MTP_BaseYear,
    INDEX($2:$2, COLUMN()) &lt;= OutturnThrough
  ),
  IFERROR(
    IF(
      M114 - INDEX(Assessment!$15:$15,
                   _xlfn.XMATCH(INDEX($2:$2, COLUMN()),
                          Assessment!$4:$4, 0)
            ) &lt; 0,
      INDEX(Assessment!$15:$15,
            _xlfn.XMATCH(INDEX($2:$2, COLUMN()),
                   Assessment!$4:$4, 0)
      ),
      NA()
    ),
    NA()
  ),
  NA()
)</f>
        <v>#N/A</v>
      </c>
      <c r="N119" s="107" t="e" cm="1">
        <f t="array" ref="N119">IF(
  AND(
    INDEX($2:$2, COLUMN()) &gt;= MTP_BaseYear,
    INDEX($2:$2, COLUMN()) &lt;= OutturnThrough
  ),
  IFERROR(
    IF(
      N114 - INDEX(Assessment!$15:$15,
                   _xlfn.XMATCH(INDEX($2:$2, COLUMN()),
                          Assessment!$4:$4, 0)
            ) &lt; 0,
      INDEX(Assessment!$15:$15,
            _xlfn.XMATCH(INDEX($2:$2, COLUMN()),
                   Assessment!$4:$4, 0)
      ),
      NA()
    ),
    NA()
  ),
  NA()
)</f>
        <v>#N/A</v>
      </c>
      <c r="O119" s="107" t="e" cm="1">
        <f t="array" ref="O119">IF(
  AND(
    INDEX($2:$2, COLUMN()) &gt;= MTP_BaseYear,
    INDEX($2:$2, COLUMN()) &lt;= OutturnThrough
  ),
  IFERROR(
    IF(
      O114 - INDEX(Assessment!$15:$15,
                   _xlfn.XMATCH(INDEX($2:$2, COLUMN()),
                          Assessment!$4:$4, 0)
            ) &lt; 0,
      INDEX(Assessment!$15:$15,
            _xlfn.XMATCH(INDEX($2:$2, COLUMN()),
                   Assessment!$4:$4, 0)
      ),
      NA()
    ),
    NA()
  ),
  NA()
)</f>
        <v>#N/A</v>
      </c>
      <c r="P119" s="107" t="e" cm="1">
        <f t="array" ref="P119">IF(
  AND(
    INDEX($2:$2, COLUMN()) &gt;= MTP_BaseYear,
    INDEX($2:$2, COLUMN()) &lt;= OutturnThrough
  ),
  IFERROR(
    IF(
      P114 - INDEX(Assessment!$15:$15,
                   _xlfn.XMATCH(INDEX($2:$2, COLUMN()),
                          Assessment!$4:$4, 0)
            ) &lt; 0,
      INDEX(Assessment!$15:$15,
            _xlfn.XMATCH(INDEX($2:$2, COLUMN()),
                   Assessment!$4:$4, 0)
      ),
      NA()
    ),
    NA()
  ),
  NA()
)</f>
        <v>#N/A</v>
      </c>
      <c r="Q119" s="107" t="e" cm="1">
        <f t="array" ref="Q119">IF(
  AND(
    INDEX($2:$2, COLUMN()) &gt;= MTP_BaseYear,
    INDEX($2:$2, COLUMN()) &lt;= OutturnThrough
  ),
  IFERROR(
    IF(
      Q114 - INDEX(Assessment!$15:$15,
                   _xlfn.XMATCH(INDEX($2:$2, COLUMN()),
                          Assessment!$4:$4, 0)
            ) &lt; 0,
      INDEX(Assessment!$15:$15,
            _xlfn.XMATCH(INDEX($2:$2, COLUMN()),
                   Assessment!$4:$4, 0)
      ),
      NA()
    ),
    NA()
  ),
  NA()
)</f>
        <v>#N/A</v>
      </c>
      <c r="R119" s="107" t="e" cm="1">
        <f t="array" ref="R119">IF(
  AND(
    INDEX($2:$2, COLUMN()) &gt;= MTP_BaseYear,
    INDEX($2:$2, COLUMN()) &lt;= OutturnThrough
  ),
  IFERROR(
    IF(
      R114 - INDEX(Assessment!$15:$15,
                   _xlfn.XMATCH(INDEX($2:$2, COLUMN()),
                          Assessment!$4:$4, 0)
            ) &lt; 0,
      INDEX(Assessment!$15:$15,
            _xlfn.XMATCH(INDEX($2:$2, COLUMN()),
                   Assessment!$4:$4, 0)
      ),
      NA()
    ),
    NA()
  ),
  NA()
)</f>
        <v>#N/A</v>
      </c>
      <c r="S119" s="107" t="e" cm="1">
        <f t="array" ref="S119">IF(
  AND(
    INDEX($2:$2, COLUMN()) &gt;= MTP_BaseYear,
    INDEX($2:$2, COLUMN()) &lt;= OutturnThrough
  ),
  IFERROR(
    IF(
      S114 - INDEX(Assessment!$15:$15,
                   _xlfn.XMATCH(INDEX($2:$2, COLUMN()),
                          Assessment!$4:$4, 0)
            ) &lt; 0,
      INDEX(Assessment!$15:$15,
            _xlfn.XMATCH(INDEX($2:$2, COLUMN()),
                   Assessment!$4:$4, 0)
      ),
      NA()
    ),
    NA()
  ),
  NA()
)</f>
        <v>#N/A</v>
      </c>
      <c r="T119" s="107" t="e" cm="1">
        <f t="array" ref="T119">IF(
  AND(
    INDEX($2:$2, COLUMN()) &gt;= MTP_BaseYear,
    INDEX($2:$2, COLUMN()) &lt;= OutturnThrough
  ),
  IFERROR(
    IF(
      T114 - INDEX(Assessment!$15:$15,
                   _xlfn.XMATCH(INDEX($2:$2, COLUMN()),
                          Assessment!$4:$4, 0)
            ) &lt; 0,
      INDEX(Assessment!$15:$15,
            _xlfn.XMATCH(INDEX($2:$2, COLUMN()),
                   Assessment!$4:$4, 0)
      ),
      NA()
    ),
    NA()
  ),
  NA()
)</f>
        <v>#N/A</v>
      </c>
      <c r="U119" s="107" t="e" cm="1">
        <f t="array" ref="U119">IF(
  AND(
    INDEX($2:$2, COLUMN()) &gt;= MTP_BaseYear,
    INDEX($2:$2, COLUMN()) &lt;= OutturnThrough
  ),
  IFERROR(
    IF(
      U114 - INDEX(Assessment!$15:$15,
                   _xlfn.XMATCH(INDEX($2:$2, COLUMN()),
                          Assessment!$4:$4, 0)
            ) &lt; 0,
      INDEX(Assessment!$15:$15,
            _xlfn.XMATCH(INDEX($2:$2, COLUMN()),
                   Assessment!$4:$4, 0)
      ),
      NA()
    ),
    NA()
  ),
  NA()
)</f>
        <v>#N/A</v>
      </c>
      <c r="V119" s="107" t="e" cm="1">
        <f t="array" ref="V119">IF(
  AND(
    INDEX($2:$2, COLUMN()) &gt;= MTP_BaseYear,
    INDEX($2:$2, COLUMN()) &lt;= OutturnThrough
  ),
  IFERROR(
    IF(
      V114 - INDEX(Assessment!$15:$15,
                   _xlfn.XMATCH(INDEX($2:$2, COLUMN()),
                          Assessment!$4:$4, 0)
            ) &lt; 0,
      INDEX(Assessment!$15:$15,
            _xlfn.XMATCH(INDEX($2:$2, COLUMN()),
                   Assessment!$4:$4, 0)
      ),
      NA()
    ),
    NA()
  ),
  NA()
)</f>
        <v>#N/A</v>
      </c>
      <c r="W119" s="107"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11" t="s">
        <v>573</v>
      </c>
      <c r="D120" s="4">
        <f>IF(_xlfn.AGGREGATE(5,6,F114:W119)&lt;0, _xlfn.AGGREGATE(5,6,F114:W119), 0)</f>
        <v>-0.12946679588512477</v>
      </c>
      <c r="F120" s="65"/>
      <c r="G120" s="65"/>
      <c r="H120" s="65"/>
      <c r="I120" s="65"/>
      <c r="J120" s="65"/>
      <c r="K120" s="65"/>
      <c r="L120" s="65"/>
      <c r="M120" s="65"/>
      <c r="N120" s="65"/>
      <c r="O120" s="65"/>
      <c r="P120" s="65"/>
      <c r="Q120" s="65"/>
      <c r="R120" s="65"/>
      <c r="S120" s="65"/>
      <c r="T120" s="65"/>
      <c r="U120" s="65"/>
      <c r="V120" s="65"/>
      <c r="W120" s="65"/>
    </row>
    <row r="121" spans="2:23" x14ac:dyDescent="0.4">
      <c r="C121" s="111" t="s">
        <v>574</v>
      </c>
      <c r="D121" s="4">
        <f>_xlfn.AGGREGATE(4,6,F114:W119)</f>
        <v>7.5</v>
      </c>
    </row>
    <row r="122" spans="2:23" ht="13.5" customHeight="1" x14ac:dyDescent="0.6">
      <c r="C122" s="12"/>
    </row>
    <row r="123" spans="2:23" ht="16.5" x14ac:dyDescent="0.6">
      <c r="B123" s="111" t="s">
        <v>601</v>
      </c>
      <c r="C123" s="12" t="s">
        <v>389</v>
      </c>
    </row>
    <row r="124" spans="2:23" x14ac:dyDescent="0.4">
      <c r="C124" s="2" t="s">
        <v>388</v>
      </c>
      <c r="F124" s="65">
        <f>Assessment!E72</f>
        <v>1.7</v>
      </c>
      <c r="G124" s="65">
        <f>Assessment!F72</f>
        <v>2.1</v>
      </c>
      <c r="H124" s="65">
        <f>Assessment!G72</f>
        <v>2.2999999999999998</v>
      </c>
      <c r="I124" s="65">
        <f>Assessment!H72</f>
        <v>2.4</v>
      </c>
      <c r="J124" s="65">
        <f>Assessment!I72</f>
        <v>2.6</v>
      </c>
      <c r="K124" s="65">
        <f>Assessment!J72</f>
        <v>2.6</v>
      </c>
      <c r="L124" s="65">
        <f>Assessment!K72</f>
        <v>2.6</v>
      </c>
      <c r="M124" s="65">
        <f>Assessment!L72</f>
        <v>2.6</v>
      </c>
      <c r="N124" s="65">
        <f>Assessment!M72</f>
        <v>2.6</v>
      </c>
      <c r="O124" s="65">
        <f>Assessment!N72</f>
        <v>2.6</v>
      </c>
      <c r="P124" s="65">
        <f>Assessment!O72</f>
        <v>2.6</v>
      </c>
      <c r="Q124" s="65">
        <f>Assessment!P72</f>
        <v>2.6</v>
      </c>
      <c r="R124" s="65">
        <f>Assessment!Q72</f>
        <v>2.6</v>
      </c>
      <c r="S124" s="65">
        <f>Assessment!R72</f>
        <v>2.6</v>
      </c>
      <c r="T124" s="65">
        <f>Assessment!S72</f>
        <v>2.6</v>
      </c>
      <c r="U124" s="65" t="str">
        <f>Assessment!T72</f>
        <v/>
      </c>
      <c r="V124" s="65" t="str">
        <f>Assessment!U72</f>
        <v/>
      </c>
      <c r="W124" s="65" t="str">
        <f>Assessment!V72</f>
        <v/>
      </c>
    </row>
    <row r="125" spans="2:23" x14ac:dyDescent="0.4">
      <c r="C125" s="2" t="s">
        <v>296</v>
      </c>
      <c r="F125" s="4"/>
      <c r="G125" s="4"/>
      <c r="H125" s="4"/>
      <c r="I125" s="4"/>
      <c r="J125" s="4"/>
      <c r="K125" s="4"/>
      <c r="L125" s="4"/>
      <c r="M125" s="4"/>
      <c r="N125" s="4"/>
      <c r="O125" s="4"/>
      <c r="P125" s="4"/>
      <c r="Q125" s="4"/>
      <c r="R125" s="4"/>
      <c r="S125" s="4"/>
      <c r="T125" s="4"/>
      <c r="U125" s="4"/>
      <c r="V125" s="4"/>
      <c r="W125" s="4"/>
    </row>
    <row r="126" spans="2:23" x14ac:dyDescent="0.4">
      <c r="C126" s="2" t="s">
        <v>243</v>
      </c>
      <c r="F126" s="65" t="e">
        <f>IF(OR(ISNUMBER(F128),ISNUMBER(F129)),NA(),IF(ISNUMBER(Assessment!E19),Assessment!E19,NA()))</f>
        <v>#N/A</v>
      </c>
      <c r="G126" s="65" t="e">
        <f>IF(OR(ISNUMBER(G128),ISNUMBER(G129)),NA(),IF(ISNUMBER(Assessment!F19),Assessment!F19,NA()))</f>
        <v>#N/A</v>
      </c>
      <c r="H126" s="65">
        <f>IF(OR(ISNUMBER(H128),ISNUMBER(H129)),NA(),IF(ISNUMBER(Assessment!G19),Assessment!G19,NA()))</f>
        <v>1.8</v>
      </c>
      <c r="I126" s="65" t="e">
        <f>IF(OR(ISNUMBER(I128),ISNUMBER(I129)),NA(),IF(ISNUMBER(Assessment!H19),Assessment!H19,NA()))</f>
        <v>#N/A</v>
      </c>
      <c r="J126" s="65" t="e">
        <f>IF(OR(ISNUMBER(J128),ISNUMBER(J129)),NA(),IF(ISNUMBER(Assessment!I19),Assessment!I19,NA()))</f>
        <v>#N/A</v>
      </c>
      <c r="K126" s="65" t="e">
        <f>IF(OR(ISNUMBER(K128),ISNUMBER(K129)),NA(),IF(ISNUMBER(Assessment!J19),Assessment!J19,NA()))</f>
        <v>#N/A</v>
      </c>
      <c r="L126" s="65" t="e">
        <f>IF(OR(ISNUMBER(L128),ISNUMBER(L129)),NA(),IF(ISNUMBER(Assessment!K19),Assessment!K19,NA()))</f>
        <v>#N/A</v>
      </c>
      <c r="M126" s="65" t="e">
        <f>IF(OR(ISNUMBER(M128),ISNUMBER(M129)),NA(),IF(ISNUMBER(Assessment!L19),Assessment!L19,NA()))</f>
        <v>#N/A</v>
      </c>
      <c r="N126" s="65" t="e">
        <f>IF(OR(ISNUMBER(N128),ISNUMBER(N129)),NA(),IF(ISNUMBER(Assessment!M19),Assessment!M19,NA()))</f>
        <v>#N/A</v>
      </c>
      <c r="O126" s="65" t="e">
        <f>IF(OR(ISNUMBER(O128),ISNUMBER(O129)),NA(),IF(ISNUMBER(Assessment!N19),Assessment!N19,NA()))</f>
        <v>#N/A</v>
      </c>
      <c r="P126" s="65" t="e">
        <f>IF(OR(ISNUMBER(P128),ISNUMBER(P129)),NA(),IF(ISNUMBER(Assessment!O19),Assessment!O19,NA()))</f>
        <v>#N/A</v>
      </c>
      <c r="Q126" s="65" t="e">
        <f>IF(OR(ISNUMBER(Q128),ISNUMBER(Q129)),NA(),IF(ISNUMBER(Assessment!P19),Assessment!P19,NA()))</f>
        <v>#N/A</v>
      </c>
      <c r="R126" s="65" t="e">
        <f>IF(OR(ISNUMBER(R128),ISNUMBER(R129)),NA(),IF(ISNUMBER(Assessment!Q19),Assessment!Q19,NA()))</f>
        <v>#N/A</v>
      </c>
      <c r="S126" s="65" t="e">
        <f>IF(OR(ISNUMBER(S128),ISNUMBER(S129)),NA(),IF(ISNUMBER(Assessment!R19),Assessment!R19,NA()))</f>
        <v>#N/A</v>
      </c>
      <c r="T126" s="65" t="e">
        <f>IF(OR(ISNUMBER(T128),ISNUMBER(T129)),NA(),IF(ISNUMBER(Assessment!S19),Assessment!S19,NA()))</f>
        <v>#N/A</v>
      </c>
      <c r="U126" s="65" t="e">
        <f>IF(OR(ISNUMBER(U128),ISNUMBER(U129)),NA(),IF(ISNUMBER(Assessment!T19),Assessment!T19,NA()))</f>
        <v>#N/A</v>
      </c>
      <c r="V126" s="65" t="e">
        <f>IF(OR(ISNUMBER(V128),ISNUMBER(V129)),NA(),IF(ISNUMBER(Assessment!U19),Assessment!U19,NA()))</f>
        <v>#N/A</v>
      </c>
      <c r="W126" s="65" t="e">
        <f>IF(OR(ISNUMBER(W128),ISNUMBER(W129)),NA(),IF(ISNUMBER(Assessment!V19),Assessment!V19,NA()))</f>
        <v>#N/A</v>
      </c>
    </row>
    <row r="127" spans="2:23" x14ac:dyDescent="0.4">
      <c r="C127" s="2" t="s">
        <v>297</v>
      </c>
      <c r="F127" s="4"/>
      <c r="G127" s="4"/>
      <c r="H127" s="4"/>
      <c r="I127" s="4"/>
      <c r="J127" s="4"/>
      <c r="K127" s="4"/>
      <c r="L127" s="4"/>
      <c r="M127" s="4"/>
      <c r="N127" s="4"/>
      <c r="O127" s="4"/>
      <c r="P127" s="4"/>
      <c r="Q127" s="4"/>
      <c r="R127" s="4"/>
      <c r="S127" s="4"/>
      <c r="T127" s="4"/>
      <c r="U127" s="4"/>
      <c r="V127" s="4"/>
      <c r="W127" s="4"/>
    </row>
    <row r="128" spans="2:23" ht="17.25" customHeight="1" x14ac:dyDescent="0.4">
      <c r="C128" s="2" t="s">
        <v>298</v>
      </c>
      <c r="F128" s="107" cm="1">
        <f t="array" ref="F128">IF(
  AND(
    INDEX($2:$2, COLUMN()) &gt;= MTP_BaseYear,
    INDEX($2:$2, COLUMN()) &lt;= OutturnThrough
  ),
  IFERROR(
    IF(
      F124 - INDEX(Assessment!$19:$19,
                   _xlfn.XMATCH(INDEX($2:$2, COLUMN()),
                          Assessment!$4:$4, 0)
            ) &lt; 0,
      INDEX(Assessment!$19:$19,
            _xlfn.XMATCH(INDEX($2:$2, COLUMN()),
                   Assessment!$4:$4, 0)
      ),
      NA()
    ),
    NA()
  ),
  NA()
)</f>
        <v>3.8204099999999999</v>
      </c>
      <c r="G128" s="107" cm="1">
        <f t="array" ref="G128">IF(
  AND(
    INDEX($2:$2, COLUMN()) &gt;= MTP_BaseYear,
    INDEX($2:$2, COLUMN()) &lt;= OutturnThrough
  ),
  IFERROR(
    IF(
      G124 - INDEX(Assessment!$19:$19,
                   _xlfn.XMATCH(INDEX($2:$2, COLUMN()),
                          Assessment!$4:$4, 0)
            ) &lt; 0,
      INDEX(Assessment!$19:$19,
            _xlfn.XMATCH(INDEX($2:$2, COLUMN()),
                   Assessment!$4:$4, 0)
      ),
      NA()
    ),
    NA()
  ),
  NA()
)</f>
        <v>3.6435300000000002</v>
      </c>
      <c r="H128" s="107" t="e" cm="1">
        <f t="array" ref="H128">IF(
  AND(
    INDEX($2:$2, COLUMN()) &gt;= MTP_BaseYear,
    INDEX($2:$2, COLUMN()) &lt;= OutturnThrough
  ),
  IFERROR(
    IF(
      H124 - INDEX(Assessment!$19:$19,
                   _xlfn.XMATCH(INDEX($2:$2, COLUMN()),
                          Assessment!$4:$4, 0)
            ) &lt; 0,
      INDEX(Assessment!$19:$19,
            _xlfn.XMATCH(INDEX($2:$2, COLUMN()),
                   Assessment!$4:$4, 0)
      ),
      NA()
    ),
    NA()
  ),
  NA()
)</f>
        <v>#N/A</v>
      </c>
      <c r="I128" s="107" t="e" cm="1">
        <f t="array" ref="I128">IF(
  AND(
    INDEX($2:$2, COLUMN()) &gt;= MTP_BaseYear,
    INDEX($2:$2, COLUMN()) &lt;= OutturnThrough
  ),
  IFERROR(
    IF(
      I124 - INDEX(Assessment!$19:$19,
                   _xlfn.XMATCH(INDEX($2:$2, COLUMN()),
                          Assessment!$4:$4, 0)
            ) &lt; 0,
      INDEX(Assessment!$19:$19,
            _xlfn.XMATCH(INDEX($2:$2, COLUMN()),
                   Assessment!$4:$4, 0)
      ),
      NA()
    ),
    NA()
  ),
  NA()
)</f>
        <v>#N/A</v>
      </c>
      <c r="J128" s="107" t="e" cm="1">
        <f t="array" ref="J128">IF(
  AND(
    INDEX($2:$2, COLUMN()) &gt;= MTP_BaseYear,
    INDEX($2:$2, COLUMN()) &lt;= OutturnThrough
  ),
  IFERROR(
    IF(
      J124 - INDEX(Assessment!$19:$19,
                   _xlfn.XMATCH(INDEX($2:$2, COLUMN()),
                          Assessment!$4:$4, 0)
            ) &lt; 0,
      INDEX(Assessment!$19:$19,
            _xlfn.XMATCH(INDEX($2:$2, COLUMN()),
                   Assessment!$4:$4, 0)
      ),
      NA()
    ),
    NA()
  ),
  NA()
)</f>
        <v>#N/A</v>
      </c>
      <c r="K128" s="107" t="e" cm="1">
        <f t="array" ref="K128">IF(
  AND(
    INDEX($2:$2, COLUMN()) &gt;= MTP_BaseYear,
    INDEX($2:$2, COLUMN()) &lt;= OutturnThrough
  ),
  IFERROR(
    IF(
      K124 - INDEX(Assessment!$19:$19,
                   _xlfn.XMATCH(INDEX($2:$2, COLUMN()),
                          Assessment!$4:$4, 0)
            ) &lt; 0,
      INDEX(Assessment!$19:$19,
            _xlfn.XMATCH(INDEX($2:$2, COLUMN()),
                   Assessment!$4:$4, 0)
      ),
      NA()
    ),
    NA()
  ),
  NA()
)</f>
        <v>#N/A</v>
      </c>
      <c r="L128" s="107" t="e" cm="1">
        <f t="array" ref="L128">IF(
  AND(
    INDEX($2:$2, COLUMN()) &gt;= MTP_BaseYear,
    INDEX($2:$2, COLUMN()) &lt;= OutturnThrough
  ),
  IFERROR(
    IF(
      L124 - INDEX(Assessment!$19:$19,
                   _xlfn.XMATCH(INDEX($2:$2, COLUMN()),
                          Assessment!$4:$4, 0)
            ) &lt; 0,
      INDEX(Assessment!$19:$19,
            _xlfn.XMATCH(INDEX($2:$2, COLUMN()),
                   Assessment!$4:$4, 0)
      ),
      NA()
    ),
    NA()
  ),
  NA()
)</f>
        <v>#N/A</v>
      </c>
      <c r="M128" s="107" t="e" cm="1">
        <f t="array" ref="M128">IF(
  AND(
    INDEX($2:$2, COLUMN()) &gt;= MTP_BaseYear,
    INDEX($2:$2, COLUMN()) &lt;= OutturnThrough
  ),
  IFERROR(
    IF(
      M124 - INDEX(Assessment!$19:$19,
                   _xlfn.XMATCH(INDEX($2:$2, COLUMN()),
                          Assessment!$4:$4, 0)
            ) &lt; 0,
      INDEX(Assessment!$19:$19,
            _xlfn.XMATCH(INDEX($2:$2, COLUMN()),
                   Assessment!$4:$4, 0)
      ),
      NA()
    ),
    NA()
  ),
  NA()
)</f>
        <v>#N/A</v>
      </c>
      <c r="N128" s="107" t="e" cm="1">
        <f t="array" ref="N128">IF(
  AND(
    INDEX($2:$2, COLUMN()) &gt;= MTP_BaseYear,
    INDEX($2:$2, COLUMN()) &lt;= OutturnThrough
  ),
  IFERROR(
    IF(
      N124 - INDEX(Assessment!$19:$19,
                   _xlfn.XMATCH(INDEX($2:$2, COLUMN()),
                          Assessment!$4:$4, 0)
            ) &lt; 0,
      INDEX(Assessment!$19:$19,
            _xlfn.XMATCH(INDEX($2:$2, COLUMN()),
                   Assessment!$4:$4, 0)
      ),
      NA()
    ),
    NA()
  ),
  NA()
)</f>
        <v>#N/A</v>
      </c>
      <c r="O128" s="107" t="e" cm="1">
        <f t="array" ref="O128">IF(
  AND(
    INDEX($2:$2, COLUMN()) &gt;= MTP_BaseYear,
    INDEX($2:$2, COLUMN()) &lt;= OutturnThrough
  ),
  IFERROR(
    IF(
      O124 - INDEX(Assessment!$19:$19,
                   _xlfn.XMATCH(INDEX($2:$2, COLUMN()),
                          Assessment!$4:$4, 0)
            ) &lt; 0,
      INDEX(Assessment!$19:$19,
            _xlfn.XMATCH(INDEX($2:$2, COLUMN()),
                   Assessment!$4:$4, 0)
      ),
      NA()
    ),
    NA()
  ),
  NA()
)</f>
        <v>#N/A</v>
      </c>
      <c r="P128" s="107" t="e" cm="1">
        <f t="array" ref="P128">IF(
  AND(
    INDEX($2:$2, COLUMN()) &gt;= MTP_BaseYear,
    INDEX($2:$2, COLUMN()) &lt;= OutturnThrough
  ),
  IFERROR(
    IF(
      P124 - INDEX(Assessment!$19:$19,
                   _xlfn.XMATCH(INDEX($2:$2, COLUMN()),
                          Assessment!$4:$4, 0)
            ) &lt; 0,
      INDEX(Assessment!$19:$19,
            _xlfn.XMATCH(INDEX($2:$2, COLUMN()),
                   Assessment!$4:$4, 0)
      ),
      NA()
    ),
    NA()
  ),
  NA()
)</f>
        <v>#N/A</v>
      </c>
      <c r="Q128" s="107" t="e" cm="1">
        <f t="array" ref="Q128">IF(
  AND(
    INDEX($2:$2, COLUMN()) &gt;= MTP_BaseYear,
    INDEX($2:$2, COLUMN()) &lt;= OutturnThrough
  ),
  IFERROR(
    IF(
      Q124 - INDEX(Assessment!$19:$19,
                   _xlfn.XMATCH(INDEX($2:$2, COLUMN()),
                          Assessment!$4:$4, 0)
            ) &lt; 0,
      INDEX(Assessment!$19:$19,
            _xlfn.XMATCH(INDEX($2:$2, COLUMN()),
                   Assessment!$4:$4, 0)
      ),
      NA()
    ),
    NA()
  ),
  NA()
)</f>
        <v>#N/A</v>
      </c>
      <c r="R128" s="107" t="e" cm="1">
        <f t="array" ref="R128">IF(
  AND(
    INDEX($2:$2, COLUMN()) &gt;= MTP_BaseYear,
    INDEX($2:$2, COLUMN()) &lt;= OutturnThrough
  ),
  IFERROR(
    IF(
      R124 - INDEX(Assessment!$19:$19,
                   _xlfn.XMATCH(INDEX($2:$2, COLUMN()),
                          Assessment!$4:$4, 0)
            ) &lt; 0,
      INDEX(Assessment!$19:$19,
            _xlfn.XMATCH(INDEX($2:$2, COLUMN()),
                   Assessment!$4:$4, 0)
      ),
      NA()
    ),
    NA()
  ),
  NA()
)</f>
        <v>#N/A</v>
      </c>
      <c r="S128" s="107" t="e" cm="1">
        <f t="array" ref="S128">IF(
  AND(
    INDEX($2:$2, COLUMN()) &gt;= MTP_BaseYear,
    INDEX($2:$2, COLUMN()) &lt;= OutturnThrough
  ),
  IFERROR(
    IF(
      S124 - INDEX(Assessment!$19:$19,
                   _xlfn.XMATCH(INDEX($2:$2, COLUMN()),
                          Assessment!$4:$4, 0)
            ) &lt; 0,
      INDEX(Assessment!$19:$19,
            _xlfn.XMATCH(INDEX($2:$2, COLUMN()),
                   Assessment!$4:$4, 0)
      ),
      NA()
    ),
    NA()
  ),
  NA()
)</f>
        <v>#N/A</v>
      </c>
      <c r="T128" s="107" t="e" cm="1">
        <f t="array" ref="T128">IF(
  AND(
    INDEX($2:$2, COLUMN()) &gt;= MTP_BaseYear,
    INDEX($2:$2, COLUMN()) &lt;= OutturnThrough
  ),
  IFERROR(
    IF(
      T124 - INDEX(Assessment!$19:$19,
                   _xlfn.XMATCH(INDEX($2:$2, COLUMN()),
                          Assessment!$4:$4, 0)
            ) &lt; 0,
      INDEX(Assessment!$19:$19,
            _xlfn.XMATCH(INDEX($2:$2, COLUMN()),
                   Assessment!$4:$4, 0)
      ),
      NA()
    ),
    NA()
  ),
  NA()
)</f>
        <v>#N/A</v>
      </c>
      <c r="U128" s="107" t="e" cm="1">
        <f t="array" ref="U128">IF(
  AND(
    INDEX($2:$2, COLUMN()) &gt;= MTP_BaseYear,
    INDEX($2:$2, COLUMN()) &lt;= OutturnThrough
  ),
  IFERROR(
    IF(
      U124 - INDEX(Assessment!$19:$19,
                   _xlfn.XMATCH(INDEX($2:$2, COLUMN()),
                          Assessment!$4:$4, 0)
            ) &lt; 0,
      INDEX(Assessment!$19:$19,
            _xlfn.XMATCH(INDEX($2:$2, COLUMN()),
                   Assessment!$4:$4, 0)
      ),
      NA()
    ),
    NA()
  ),
  NA()
)</f>
        <v>#N/A</v>
      </c>
      <c r="V128" s="107" t="e" cm="1">
        <f t="array" ref="V128">IF(
  AND(
    INDEX($2:$2, COLUMN()) &gt;= MTP_BaseYear,
    INDEX($2:$2, COLUMN()) &lt;= OutturnThrough
  ),
  IFERROR(
    IF(
      V124 - INDEX(Assessment!$19:$19,
                   _xlfn.XMATCH(INDEX($2:$2, COLUMN()),
                          Assessment!$4:$4, 0)
            ) &lt; 0,
      INDEX(Assessment!$19:$19,
            _xlfn.XMATCH(INDEX($2:$2, COLUMN()),
                   Assessment!$4:$4, 0)
      ),
      NA()
    ),
    NA()
  ),
  NA()
)</f>
        <v>#N/A</v>
      </c>
      <c r="W128" s="107"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299</v>
      </c>
      <c r="F129" s="107" t="e"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129" s="107" t="e"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#N/A</v>
      </c>
      <c r="H129" s="107"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07"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07"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07"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07"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07"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07"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07"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07"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07"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07"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07"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07"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07"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07"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07"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11" t="s">
        <v>573</v>
      </c>
      <c r="D130" s="4">
        <f>IF(_xlfn.AGGREGATE(5,6,F124:W129)&lt;0, _xlfn.AGGREGATE(5,6,F124:W129), 0)</f>
        <v>0</v>
      </c>
      <c r="F130" s="65"/>
      <c r="G130" s="65"/>
      <c r="H130" s="65"/>
      <c r="I130" s="65"/>
      <c r="J130" s="65"/>
      <c r="K130" s="65"/>
      <c r="L130" s="65"/>
      <c r="M130" s="65"/>
      <c r="N130" s="65"/>
      <c r="O130" s="65"/>
      <c r="P130" s="65"/>
      <c r="Q130" s="65"/>
      <c r="R130" s="65"/>
      <c r="S130" s="65"/>
      <c r="T130" s="65"/>
      <c r="U130" s="65"/>
      <c r="V130" s="65"/>
      <c r="W130" s="65"/>
    </row>
    <row r="131" spans="2:23" x14ac:dyDescent="0.4">
      <c r="C131" s="111" t="s">
        <v>574</v>
      </c>
      <c r="D131" s="4">
        <f>_xlfn.AGGREGATE(4,6,F124:W129)</f>
        <v>3.8204099999999999</v>
      </c>
    </row>
    <row r="132" spans="2:23" ht="14.25" customHeight="1" x14ac:dyDescent="0.4">
      <c r="C132" s="2"/>
      <c r="F132" s="107"/>
      <c r="G132" s="107"/>
      <c r="H132" s="107"/>
      <c r="I132" s="107"/>
      <c r="J132" s="107"/>
      <c r="K132" s="107"/>
      <c r="L132" s="107"/>
      <c r="M132" s="107"/>
      <c r="N132" s="107"/>
      <c r="O132" s="107"/>
      <c r="P132" s="107"/>
      <c r="Q132" s="107"/>
      <c r="R132" s="107"/>
      <c r="S132" s="107"/>
      <c r="T132" s="107"/>
      <c r="U132" s="65"/>
      <c r="V132" s="65"/>
      <c r="W132" s="65"/>
    </row>
    <row r="133" spans="2:23" ht="13.5" customHeight="1" x14ac:dyDescent="0.6">
      <c r="B133" s="111" t="s">
        <v>585</v>
      </c>
      <c r="C133" s="12" t="s">
        <v>586</v>
      </c>
    </row>
    <row r="134" spans="2:23" ht="13.5" customHeight="1" x14ac:dyDescent="0.4">
      <c r="C134" t="s">
        <v>576</v>
      </c>
      <c r="F134" s="3">
        <f>IF(ISNUMBER(Assessment!E36),Assessment!E36,NA())</f>
        <v>-1.5</v>
      </c>
      <c r="G134" s="3">
        <f>IF(ISNUMBER(Assessment!F36),Assessment!F36,NA())</f>
        <v>-1.1000000000000001</v>
      </c>
      <c r="H134" s="3">
        <f>IF(ISNUMBER(Assessment!G36),Assessment!G36,NA())</f>
        <v>-1.1000000000000001</v>
      </c>
      <c r="I134" s="3">
        <f>IF(ISNUMBER(Assessment!H36),Assessment!H36,NA())</f>
        <v>-1.2</v>
      </c>
      <c r="J134" s="3">
        <f>IF(ISNUMBER(Assessment!I36),Assessment!I36,NA())</f>
        <v>-1.3</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575</v>
      </c>
      <c r="F135" s="3" t="e">
        <f>IF(OR(ISNUMBER(F138),ISNUMBER(F139)),NA(),IF(ISNUMBER(Assessment!E18),Assessment!E18,NA()))</f>
        <v>#N/A</v>
      </c>
      <c r="G135" s="36" t="e">
        <f>IF(OR(ISNUMBER(G138),ISNUMBER(G139)),NA(),IF(ISNUMBER(Assessment!F18),Assessment!F18,NA()))</f>
        <v>#N/A</v>
      </c>
      <c r="H135" s="3">
        <f>IF(OR(ISNUMBER(H138),ISNUMBER(H139)),NA(),IF(ISNUMBER(Assessment!G18),Assessment!G18,NA()))</f>
        <v>-1.2</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296</v>
      </c>
      <c r="F136" s="3"/>
      <c r="G136" s="36"/>
      <c r="H136" s="3"/>
      <c r="I136" s="3"/>
      <c r="J136" s="3"/>
      <c r="K136" s="3"/>
      <c r="L136" s="3"/>
      <c r="M136" s="3"/>
      <c r="N136" s="3"/>
      <c r="O136" s="3"/>
      <c r="P136" s="3"/>
      <c r="Q136" s="3"/>
      <c r="R136" s="3"/>
      <c r="S136" s="3"/>
      <c r="T136" s="3"/>
      <c r="U136" s="3"/>
      <c r="V136" s="3"/>
      <c r="W136" s="3"/>
    </row>
    <row r="137" spans="2:23" ht="13.5" customHeight="1" x14ac:dyDescent="0.4">
      <c r="C137" t="s">
        <v>297</v>
      </c>
      <c r="F137" s="3"/>
      <c r="G137" s="36"/>
      <c r="H137" s="3"/>
      <c r="I137" s="3"/>
      <c r="J137" s="3"/>
      <c r="K137" s="3"/>
      <c r="L137" s="3"/>
      <c r="M137" s="3"/>
      <c r="N137" s="3"/>
      <c r="O137" s="3"/>
      <c r="P137" s="3"/>
      <c r="Q137" s="3"/>
      <c r="R137" s="3"/>
      <c r="S137" s="3"/>
      <c r="T137" s="3"/>
      <c r="U137" s="3"/>
      <c r="V137" s="3"/>
      <c r="W137" s="3"/>
    </row>
    <row r="138" spans="2:23" ht="13.5" customHeight="1" x14ac:dyDescent="0.4">
      <c r="C138" t="s">
        <v>298</v>
      </c>
      <c r="F138" s="124" cm="1">
        <f t="array" ref="F138">_xlfn.LET(
  _xlpm.y, INDEX('Chart data'!$2:$2, COLUMN()),
  _xlpm.col, _xlfn.XMATCH(_xlpm.y, Assessment!$4:$4, 0),
  _xlpm.v, INDEX(Assessment!$18:$18, _xlpm.col),
  IF(
    _xlpm.y&lt;=OutturnThrough,
    IF(AND(ISNUMBER(_xlpm.v), _xlpm.v&gt;=0), _xlpm.v, NA()),
    NA()
  )
)</f>
        <v>0.34606999999999999</v>
      </c>
      <c r="G138" s="124" cm="1">
        <f t="array" ref="G138">_xlfn.LET(
  _xlpm.y, INDEX('Chart data'!$2:$2, COLUMN()),
  _xlpm.col, _xlfn.XMATCH(_xlpm.y, Assessment!$4:$4, 0),
  _xlpm.v, INDEX(Assessment!$18:$18, _xlpm.col),
  IF(
    _xlpm.y&lt;=OutturnThrough,
    IF(AND(ISNUMBER(_xlpm.v), _xlpm.v&gt;=0), _xlpm.v, NA()),
    NA()
  )
)</f>
        <v>0.48633999999999999</v>
      </c>
      <c r="H138" s="124" t="e" cm="1">
        <f t="array" ref="H138">_xlfn.LET(
  _xlpm.y, INDEX('Chart data'!$2:$2, COLUMN()),
  _xlpm.col, _xlfn.XMATCH(_xlpm.y, Assessment!$4:$4, 0),
  _xlpm.v, INDEX(Assessment!$18:$18, _xlpm.col),
  IF(
    _xlpm.y&lt;=OutturnThrough,
    IF(AND(ISNUMBER(_xlpm.v), _xlpm.v&gt;=0), _xlpm.v, NA()),
    NA()
  )
)</f>
        <v>#N/A</v>
      </c>
      <c r="I138" s="124" t="e" cm="1">
        <f t="array" ref="I138">_xlfn.LET(
  _xlpm.y, INDEX('Chart data'!$2:$2, COLUMN()),
  _xlpm.col, _xlfn.XMATCH(_xlpm.y, Assessment!$4:$4, 0),
  _xlpm.v, INDEX(Assessment!$18:$18, _xlpm.col),
  IF(
    _xlpm.y&lt;=OutturnThrough,
    IF(AND(ISNUMBER(_xlpm.v), _xlpm.v&gt;=0), _xlpm.v, NA()),
    NA()
  )
)</f>
        <v>#N/A</v>
      </c>
      <c r="J138" s="124" t="e" cm="1">
        <f t="array" ref="J138">_xlfn.LET(
  _xlpm.y, INDEX('Chart data'!$2:$2, COLUMN()),
  _xlpm.col, _xlfn.XMATCH(_xlpm.y, Assessment!$4:$4, 0),
  _xlpm.v, INDEX(Assessment!$18:$18, _xlpm.col),
  IF(
    _xlpm.y&lt;=OutturnThrough,
    IF(AND(ISNUMBER(_xlpm.v), _xlpm.v&gt;=0), _xlpm.v, NA()),
    NA()
  )
)</f>
        <v>#N/A</v>
      </c>
      <c r="K138" s="124" t="e" cm="1">
        <f t="array" ref="K138">_xlfn.LET(
  _xlpm.y, INDEX('Chart data'!$2:$2, COLUMN()),
  _xlpm.col, _xlfn.XMATCH(_xlpm.y, Assessment!$4:$4, 0),
  _xlpm.v, INDEX(Assessment!$18:$18, _xlpm.col),
  IF(
    _xlpm.y&lt;=OutturnThrough,
    IF(AND(ISNUMBER(_xlpm.v), _xlpm.v&gt;=0), _xlpm.v, NA()),
    NA()
  )
)</f>
        <v>#N/A</v>
      </c>
      <c r="L138" s="124" t="e" cm="1">
        <f t="array" ref="L138">_xlfn.LET(
  _xlpm.y, INDEX('Chart data'!$2:$2, COLUMN()),
  _xlpm.col, _xlfn.XMATCH(_xlpm.y, Assessment!$4:$4, 0),
  _xlpm.v, INDEX(Assessment!$18:$18, _xlpm.col),
  IF(
    _xlpm.y&lt;=OutturnThrough,
    IF(AND(ISNUMBER(_xlpm.v), _xlpm.v&gt;=0), _xlpm.v, NA()),
    NA()
  )
)</f>
        <v>#N/A</v>
      </c>
      <c r="M138" s="124" t="e" cm="1">
        <f t="array" ref="M138">_xlfn.LET(
  _xlpm.y, INDEX('Chart data'!$2:$2, COLUMN()),
  _xlpm.col, _xlfn.XMATCH(_xlpm.y, Assessment!$4:$4, 0),
  _xlpm.v, INDEX(Assessment!$18:$18, _xlpm.col),
  IF(
    _xlpm.y&lt;=OutturnThrough,
    IF(AND(ISNUMBER(_xlpm.v), _xlpm.v&gt;=0), _xlpm.v, NA()),
    NA()
  )
)</f>
        <v>#N/A</v>
      </c>
      <c r="N138" s="124" t="e" cm="1">
        <f t="array" ref="N138">_xlfn.LET(
  _xlpm.y, INDEX('Chart data'!$2:$2, COLUMN()),
  _xlpm.col, _xlfn.XMATCH(_xlpm.y, Assessment!$4:$4, 0),
  _xlpm.v, INDEX(Assessment!$18:$18, _xlpm.col),
  IF(
    _xlpm.y&lt;=OutturnThrough,
    IF(AND(ISNUMBER(_xlpm.v), _xlpm.v&gt;=0), _xlpm.v, NA()),
    NA()
  )
)</f>
        <v>#N/A</v>
      </c>
      <c r="O138" s="124" t="e" cm="1">
        <f t="array" ref="O138">_xlfn.LET(
  _xlpm.y, INDEX('Chart data'!$2:$2, COLUMN()),
  _xlpm.col, _xlfn.XMATCH(_xlpm.y, Assessment!$4:$4, 0),
  _xlpm.v, INDEX(Assessment!$18:$18, _xlpm.col),
  IF(
    _xlpm.y&lt;=OutturnThrough,
    IF(AND(ISNUMBER(_xlpm.v), _xlpm.v&gt;=0), _xlpm.v, NA()),
    NA()
  )
)</f>
        <v>#N/A</v>
      </c>
      <c r="P138" s="124" t="e" cm="1">
        <f t="array" ref="P138">_xlfn.LET(
  _xlpm.y, INDEX('Chart data'!$2:$2, COLUMN()),
  _xlpm.col, _xlfn.XMATCH(_xlpm.y, Assessment!$4:$4, 0),
  _xlpm.v, INDEX(Assessment!$18:$18, _xlpm.col),
  IF(
    _xlpm.y&lt;=OutturnThrough,
    IF(AND(ISNUMBER(_xlpm.v), _xlpm.v&gt;=0), _xlpm.v, NA()),
    NA()
  )
)</f>
        <v>#N/A</v>
      </c>
      <c r="Q138" s="124" t="e" cm="1">
        <f t="array" ref="Q138">_xlfn.LET(
  _xlpm.y, INDEX('Chart data'!$2:$2, COLUMN()),
  _xlpm.col, _xlfn.XMATCH(_xlpm.y, Assessment!$4:$4, 0),
  _xlpm.v, INDEX(Assessment!$18:$18, _xlpm.col),
  IF(
    _xlpm.y&lt;=OutturnThrough,
    IF(AND(ISNUMBER(_xlpm.v), _xlpm.v&gt;=0), _xlpm.v, NA()),
    NA()
  )
)</f>
        <v>#N/A</v>
      </c>
      <c r="R138" s="124" t="e" cm="1">
        <f t="array" ref="R138">_xlfn.LET(
  _xlpm.y, INDEX('Chart data'!$2:$2, COLUMN()),
  _xlpm.col, _xlfn.XMATCH(_xlpm.y, Assessment!$4:$4, 0),
  _xlpm.v, INDEX(Assessment!$18:$18, _xlpm.col),
  IF(
    _xlpm.y&lt;=OutturnThrough,
    IF(AND(ISNUMBER(_xlpm.v), _xlpm.v&gt;=0), _xlpm.v, NA()),
    NA()
  )
)</f>
        <v>#N/A</v>
      </c>
      <c r="S138" s="124" t="e" cm="1">
        <f t="array" ref="S138">_xlfn.LET(
  _xlpm.y, INDEX('Chart data'!$2:$2, COLUMN()),
  _xlpm.col, _xlfn.XMATCH(_xlpm.y, Assessment!$4:$4, 0),
  _xlpm.v, INDEX(Assessment!$18:$18, _xlpm.col),
  IF(
    _xlpm.y&lt;=OutturnThrough,
    IF(AND(ISNUMBER(_xlpm.v), _xlpm.v&gt;=0), _xlpm.v, NA()),
    NA()
  )
)</f>
        <v>#N/A</v>
      </c>
      <c r="T138" s="124" t="e" cm="1">
        <f t="array" ref="T138">_xlfn.LET(
  _xlpm.y, INDEX('Chart data'!$2:$2, COLUMN()),
  _xlpm.col, _xlfn.XMATCH(_xlpm.y, Assessment!$4:$4, 0),
  _xlpm.v, INDEX(Assessment!$18:$18, _xlpm.col),
  IF(
    _xlpm.y&lt;=OutturnThrough,
    IF(AND(ISNUMBER(_xlpm.v), _xlpm.v&gt;=0), _xlpm.v, NA()),
    NA()
  )
)</f>
        <v>#N/A</v>
      </c>
      <c r="U138" s="124" t="e" cm="1">
        <f t="array" ref="U138">_xlfn.LET(
  _xlpm.y, INDEX('Chart data'!$2:$2, COLUMN()),
  _xlpm.col, _xlfn.XMATCH(_xlpm.y, Assessment!$4:$4, 0),
  _xlpm.v, INDEX(Assessment!$18:$18, _xlpm.col),
  IF(
    _xlpm.y&lt;=OutturnThrough,
    IF(AND(ISNUMBER(_xlpm.v), _xlpm.v&gt;=0), _xlpm.v, NA()),
    NA()
  )
)</f>
        <v>#N/A</v>
      </c>
      <c r="V138" s="124" t="e" cm="1">
        <f t="array" ref="V138">_xlfn.LET(
  _xlpm.y, INDEX('Chart data'!$2:$2, COLUMN()),
  _xlpm.col, _xlfn.XMATCH(_xlpm.y, Assessment!$4:$4, 0),
  _xlpm.v, INDEX(Assessment!$18:$18, _xlpm.col),
  IF(
    _xlpm.y&lt;=OutturnThrough,
    IF(AND(ISNUMBER(_xlpm.v), _xlpm.v&gt;=0), _xlpm.v, NA()),
    NA()
  )
)</f>
        <v>#N/A</v>
      </c>
      <c r="W138" s="124"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299</v>
      </c>
      <c r="F139" s="107" t="e" cm="1">
        <f t="array" ref="F139">_xlfn.LET(
  _xlpm.y, INDEX('Chart data'!$2:$2, COLUMN()),
  _xlpm.col, _xlfn.XMATCH(_xlpm.y, Assessment!$4:$4, 0),
  _xlpm.v, INDEX(Assessment!$18:$18, _xlpm.col),
  IF(
    _xlpm.y&lt;=OutturnThrough,
    IF(AND(ISNUMBER(_xlpm.v), _xlpm.v&lt;0), _xlpm.v, NA()),
    NA()
  )
)</f>
        <v>#N/A</v>
      </c>
      <c r="G139" s="107" t="e" cm="1">
        <f t="array" ref="G139">_xlfn.LET(
  _xlpm.y, INDEX('Chart data'!$2:$2, COLUMN()),
  _xlpm.col, _xlfn.XMATCH(_xlpm.y, Assessment!$4:$4, 0),
  _xlpm.v, INDEX(Assessment!$18:$18, _xlpm.col),
  IF(
    _xlpm.y&lt;=OutturnThrough,
    IF(AND(ISNUMBER(_xlpm.v), _xlpm.v&lt;0), _xlpm.v, NA()),
    NA()
  )
)</f>
        <v>#N/A</v>
      </c>
      <c r="H139" s="107" t="e" cm="1">
        <f t="array" ref="H139">_xlfn.LET(
  _xlpm.y, INDEX('Chart data'!$2:$2, COLUMN()),
  _xlpm.col, _xlfn.XMATCH(_xlpm.y, Assessment!$4:$4, 0),
  _xlpm.v, INDEX(Assessment!$18:$18, _xlpm.col),
  IF(
    _xlpm.y&lt;=OutturnThrough,
    IF(AND(ISNUMBER(_xlpm.v), _xlpm.v&lt;0), _xlpm.v, NA()),
    NA()
  )
)</f>
        <v>#N/A</v>
      </c>
      <c r="I139" s="107" t="e" cm="1">
        <f t="array" ref="I139">_xlfn.LET(
  _xlpm.y, INDEX('Chart data'!$2:$2, COLUMN()),
  _xlpm.col, _xlfn.XMATCH(_xlpm.y, Assessment!$4:$4, 0),
  _xlpm.v, INDEX(Assessment!$18:$18, _xlpm.col),
  IF(
    _xlpm.y&lt;=OutturnThrough,
    IF(AND(ISNUMBER(_xlpm.v), _xlpm.v&lt;0), _xlpm.v, NA()),
    NA()
  )
)</f>
        <v>#N/A</v>
      </c>
      <c r="J139" s="107" t="e" cm="1">
        <f t="array" ref="J139">_xlfn.LET(
  _xlpm.y, INDEX('Chart data'!$2:$2, COLUMN()),
  _xlpm.col, _xlfn.XMATCH(_xlpm.y, Assessment!$4:$4, 0),
  _xlpm.v, INDEX(Assessment!$18:$18, _xlpm.col),
  IF(
    _xlpm.y&lt;=OutturnThrough,
    IF(AND(ISNUMBER(_xlpm.v), _xlpm.v&lt;0), _xlpm.v, NA()),
    NA()
  )
)</f>
        <v>#N/A</v>
      </c>
      <c r="K139" s="107" t="e" cm="1">
        <f t="array" ref="K139">_xlfn.LET(
  _xlpm.y, INDEX('Chart data'!$2:$2, COLUMN()),
  _xlpm.col, _xlfn.XMATCH(_xlpm.y, Assessment!$4:$4, 0),
  _xlpm.v, INDEX(Assessment!$18:$18, _xlpm.col),
  IF(
    _xlpm.y&lt;=OutturnThrough,
    IF(AND(ISNUMBER(_xlpm.v), _xlpm.v&lt;0), _xlpm.v, NA()),
    NA()
  )
)</f>
        <v>#N/A</v>
      </c>
      <c r="L139" s="107" t="e" cm="1">
        <f t="array" ref="L139">_xlfn.LET(
  _xlpm.y, INDEX('Chart data'!$2:$2, COLUMN()),
  _xlpm.col, _xlfn.XMATCH(_xlpm.y, Assessment!$4:$4, 0),
  _xlpm.v, INDEX(Assessment!$18:$18, _xlpm.col),
  IF(
    _xlpm.y&lt;=OutturnThrough,
    IF(AND(ISNUMBER(_xlpm.v), _xlpm.v&lt;0), _xlpm.v, NA()),
    NA()
  )
)</f>
        <v>#N/A</v>
      </c>
      <c r="M139" s="107" t="e" cm="1">
        <f t="array" ref="M139">_xlfn.LET(
  _xlpm.y, INDEX('Chart data'!$2:$2, COLUMN()),
  _xlpm.col, _xlfn.XMATCH(_xlpm.y, Assessment!$4:$4, 0),
  _xlpm.v, INDEX(Assessment!$18:$18, _xlpm.col),
  IF(
    _xlpm.y&lt;=OutturnThrough,
    IF(AND(ISNUMBER(_xlpm.v), _xlpm.v&lt;0), _xlpm.v, NA()),
    NA()
  )
)</f>
        <v>#N/A</v>
      </c>
      <c r="N139" s="107" t="e" cm="1">
        <f t="array" ref="N139">_xlfn.LET(
  _xlpm.y, INDEX('Chart data'!$2:$2, COLUMN()),
  _xlpm.col, _xlfn.XMATCH(_xlpm.y, Assessment!$4:$4, 0),
  _xlpm.v, INDEX(Assessment!$18:$18, _xlpm.col),
  IF(
    _xlpm.y&lt;=OutturnThrough,
    IF(AND(ISNUMBER(_xlpm.v), _xlpm.v&lt;0), _xlpm.v, NA()),
    NA()
  )
)</f>
        <v>#N/A</v>
      </c>
      <c r="O139" s="107" t="e" cm="1">
        <f t="array" ref="O139">_xlfn.LET(
  _xlpm.y, INDEX('Chart data'!$2:$2, COLUMN()),
  _xlpm.col, _xlfn.XMATCH(_xlpm.y, Assessment!$4:$4, 0),
  _xlpm.v, INDEX(Assessment!$18:$18, _xlpm.col),
  IF(
    _xlpm.y&lt;=OutturnThrough,
    IF(AND(ISNUMBER(_xlpm.v), _xlpm.v&lt;0), _xlpm.v, NA()),
    NA()
  )
)</f>
        <v>#N/A</v>
      </c>
      <c r="P139" s="107" t="e" cm="1">
        <f t="array" ref="P139">_xlfn.LET(
  _xlpm.y, INDEX('Chart data'!$2:$2, COLUMN()),
  _xlpm.col, _xlfn.XMATCH(_xlpm.y, Assessment!$4:$4, 0),
  _xlpm.v, INDEX(Assessment!$18:$18, _xlpm.col),
  IF(
    _xlpm.y&lt;=OutturnThrough,
    IF(AND(ISNUMBER(_xlpm.v), _xlpm.v&lt;0), _xlpm.v, NA()),
    NA()
  )
)</f>
        <v>#N/A</v>
      </c>
      <c r="Q139" s="107" t="e" cm="1">
        <f t="array" ref="Q139">_xlfn.LET(
  _xlpm.y, INDEX('Chart data'!$2:$2, COLUMN()),
  _xlpm.col, _xlfn.XMATCH(_xlpm.y, Assessment!$4:$4, 0),
  _xlpm.v, INDEX(Assessment!$18:$18, _xlpm.col),
  IF(
    _xlpm.y&lt;=OutturnThrough,
    IF(AND(ISNUMBER(_xlpm.v), _xlpm.v&lt;0), _xlpm.v, NA()),
    NA()
  )
)</f>
        <v>#N/A</v>
      </c>
      <c r="R139" s="107" t="e" cm="1">
        <f t="array" ref="R139">_xlfn.LET(
  _xlpm.y, INDEX('Chart data'!$2:$2, COLUMN()),
  _xlpm.col, _xlfn.XMATCH(_xlpm.y, Assessment!$4:$4, 0),
  _xlpm.v, INDEX(Assessment!$18:$18, _xlpm.col),
  IF(
    _xlpm.y&lt;=OutturnThrough,
    IF(AND(ISNUMBER(_xlpm.v), _xlpm.v&lt;0), _xlpm.v, NA()),
    NA()
  )
)</f>
        <v>#N/A</v>
      </c>
      <c r="S139" s="107" t="e" cm="1">
        <f t="array" ref="S139">_xlfn.LET(
  _xlpm.y, INDEX('Chart data'!$2:$2, COLUMN()),
  _xlpm.col, _xlfn.XMATCH(_xlpm.y, Assessment!$4:$4, 0),
  _xlpm.v, INDEX(Assessment!$18:$18, _xlpm.col),
  IF(
    _xlpm.y&lt;=OutturnThrough,
    IF(AND(ISNUMBER(_xlpm.v), _xlpm.v&lt;0), _xlpm.v, NA()),
    NA()
  )
)</f>
        <v>#N/A</v>
      </c>
      <c r="T139" s="107" t="e" cm="1">
        <f t="array" ref="T139">_xlfn.LET(
  _xlpm.y, INDEX('Chart data'!$2:$2, COLUMN()),
  _xlpm.col, _xlfn.XMATCH(_xlpm.y, Assessment!$4:$4, 0),
  _xlpm.v, INDEX(Assessment!$18:$18, _xlpm.col),
  IF(
    _xlpm.y&lt;=OutturnThrough,
    IF(AND(ISNUMBER(_xlpm.v), _xlpm.v&lt;0), _xlpm.v, NA()),
    NA()
  )
)</f>
        <v>#N/A</v>
      </c>
      <c r="U139" s="107" t="e" cm="1">
        <f t="array" ref="U139">_xlfn.LET(
  _xlpm.y, INDEX('Chart data'!$2:$2, COLUMN()),
  _xlpm.col, _xlfn.XMATCH(_xlpm.y, Assessment!$4:$4, 0),
  _xlpm.v, INDEX(Assessment!$18:$18, _xlpm.col),
  IF(
    _xlpm.y&lt;=OutturnThrough,
    IF(AND(ISNUMBER(_xlpm.v), _xlpm.v&lt;0), _xlpm.v, NA()),
    NA()
  )
)</f>
        <v>#N/A</v>
      </c>
      <c r="V139" s="107" t="e" cm="1">
        <f t="array" ref="V139">_xlfn.LET(
  _xlpm.y, INDEX('Chart data'!$2:$2, COLUMN()),
  _xlpm.col, _xlfn.XMATCH(_xlpm.y, Assessment!$4:$4, 0),
  _xlpm.v, INDEX(Assessment!$18:$18, _xlpm.col),
  IF(
    _xlpm.y&lt;=OutturnThrough,
    IF(AND(ISNUMBER(_xlpm.v), _xlpm.v&lt;0), _xlpm.v, NA()),
    NA()
  )
)</f>
        <v>#N/A</v>
      </c>
      <c r="W139" s="107"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707</v>
      </c>
      <c r="F140" s="107"/>
      <c r="G140" s="107">
        <v>-1</v>
      </c>
      <c r="H140" s="107">
        <v>-1</v>
      </c>
      <c r="I140" s="107">
        <v>-1</v>
      </c>
      <c r="J140" s="107">
        <v>-1</v>
      </c>
      <c r="K140" s="107">
        <v>-1</v>
      </c>
      <c r="L140" s="107">
        <v>-1</v>
      </c>
      <c r="M140" s="107">
        <v>-1</v>
      </c>
      <c r="N140" s="107">
        <v>-1</v>
      </c>
      <c r="O140" s="107">
        <v>-1</v>
      </c>
      <c r="P140" s="107">
        <v>-1</v>
      </c>
      <c r="Q140" s="107">
        <v>-1</v>
      </c>
      <c r="R140" s="107">
        <v>-1</v>
      </c>
      <c r="S140" s="107">
        <v>-1</v>
      </c>
      <c r="T140" s="107">
        <v>-1</v>
      </c>
      <c r="U140" s="107">
        <v>-1</v>
      </c>
      <c r="V140" s="107">
        <v>-1</v>
      </c>
      <c r="W140" s="107">
        <v>-1</v>
      </c>
    </row>
    <row r="141" spans="2:23" x14ac:dyDescent="0.4">
      <c r="C141" s="111" t="s">
        <v>573</v>
      </c>
      <c r="D141" s="4">
        <f>IF(_xlfn.AGGREGATE(5,6,F134:W139)&lt;0, _xlfn.AGGREGATE(5,6,F134:W139), 0)</f>
        <v>-1.5</v>
      </c>
      <c r="F141" s="65"/>
      <c r="G141" s="65"/>
      <c r="H141" s="65"/>
      <c r="I141" s="65"/>
      <c r="J141" s="65"/>
      <c r="K141" s="65"/>
      <c r="L141" s="65"/>
      <c r="M141" s="65"/>
      <c r="N141" s="65"/>
      <c r="O141" s="65"/>
      <c r="P141" s="65"/>
      <c r="Q141" s="65"/>
      <c r="R141" s="65"/>
      <c r="S141" s="65"/>
      <c r="T141" s="65"/>
      <c r="U141" s="65"/>
      <c r="V141" s="65"/>
      <c r="W141" s="65"/>
    </row>
    <row r="142" spans="2:23" x14ac:dyDescent="0.4">
      <c r="C142" s="111" t="s">
        <v>574</v>
      </c>
      <c r="D142" s="4">
        <f>_xlfn.AGGREGATE(4,6,F134:W139)</f>
        <v>0.48633999999999999</v>
      </c>
    </row>
    <row r="143" spans="2:23" ht="13.5" customHeight="1" x14ac:dyDescent="0.4"/>
    <row r="144" spans="2:23" ht="13.5" customHeight="1" x14ac:dyDescent="0.6">
      <c r="B144" s="111" t="s">
        <v>588</v>
      </c>
      <c r="C144" s="12" t="s">
        <v>587</v>
      </c>
    </row>
    <row r="145" spans="3:23" ht="13.5" customHeight="1" x14ac:dyDescent="0.4">
      <c r="C145" t="s">
        <v>577</v>
      </c>
      <c r="F145" s="65" t="e">
        <f>IF(ISNUMBER(Assessment!E35),Assessment!E35+('Step 3 (MTP) - Plan and prior'!E28/'Step 3 (MTP) - Plan and prior'!E29),NA())</f>
        <v>#DIV/0!</v>
      </c>
      <c r="G145" s="65" t="e">
        <f>IF(ISNUMBER(Assessment!F35),Assessment!F35+('Step 3 (MTP) - Plan and prior'!F28/'Step 3 (MTP) - Plan and prior'!F29),NA())</f>
        <v>#DIV/0!</v>
      </c>
      <c r="H145" s="65" t="e">
        <f>IF(ISNUMBER(Assessment!G35),Assessment!G35+('Step 3 (MTP) - Plan and prior'!G28/'Step 3 (MTP) - Plan and prior'!G29),NA())</f>
        <v>#DIV/0!</v>
      </c>
      <c r="I145" s="65" t="e">
        <f>IF(ISNUMBER(Assessment!H35),Assessment!H35+('Step 3 (MTP) - Plan and prior'!H28/'Step 3 (MTP) - Plan and prior'!H29),NA())</f>
        <v>#DIV/0!</v>
      </c>
      <c r="J145" s="65" t="e">
        <f>IF(ISNUMBER(Assessment!I35),Assessment!I35+('Step 3 (MTP) - Plan and prior'!I28/'Step 3 (MTP) - Plan and prior'!I29),NA())</f>
        <v>#DIV/0!</v>
      </c>
      <c r="K145" s="65" t="e">
        <f>IF(ISNUMBER(Assessment!J35),Assessment!J35+('Step 3 (MTP) - Plan and prior'!J28/'Step 3 (MTP) - Plan and prior'!J29),NA())</f>
        <v>#N/A</v>
      </c>
      <c r="L145" s="65" t="e">
        <f>IF(ISNUMBER(Assessment!K35),Assessment!K35+('Step 3 (MTP) - Plan and prior'!K28/'Step 3 (MTP) - Plan and prior'!K29),NA())</f>
        <v>#N/A</v>
      </c>
      <c r="M145" s="65" t="e">
        <f>IF(ISNUMBER(Assessment!L35),Assessment!L35+('Step 3 (MTP) - Plan and prior'!L28/'Step 3 (MTP) - Plan and prior'!L29),NA())</f>
        <v>#N/A</v>
      </c>
      <c r="N145" s="65" t="e">
        <f>IF(ISNUMBER(Assessment!M35),Assessment!M35+('Step 3 (MTP) - Plan and prior'!M28/'Step 3 (MTP) - Plan and prior'!M29),NA())</f>
        <v>#N/A</v>
      </c>
      <c r="O145" s="65" t="e">
        <f>IF(ISNUMBER(Assessment!N35),Assessment!N35+('Step 3 (MTP) - Plan and prior'!N28/'Step 3 (MTP) - Plan and prior'!N29),NA())</f>
        <v>#N/A</v>
      </c>
      <c r="P145" s="65" t="e">
        <f>IF(ISNUMBER(Assessment!O35),Assessment!O35+('Step 3 (MTP) - Plan and prior'!O28/'Step 3 (MTP) - Plan and prior'!O29),NA())</f>
        <v>#N/A</v>
      </c>
      <c r="Q145" s="65" t="e">
        <f>IF(ISNUMBER(Assessment!P35),Assessment!P35+('Step 3 (MTP) - Plan and prior'!P28/'Step 3 (MTP) - Plan and prior'!P29),NA())</f>
        <v>#N/A</v>
      </c>
      <c r="R145" s="65" t="e">
        <f>IF(ISNUMBER(Assessment!Q35),Assessment!Q35+('Step 3 (MTP) - Plan and prior'!Q28/'Step 3 (MTP) - Plan and prior'!Q29),NA())</f>
        <v>#N/A</v>
      </c>
      <c r="S145" s="65" t="e">
        <f>IF(ISNUMBER(Assessment!R35),Assessment!R35+('Step 3 (MTP) - Plan and prior'!#REF!/'Step 3 (MTP) - Plan and prior'!R29),NA())</f>
        <v>#N/A</v>
      </c>
      <c r="T145" s="65" t="e">
        <f>IF(ISNUMBER(Assessment!S35),Assessment!S35+('Step 3 (MTP) - Plan and prior'!#REF!/'Step 3 (MTP) - Plan and prior'!S29),NA())</f>
        <v>#N/A</v>
      </c>
      <c r="U145" s="107" t="e">
        <f>IF(ISNUMBER(Assessment!T35),Assessment!T35+('Step 3 (MTP) - Plan and prior'!T28/'Step 3 (MTP) - Plan and prior'!T29),NA())</f>
        <v>#N/A</v>
      </c>
      <c r="V145" s="107" t="e">
        <f>IF(ISNUMBER(Assessment!U35),Assessment!U35+('Step 3 (MTP) - Plan and prior'!U28/'Step 3 (MTP) - Plan and prior'!U29),NA())</f>
        <v>#N/A</v>
      </c>
      <c r="W145" s="107" t="e">
        <f>IF(ISNUMBER(Assessment!V35),Assessment!V35+('Step 3 (MTP) - Plan and prior'!V28/'Step 3 (MTP) - Plan and prior'!V29),NA())</f>
        <v>#N/A</v>
      </c>
    </row>
    <row r="146" spans="3:23" ht="13.5" customHeight="1" x14ac:dyDescent="0.4">
      <c r="C146" t="s">
        <v>578</v>
      </c>
      <c r="F146" s="65" t="e">
        <f>IF(OR(ISNUMBER(F149),ISNUMBER(F150)),NA(),IF(ISNUMBER(Assessment!E17),Assessment!E17+(Assessment!E7/Assessment!E27*100),NA()))</f>
        <v>#N/A</v>
      </c>
      <c r="G146" s="65" t="e">
        <f>IF(OR(ISNUMBER(G149),ISNUMBER(G150)),NA(),IF(ISNUMBER(Assessment!F17),Assessment!F17+(Assessment!F7/Assessment!F27*100),NA()))</f>
        <v>#N/A</v>
      </c>
      <c r="H146" s="65">
        <f>IF(OR(ISNUMBER(H149),ISNUMBER(H150)),NA(),IF(ISNUMBER(Assessment!G17),Assessment!G17+(Assessment!G7/Assessment!G27*100),NA()))</f>
        <v>3.2</v>
      </c>
      <c r="I146" s="65" t="e">
        <f>IF(OR(ISNUMBER(I149),ISNUMBER(I150)),NA(),IF(ISNUMBER(Assessment!H17),Assessment!H17+(Assessment!H7/Assessment!H27*100),NA()))</f>
        <v>#N/A</v>
      </c>
      <c r="J146" s="65" t="e">
        <f>IF(OR(ISNUMBER(J149),ISNUMBER(J150)),NA(),IF(ISNUMBER(Assessment!I17),Assessment!I17+(Assessment!I7/Assessment!I27*100),NA()))</f>
        <v>#N/A</v>
      </c>
      <c r="K146" s="65" t="e">
        <f>IF(OR(ISNUMBER(K149),ISNUMBER(K150)),NA(),IF(ISNUMBER(Assessment!J17),Assessment!J17+(Assessment!J7/Assessment!J27*100),NA()))</f>
        <v>#N/A</v>
      </c>
      <c r="L146" s="65" t="e">
        <f>IF(OR(ISNUMBER(L149),ISNUMBER(L150)),NA(),IF(ISNUMBER(Assessment!K17),Assessment!K17+(Assessment!K7/Assessment!K27*100),NA()))</f>
        <v>#N/A</v>
      </c>
      <c r="M146" s="65" t="e">
        <f>IF(OR(ISNUMBER(M149),ISNUMBER(M150)),NA(),IF(ISNUMBER(Assessment!L17),Assessment!L17+(Assessment!L7/Assessment!L27*100),NA()))</f>
        <v>#N/A</v>
      </c>
      <c r="N146" s="65" t="e">
        <f>IF(OR(ISNUMBER(N149),ISNUMBER(N150)),NA(),IF(ISNUMBER(Assessment!M17),Assessment!M17+(Assessment!M7/Assessment!M27*100),NA()))</f>
        <v>#N/A</v>
      </c>
      <c r="O146" s="65" t="e">
        <f>IF(OR(ISNUMBER(O149),ISNUMBER(O150)),NA(),IF(ISNUMBER(Assessment!N17),Assessment!N17+(Assessment!N7/Assessment!N27*100),NA()))</f>
        <v>#N/A</v>
      </c>
      <c r="P146" s="65" t="e">
        <f>IF(OR(ISNUMBER(P149),ISNUMBER(P150)),NA(),IF(ISNUMBER(Assessment!O17),Assessment!O17+(Assessment!O7/Assessment!O27*100),NA()))</f>
        <v>#N/A</v>
      </c>
      <c r="Q146" s="65" t="e">
        <f>IF(OR(ISNUMBER(Q149),ISNUMBER(Q150)),NA(),IF(ISNUMBER(Assessment!P17),Assessment!P17+(Assessment!P7/Assessment!P27*100),NA()))</f>
        <v>#N/A</v>
      </c>
      <c r="R146" s="65" t="e">
        <f>IF(OR(ISNUMBER(R149),ISNUMBER(R150)),NA(),IF(ISNUMBER(Assessment!Q17),Assessment!Q17+(Assessment!Q7/Assessment!Q27*100),NA()))</f>
        <v>#N/A</v>
      </c>
      <c r="S146" s="65" t="e">
        <f>IF(OR(ISNUMBER(S149),ISNUMBER(S150)),NA(),IF(ISNUMBER(Assessment!R17),Assessment!R17+(Assessment!R7/Assessment!R27*100),NA()))</f>
        <v>#N/A</v>
      </c>
      <c r="T146" s="65" t="e">
        <f>IF(OR(ISNUMBER(T149),ISNUMBER(T150)),NA(),IF(ISNUMBER(Assessment!S17),Assessment!S17+(Assessment!S7/Assessment!S27*100),NA()))</f>
        <v>#N/A</v>
      </c>
      <c r="U146" s="107" t="e">
        <f>IF(OR(ISNUMBER(U149),ISNUMBER(U150)),NA(),IF(ISNUMBER(Assessment!T17),Assessment!T17+(Assessment!T7/Assessment!T27*100),NA()))</f>
        <v>#N/A</v>
      </c>
      <c r="V146" s="107" t="e">
        <f>IF(OR(ISNUMBER(V149),ISNUMBER(V150)),NA(),IF(ISNUMBER(Assessment!U17),Assessment!U17+(Assessment!U7/Assessment!U27*100),NA()))</f>
        <v>#N/A</v>
      </c>
      <c r="W146" s="107" t="e">
        <f>IF(OR(ISNUMBER(W149),ISNUMBER(W150)),NA(),IF(ISNUMBER(Assessment!V17),Assessment!V17+(Assessment!V7/Assessment!V27*100),NA()))</f>
        <v>#N/A</v>
      </c>
    </row>
    <row r="147" spans="3:23" ht="13.5" customHeight="1" x14ac:dyDescent="0.4">
      <c r="C147" t="s">
        <v>296</v>
      </c>
      <c r="F147" s="3"/>
      <c r="G147" s="3"/>
      <c r="H147" s="3"/>
      <c r="I147" s="3"/>
      <c r="J147" s="3"/>
      <c r="K147" s="3"/>
      <c r="L147" s="3"/>
      <c r="M147" s="3"/>
      <c r="N147" s="3"/>
      <c r="O147" s="3"/>
      <c r="P147" s="3"/>
      <c r="Q147" s="3"/>
      <c r="R147" s="3"/>
      <c r="S147" s="3"/>
      <c r="T147" s="3"/>
      <c r="U147" s="3"/>
      <c r="V147" s="3"/>
      <c r="W147" s="3"/>
    </row>
    <row r="148" spans="3:23" ht="13.5" customHeight="1" x14ac:dyDescent="0.4">
      <c r="C148" t="s">
        <v>297</v>
      </c>
      <c r="F148" s="3"/>
      <c r="G148" s="3"/>
      <c r="H148" s="3"/>
      <c r="I148" s="3"/>
      <c r="J148" s="3"/>
      <c r="K148" s="3"/>
      <c r="L148" s="3"/>
      <c r="M148" s="3"/>
      <c r="N148" s="3"/>
      <c r="O148" s="3"/>
      <c r="P148" s="3"/>
      <c r="Q148" s="3"/>
      <c r="R148" s="3"/>
      <c r="S148" s="3"/>
      <c r="T148" s="3"/>
      <c r="U148" s="3"/>
      <c r="V148" s="3"/>
      <c r="W148" s="3"/>
    </row>
    <row r="149" spans="3:23" ht="13.5" customHeight="1" x14ac:dyDescent="0.4">
      <c r="C149" t="s">
        <v>298</v>
      </c>
      <c r="F149" s="107" cm="1">
        <f t="array" ref="F149">_xlfn.LET(
  _xlpm.y, INDEX('Chart data'!$2:$2, COLUMN()),
  _xlpm.col, _xlfn.XMATCH(_xlpm.y, Assessment!$4:$4, 0),
  _xlpm.gdp, INDEX(Assessment!$27:$27, _xlpm.col),
  _xlpm.v, INDEX(Assessment!$17:$17, _xlpm.col)
     + INDEX(Assessment!$7:$7, _xlpm.col) * 100 / _xlpm.gdp,
  IF(
    _xlpm.y&lt;=OutturnThrough,
    IF(AND(ISNUMBER(_xlpm.v), _xlpm.v&gt;=0), _xlpm.v, NA()),
    NA()
  )
)</f>
        <v>4.8214044336307111</v>
      </c>
      <c r="G149" s="107" cm="1">
        <f t="array" ref="G149">_xlfn.LET(
  _xlpm.y, INDEX('Chart data'!$2:$2, COLUMN()),
  _xlpm.col, _xlfn.XMATCH(_xlpm.y, Assessment!$4:$4, 0),
  _xlpm.gdp, INDEX(Assessment!$27:$27, _xlpm.col),
  _xlpm.v, INDEX(Assessment!$17:$17, _xlpm.col)
     + INDEX(Assessment!$7:$7, _xlpm.col) * 100 / _xlpm.gdp,
  IF(
    _xlpm.y&lt;=OutturnThrough,
    IF(AND(ISNUMBER(_xlpm.v), _xlpm.v&gt;=0), _xlpm.v, NA()),
    NA()
  )
)</f>
        <v>4.8845658429892529</v>
      </c>
      <c r="H149" s="107" t="e" cm="1">
        <f t="array" ref="H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I149" s="107" t="e" cm="1">
        <f t="array" ref="I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J149" s="107" t="e" cm="1">
        <f t="array" ref="J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K149" s="107" t="e" cm="1">
        <f t="array" ref="K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L149" s="107" t="e" cm="1">
        <f t="array" ref="L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M149" s="107" t="e" cm="1">
        <f t="array" ref="M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N149" s="107" t="e" cm="1">
        <f t="array" ref="N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O149" s="107" t="e" cm="1">
        <f t="array" ref="O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P149" s="107" t="e" cm="1">
        <f t="array" ref="P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Q149" s="107" t="e" cm="1">
        <f t="array" ref="Q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R149" s="107" t="e" cm="1">
        <f t="array" ref="R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S149" s="107" t="e" cm="1">
        <f t="array" ref="S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T149" s="107" t="e" cm="1">
        <f t="array" ref="T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U149" s="107" cm="1">
        <f t="array" ref="U149">_xlfn.LET(
  _xlpm.y, INDEX('Chart data'!$2:$2, COLUMN()),
  _xlpm.col, _xlfn.XMATCH(_xlpm.y, Assessment!$4:$4, 0),
  _xlpm.v, INDEX(Assessment!$17:$17, _xlpm.col)
     + INDEX(Assessment!$7:$7, _xlpm.col),
  IF(
    _xlpm.y&lt;=OutturnThrough,
    IF(AND(ISNUMBER(_xlpm.v), _xlpm.v&gt;=0), _xlpm.v, NA()),
    NA()
  )
)</f>
        <v>0</v>
      </c>
      <c r="V149" s="107" cm="1">
        <f t="array" ref="V149">_xlfn.LET(
  _xlpm.y, INDEX('Chart data'!$2:$2, COLUMN()),
  _xlpm.col, _xlfn.XMATCH(_xlpm.y, Assessment!$4:$4, 0),
  _xlpm.v, INDEX(Assessment!$17:$17, _xlpm.col)
     + INDEX(Assessment!$7:$7, _xlpm.col),
  IF(
    _xlpm.y&lt;=OutturnThrough,
    IF(AND(ISNUMBER(_xlpm.v), _xlpm.v&gt;=0), _xlpm.v, NA()),
    NA()
  )
)</f>
        <v>0</v>
      </c>
      <c r="W149" s="107" cm="1">
        <f t="array" ref="W149">_xlfn.LET(
  _xlpm.y, INDEX('Chart data'!$2:$2, COLUMN()),
  _xlpm.col, _xlfn.XMATCH(_xlpm.y, Assessment!$4:$4, 0),
  _xlpm.v, INDEX(Assessment!$17:$17, _xlpm.col)
     + INDEX(Assessment!$7:$7, _xlpm.col),
  IF(
    _xlpm.y&lt;=OutturnThrough,
    IF(AND(ISNUMBER(_xlpm.v), _xlpm.v&gt;=0), _xlpm.v, NA()),
    NA()
  )
)</f>
        <v>0</v>
      </c>
    </row>
    <row r="150" spans="3:23" ht="13.5" customHeight="1" x14ac:dyDescent="0.4">
      <c r="C150" t="s">
        <v>299</v>
      </c>
      <c r="F150" s="107" t="e" cm="1">
        <f t="array" ref="F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G150" s="107" t="e" cm="1">
        <f t="array" ref="G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H150" s="107" t="e" cm="1">
        <f t="array" ref="H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I150" s="107" t="e" cm="1">
        <f t="array" ref="I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J150" s="107" t="e" cm="1">
        <f t="array" ref="J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K150" s="107" t="e" cm="1">
        <f t="array" ref="K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L150" s="107" t="e" cm="1">
        <f t="array" ref="L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M150" s="107" t="e" cm="1">
        <f t="array" ref="M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N150" s="107" t="e" cm="1">
        <f t="array" ref="N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O150" s="107" t="e" cm="1">
        <f t="array" ref="O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P150" s="107" t="e" cm="1">
        <f t="array" ref="P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Q150" s="107" t="e" cm="1">
        <f t="array" ref="Q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R150" s="107" t="e" cm="1">
        <f t="array" ref="R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S150" s="107" t="e" cm="1">
        <f t="array" ref="S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T150" s="107" t="e" cm="1">
        <f t="array" ref="T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U150" s="107" t="e" cm="1">
        <f t="array" ref="U150">_xlfn.LET(
  _xlpm.y, INDEX('Chart data'!$2:$2, COLUMN()),
  _xlpm.col, _xlfn.XMATCH(_xlpm.y, Assessment!$4:$4, 0),
  _xlpm.v, INDEX(Assessment!$17:$17, _xlpm.col)
     + INDEX(Assessment!$7:$7, _xlpm.col),
  IF(
    _xlpm.y&lt;=OutturnThrough,
    IF(AND(ISNUMBER(_xlpm.v), _xlpm.v&lt;0), _xlpm.v, NA()),
    NA()
  )
)</f>
        <v>#N/A</v>
      </c>
      <c r="V150" s="107" t="e" cm="1">
        <f t="array" ref="V150">_xlfn.LET(
  _xlpm.y, INDEX('Chart data'!$2:$2, COLUMN()),
  _xlpm.col, _xlfn.XMATCH(_xlpm.y, Assessment!$4:$4, 0),
  _xlpm.v, INDEX(Assessment!$17:$17, _xlpm.col)
     + INDEX(Assessment!$7:$7, _xlpm.col),
  IF(
    _xlpm.y&lt;=OutturnThrough,
    IF(AND(ISNUMBER(_xlpm.v), _xlpm.v&lt;0), _xlpm.v, NA()),
    NA()
  )
)</f>
        <v>#N/A</v>
      </c>
      <c r="W150" s="107" t="e" cm="1">
        <f t="array" ref="W150">_xlfn.LET(
  _xlpm.y, INDEX('Chart data'!$2:$2, COLUMN()),
  _xlpm.col, _xlfn.XMATCH(_xlpm.y, Assessment!$4:$4, 0),
  _xlpm.v, INDEX(Assessment!$17:$17, _xlpm.col)
     + INDEX(Assessment!$7:$7, _xlpm.col),
  IF(
    _xlpm.y&lt;=OutturnThrough,
    IF(AND(ISNUMBER(_xlpm.v), _xlpm.v&lt;0), _xlpm.v, NA()),
    NA()
  )
)</f>
        <v>#N/A</v>
      </c>
    </row>
    <row r="151" spans="3:23" x14ac:dyDescent="0.4">
      <c r="C151" s="111" t="s">
        <v>573</v>
      </c>
      <c r="D151" s="4">
        <f>IF(_xlfn.AGGREGATE(5,6,F145:W150)&lt;0, _xlfn.AGGREGATE(5,6,F145:W150), 0)</f>
        <v>0</v>
      </c>
      <c r="F151" s="65"/>
      <c r="G151" s="65"/>
      <c r="H151" s="65"/>
      <c r="I151" s="65"/>
      <c r="J151" s="65"/>
      <c r="K151" s="65"/>
      <c r="L151" s="65"/>
      <c r="M151" s="65"/>
      <c r="N151" s="65"/>
      <c r="O151" s="65"/>
      <c r="P151" s="65"/>
      <c r="Q151" s="65"/>
      <c r="R151" s="65"/>
      <c r="S151" s="65"/>
      <c r="T151" s="65"/>
      <c r="U151" s="65"/>
      <c r="V151" s="65"/>
      <c r="W151" s="65"/>
    </row>
    <row r="152" spans="3:23" x14ac:dyDescent="0.4">
      <c r="C152" s="111" t="s">
        <v>574</v>
      </c>
      <c r="D152" s="4">
        <f>_xlfn.AGGREGATE(4,6,F145:W150)</f>
        <v>4.8845658429892529</v>
      </c>
    </row>
    <row r="153" spans="3:23" ht="13.5" customHeight="1" x14ac:dyDescent="0.4"/>
    <row r="154" spans="3:23" ht="13.5" customHeight="1" x14ac:dyDescent="0.4"/>
    <row r="155" spans="3:23" ht="13.5" customHeight="1" x14ac:dyDescent="0.4"/>
    <row r="156" spans="3:23" ht="13.5" customHeight="1" x14ac:dyDescent="0.4"/>
    <row r="157" spans="3:23" ht="13.5" customHeight="1" x14ac:dyDescent="0.4"/>
    <row r="158" spans="3:23" ht="13.5" customHeight="1" x14ac:dyDescent="0.4"/>
    <row r="159" spans="3:23" ht="13.5" customHeight="1" x14ac:dyDescent="0.4"/>
    <row r="160" spans="3:23"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row r="336" ht="13.5" customHeight="1" x14ac:dyDescent="0.4"/>
    <row r="337" ht="13.5" customHeight="1" x14ac:dyDescent="0.4"/>
    <row r="338" ht="13.5" customHeight="1" x14ac:dyDescent="0.4"/>
    <row r="339" ht="13.5" customHeight="1" x14ac:dyDescent="0.4"/>
    <row r="340" ht="13.5" customHeight="1" x14ac:dyDescent="0.4"/>
    <row r="341" ht="13.5" customHeight="1" x14ac:dyDescent="0.4"/>
    <row r="342" ht="13.5" customHeight="1" x14ac:dyDescent="0.4"/>
    <row r="343" ht="13.5" customHeight="1" x14ac:dyDescent="0.4"/>
    <row r="344" ht="13.5" customHeight="1" x14ac:dyDescent="0.4"/>
    <row r="345" ht="13.5" customHeight="1" x14ac:dyDescent="0.4"/>
    <row r="346" ht="13.5" customHeight="1" x14ac:dyDescent="0.4"/>
  </sheetData>
  <conditionalFormatting sqref="E2:Z2">
    <cfRule type="expression" dxfId="3" priority="6">
      <formula>ISNUMBER(E2)</formula>
    </cfRule>
  </conditionalFormatting>
  <conditionalFormatting sqref="U3:U150">
    <cfRule type="expression" dxfId="2" priority="3">
      <formula>NOT(ISNUMBER(U$2))</formula>
    </cfRule>
  </conditionalFormatting>
  <conditionalFormatting sqref="V3:W14 V16:W144 V15:X15 V147:W150">
    <cfRule type="expression" dxfId="1" priority="2">
      <formula>NOT(ISNUMBER(V$2))</formula>
    </cfRule>
  </conditionalFormatting>
  <conditionalFormatting sqref="V145:W146">
    <cfRule type="expression" dxfId="0" priority="1">
      <formula>NOT(ISNUMBER(V$2))</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5"/>
  <sheetViews>
    <sheetView showGridLines="0" zoomScaleNormal="100" workbookViewId="0"/>
  </sheetViews>
  <sheetFormatPr defaultRowHeight="13.15" x14ac:dyDescent="0.4"/>
  <cols>
    <col min="1" max="1" width="9.140625" style="15"/>
    <col min="2" max="2" width="13.7109375" style="15" bestFit="1" customWidth="1"/>
    <col min="3" max="3" width="14.5703125" style="15" bestFit="1" customWidth="1"/>
    <col min="4" max="4" width="6.28515625" style="15" bestFit="1" customWidth="1"/>
    <col min="5" max="5" width="10" style="15" bestFit="1" customWidth="1"/>
    <col min="6" max="6" width="7.140625" style="15" bestFit="1" customWidth="1"/>
    <col min="7" max="7" width="16.42578125" style="15" bestFit="1" customWidth="1"/>
    <col min="8" max="8" width="11.42578125" style="15" bestFit="1" customWidth="1"/>
    <col min="9" max="9" width="15.5703125" style="15" bestFit="1" customWidth="1"/>
    <col min="10" max="10" width="17.7109375" style="15" bestFit="1" customWidth="1"/>
    <col min="11" max="11" width="12.140625" style="15" bestFit="1" customWidth="1"/>
    <col min="12" max="12" width="18.7109375" style="15" bestFit="1" customWidth="1"/>
    <col min="13" max="13" width="62.85546875" style="15" customWidth="1"/>
    <col min="14" max="15" width="9.140625" style="15"/>
    <col min="16" max="16" width="42.5703125" style="15" bestFit="1" customWidth="1"/>
    <col min="17" max="17" width="11.140625" style="15" bestFit="1" customWidth="1"/>
    <col min="18" max="18" width="9.140625" style="15"/>
    <col min="19" max="19" width="31.28515625" style="15" bestFit="1" customWidth="1"/>
    <col min="20" max="16384" width="9.140625" style="15"/>
  </cols>
  <sheetData>
    <row r="1" spans="1:22" ht="31.9" x14ac:dyDescent="1">
      <c r="A1" s="78" t="s">
        <v>14</v>
      </c>
      <c r="B1" s="33"/>
      <c r="P1" s="51" t="s">
        <v>11</v>
      </c>
      <c r="Q1" s="161"/>
      <c r="S1" s="51" t="s">
        <v>303</v>
      </c>
      <c r="T1"/>
    </row>
    <row r="2" spans="1:22" customFormat="1" x14ac:dyDescent="0.4">
      <c r="A2" s="125" t="s">
        <v>291</v>
      </c>
      <c r="B2" s="125" t="s">
        <v>263</v>
      </c>
      <c r="C2" s="125" t="s">
        <v>13</v>
      </c>
      <c r="D2" s="125" t="s">
        <v>21</v>
      </c>
      <c r="E2" s="125" t="s">
        <v>211</v>
      </c>
      <c r="F2" s="125" t="s">
        <v>490</v>
      </c>
      <c r="G2" s="125" t="s">
        <v>253</v>
      </c>
      <c r="H2" s="125" t="s">
        <v>597</v>
      </c>
      <c r="I2" s="125" t="s">
        <v>714</v>
      </c>
      <c r="J2" s="125" t="s">
        <v>647</v>
      </c>
      <c r="K2" s="125" t="s">
        <v>242</v>
      </c>
      <c r="L2" s="125" t="s">
        <v>719</v>
      </c>
      <c r="M2" s="125" t="s">
        <v>450</v>
      </c>
      <c r="N2" s="15"/>
      <c r="P2" t="s">
        <v>252</v>
      </c>
      <c r="Q2" s="162">
        <f>MTP_YearT+MTP_PlanningHorizon</f>
        <v>2028</v>
      </c>
      <c r="R2" s="15"/>
      <c r="S2" t="s">
        <v>313</v>
      </c>
      <c r="T2">
        <v>3.05</v>
      </c>
    </row>
    <row r="3" spans="1:22" x14ac:dyDescent="0.4">
      <c r="A3" s="126">
        <v>2022</v>
      </c>
      <c r="B3" s="126">
        <v>3</v>
      </c>
      <c r="C3" s="126">
        <v>4</v>
      </c>
      <c r="D3" s="19" t="s">
        <v>23</v>
      </c>
      <c r="E3" s="19" t="s">
        <v>29</v>
      </c>
      <c r="F3" s="19" t="b">
        <v>1</v>
      </c>
      <c r="G3" s="5" t="s">
        <v>753</v>
      </c>
      <c r="H3" s="19" t="s">
        <v>598</v>
      </c>
      <c r="I3" s="19" t="s">
        <v>715</v>
      </c>
      <c r="J3" s="5" t="s">
        <v>618</v>
      </c>
      <c r="K3" s="19" t="s">
        <v>216</v>
      </c>
      <c r="L3" s="15" t="s">
        <v>720</v>
      </c>
      <c r="M3" s="19" t="s">
        <v>411</v>
      </c>
      <c r="P3" t="s">
        <v>12</v>
      </c>
      <c r="Q3" s="163" t="str">
        <f>MTP_YearT&amp;"–"&amp;'Step 3 (IMPL) - Enter outlook'!G3</f>
        <v>2024–2026</v>
      </c>
      <c r="S3" t="s">
        <v>314</v>
      </c>
      <c r="T3">
        <v>60.05</v>
      </c>
      <c r="U3"/>
    </row>
    <row r="4" spans="1:22" x14ac:dyDescent="0.4">
      <c r="A4" s="126">
        <v>2023</v>
      </c>
      <c r="B4" s="126">
        <v>4</v>
      </c>
      <c r="C4" s="126">
        <v>7</v>
      </c>
      <c r="D4" s="19" t="s">
        <v>22</v>
      </c>
      <c r="E4" s="19" t="s">
        <v>30</v>
      </c>
      <c r="F4" s="19" t="b">
        <v>0</v>
      </c>
      <c r="G4" s="5" t="s">
        <v>754</v>
      </c>
      <c r="H4" s="19" t="s">
        <v>599</v>
      </c>
      <c r="I4" s="19" t="s">
        <v>751</v>
      </c>
      <c r="J4" s="5" t="s">
        <v>648</v>
      </c>
      <c r="K4" s="19" t="s">
        <v>217</v>
      </c>
      <c r="L4" s="15" t="s">
        <v>721</v>
      </c>
      <c r="M4" s="19" t="s">
        <v>434</v>
      </c>
      <c r="P4" t="s">
        <v>248</v>
      </c>
      <c r="Q4" s="162">
        <f>AdjustmentPeriodEnd+AdjustmentPeriod+1</f>
        <v>2033</v>
      </c>
      <c r="S4" s="158" t="s">
        <v>758</v>
      </c>
      <c r="T4">
        <v>2025</v>
      </c>
      <c r="U4"/>
      <c r="V4"/>
    </row>
    <row r="5" spans="1:22" x14ac:dyDescent="0.4">
      <c r="A5" s="126">
        <v>2024</v>
      </c>
      <c r="B5" s="126">
        <v>5</v>
      </c>
      <c r="C5" s="19"/>
      <c r="D5" s="19" t="s">
        <v>271</v>
      </c>
      <c r="E5" s="19"/>
      <c r="F5" s="19" t="s">
        <v>271</v>
      </c>
      <c r="G5" s="19"/>
      <c r="H5" s="19"/>
      <c r="I5" t="s">
        <v>760</v>
      </c>
      <c r="J5" s="5" t="e">
        <v>#N/A</v>
      </c>
      <c r="K5" s="19" t="s">
        <v>218</v>
      </c>
      <c r="L5" s="15" t="s">
        <v>722</v>
      </c>
      <c r="M5" s="19" t="s">
        <v>435</v>
      </c>
      <c r="P5" t="s">
        <v>265</v>
      </c>
      <c r="Q5" s="162">
        <f>'Step 3 (MTP) - Plan and prior'!C4+AdjustmentPeriod</f>
        <v>2028</v>
      </c>
      <c r="S5" s="158" t="s">
        <v>759</v>
      </c>
      <c r="T5">
        <v>2027</v>
      </c>
      <c r="U5"/>
      <c r="V5"/>
    </row>
    <row r="6" spans="1:22" x14ac:dyDescent="0.4">
      <c r="A6" s="126">
        <v>2025</v>
      </c>
      <c r="B6" s="19"/>
      <c r="C6" s="19"/>
      <c r="D6" s="19"/>
      <c r="E6" s="19"/>
      <c r="F6" s="19"/>
      <c r="G6" s="19"/>
      <c r="H6" s="19"/>
      <c r="I6" s="5" t="e">
        <v>#N/A</v>
      </c>
      <c r="J6" s="19"/>
      <c r="K6" s="19" t="s">
        <v>219</v>
      </c>
      <c r="L6" s="15" t="s">
        <v>723</v>
      </c>
      <c r="M6" s="19" t="s">
        <v>407</v>
      </c>
      <c r="P6" t="s">
        <v>380</v>
      </c>
      <c r="Q6" s="163" t="e">
        <f>IF('Step 1 - Set global parameters'!B21,'Step 1 - Set global parameters'!B22+1,IF('Step 1 - Set global parameters'!B23,'Step 1 - Set global parameters'!B24+1,NA()))</f>
        <v>#N/A</v>
      </c>
      <c r="U6"/>
    </row>
    <row r="7" spans="1:22" x14ac:dyDescent="0.4">
      <c r="A7" s="126">
        <v>2026</v>
      </c>
      <c r="B7" s="19"/>
      <c r="C7" s="19"/>
      <c r="D7" s="19"/>
      <c r="E7" s="19"/>
      <c r="F7" s="19"/>
      <c r="G7" s="19"/>
      <c r="H7" s="19"/>
      <c r="I7" s="19"/>
      <c r="J7" s="19"/>
      <c r="K7" s="19" t="s">
        <v>220</v>
      </c>
      <c r="L7" s="15" t="s">
        <v>724</v>
      </c>
      <c r="M7" s="19" t="s">
        <v>409</v>
      </c>
      <c r="P7" t="s">
        <v>874</v>
      </c>
      <c r="Q7" s="163" t="b">
        <f>NOT(AND(Assessment!C195, Assessment!C199))</f>
        <v>1</v>
      </c>
    </row>
    <row r="8" spans="1:22" x14ac:dyDescent="0.4">
      <c r="A8" s="126">
        <v>2027</v>
      </c>
      <c r="B8" s="19"/>
      <c r="C8" s="19"/>
      <c r="D8" s="19"/>
      <c r="E8" s="19"/>
      <c r="F8" s="19"/>
      <c r="G8" s="19"/>
      <c r="H8" s="19"/>
      <c r="I8" s="19"/>
      <c r="J8" s="19"/>
      <c r="K8" s="19" t="s">
        <v>221</v>
      </c>
      <c r="L8" s="15" t="s">
        <v>725</v>
      </c>
      <c r="M8" s="19" t="s">
        <v>438</v>
      </c>
      <c r="P8" t="s">
        <v>717</v>
      </c>
      <c r="Q8" s="163" t="b">
        <f>OR(INDEX('Step 1 - Set global parameters'!12:12, COLUMN('Step 1 - Set global parameters'!$C$12)):INDEX('Step 1 - Set global parameters'!12:12, COLUMN('Step 1 - Set global parameters'!$C$12) + AdjustmentPeriod + 2))</f>
        <v>1</v>
      </c>
    </row>
    <row r="9" spans="1:22" x14ac:dyDescent="0.4">
      <c r="A9" s="126">
        <v>2028</v>
      </c>
      <c r="B9" s="19"/>
      <c r="C9" s="19"/>
      <c r="D9" s="19"/>
      <c r="E9" s="19"/>
      <c r="F9" s="19"/>
      <c r="G9" s="19"/>
      <c r="H9" s="19"/>
      <c r="I9" s="19"/>
      <c r="J9" s="19"/>
      <c r="K9" s="19" t="s">
        <v>222</v>
      </c>
      <c r="L9" s="15" t="s">
        <v>726</v>
      </c>
      <c r="M9" s="19" t="s">
        <v>436</v>
      </c>
      <c r="P9" t="s">
        <v>747</v>
      </c>
      <c r="Q9" s="163" t="str">
        <f>IF(Country="Select country","",INDEX(Validation!L3:L29,MATCH(Country,Validation!K3:K29,0)))</f>
        <v>EL</v>
      </c>
    </row>
    <row r="10" spans="1:22" x14ac:dyDescent="0.4">
      <c r="A10" s="126">
        <v>2029</v>
      </c>
      <c r="B10" s="19"/>
      <c r="C10" s="19"/>
      <c r="D10" s="19"/>
      <c r="E10" s="19"/>
      <c r="F10" s="19"/>
      <c r="G10" s="19"/>
      <c r="H10" s="19"/>
      <c r="I10" s="19"/>
      <c r="J10" s="19"/>
      <c r="K10" s="5" t="s">
        <v>223</v>
      </c>
      <c r="L10" s="15" t="s">
        <v>727</v>
      </c>
      <c r="M10" s="19" t="s">
        <v>440</v>
      </c>
      <c r="P10" t="s">
        <v>711</v>
      </c>
      <c r="Q10" s="167">
        <f>'Step 3 (MTP) - Plan and prior'!C10</f>
        <v>45473</v>
      </c>
    </row>
    <row r="11" spans="1:22" x14ac:dyDescent="0.4">
      <c r="A11" s="126">
        <v>2030</v>
      </c>
      <c r="B11" s="19"/>
      <c r="C11" s="19"/>
      <c r="D11" s="19"/>
      <c r="E11" s="19"/>
      <c r="F11" s="19"/>
      <c r="G11" s="19"/>
      <c r="H11" s="19"/>
      <c r="I11" s="19"/>
      <c r="J11" s="19"/>
      <c r="K11" s="19" t="s">
        <v>224</v>
      </c>
      <c r="L11" s="15" t="s">
        <v>728</v>
      </c>
      <c r="M11" s="19" t="s">
        <v>445</v>
      </c>
      <c r="P11" t="s">
        <v>828</v>
      </c>
      <c r="Q11" s="161">
        <f>IF(MTP_BaseYearIsTminus2, MTP_YearT-2, MTP_YearT-1)</f>
        <v>2023</v>
      </c>
    </row>
    <row r="12" spans="1:22" x14ac:dyDescent="0.4">
      <c r="A12" s="126">
        <v>2031</v>
      </c>
      <c r="B12" s="19"/>
      <c r="C12" s="19"/>
      <c r="D12" s="19"/>
      <c r="E12" s="19"/>
      <c r="F12" s="19"/>
      <c r="G12" s="19"/>
      <c r="H12" s="19"/>
      <c r="I12" s="19"/>
      <c r="J12" s="19"/>
      <c r="K12" s="19" t="s">
        <v>225</v>
      </c>
      <c r="L12" s="15" t="s">
        <v>729</v>
      </c>
      <c r="M12" s="19" t="s">
        <v>414</v>
      </c>
    </row>
    <row r="13" spans="1:22" x14ac:dyDescent="0.4">
      <c r="A13" s="126">
        <v>2032</v>
      </c>
      <c r="B13" s="19"/>
      <c r="C13" s="19"/>
      <c r="D13" s="19"/>
      <c r="E13" s="19"/>
      <c r="F13" s="19"/>
      <c r="G13" s="19"/>
      <c r="H13" s="19"/>
      <c r="I13" s="19"/>
      <c r="J13" s="19"/>
      <c r="K13" s="19" t="s">
        <v>226</v>
      </c>
      <c r="L13" s="15" t="s">
        <v>730</v>
      </c>
      <c r="M13" s="19" t="s">
        <v>416</v>
      </c>
    </row>
    <row r="14" spans="1:22" x14ac:dyDescent="0.4">
      <c r="A14" s="126">
        <v>2033</v>
      </c>
      <c r="B14" s="19"/>
      <c r="C14" s="19"/>
      <c r="D14" s="19"/>
      <c r="E14" s="19"/>
      <c r="F14" s="19"/>
      <c r="G14" s="19"/>
      <c r="H14" s="19"/>
      <c r="I14" s="19"/>
      <c r="J14" s="19"/>
      <c r="K14" s="19" t="s">
        <v>227</v>
      </c>
      <c r="L14" s="15" t="s">
        <v>731</v>
      </c>
      <c r="M14" s="19" t="s">
        <v>417</v>
      </c>
    </row>
    <row r="15" spans="1:22" x14ac:dyDescent="0.4">
      <c r="A15" s="126">
        <v>2034</v>
      </c>
      <c r="B15" s="19"/>
      <c r="C15" s="19"/>
      <c r="D15" s="19"/>
      <c r="E15" s="19"/>
      <c r="F15" s="19"/>
      <c r="G15" s="19"/>
      <c r="H15" s="19"/>
      <c r="I15" s="19"/>
      <c r="J15" s="19"/>
      <c r="K15" s="19" t="s">
        <v>228</v>
      </c>
      <c r="L15" s="15" t="s">
        <v>732</v>
      </c>
      <c r="M15" s="19" t="s">
        <v>410</v>
      </c>
    </row>
    <row r="16" spans="1:22" x14ac:dyDescent="0.4">
      <c r="A16" s="126">
        <v>2035</v>
      </c>
      <c r="B16" s="19"/>
      <c r="C16" s="19"/>
      <c r="D16" s="19"/>
      <c r="E16" s="19"/>
      <c r="F16" s="19"/>
      <c r="G16" s="19"/>
      <c r="H16" s="19"/>
      <c r="I16" s="19"/>
      <c r="J16" s="19"/>
      <c r="K16" s="19" t="s">
        <v>229</v>
      </c>
      <c r="L16" s="15" t="s">
        <v>733</v>
      </c>
      <c r="M16" s="19" t="s">
        <v>406</v>
      </c>
    </row>
    <row r="17" spans="1:13" x14ac:dyDescent="0.4">
      <c r="A17" s="126">
        <v>2036</v>
      </c>
      <c r="B17" s="19"/>
      <c r="C17" s="19"/>
      <c r="D17" s="19"/>
      <c r="E17" s="19"/>
      <c r="F17" s="19"/>
      <c r="G17" s="19"/>
      <c r="H17" s="19"/>
      <c r="I17" s="19"/>
      <c r="J17" s="19"/>
      <c r="K17" s="19" t="s">
        <v>230</v>
      </c>
      <c r="L17" s="15" t="s">
        <v>734</v>
      </c>
      <c r="M17" s="19" t="s">
        <v>418</v>
      </c>
    </row>
    <row r="18" spans="1:13" x14ac:dyDescent="0.4">
      <c r="A18" s="126">
        <v>2037</v>
      </c>
      <c r="B18" s="19"/>
      <c r="C18" s="19"/>
      <c r="D18" s="19"/>
      <c r="E18" s="19"/>
      <c r="F18" s="19"/>
      <c r="G18" s="19"/>
      <c r="H18" s="19"/>
      <c r="I18" s="19"/>
      <c r="J18" s="19"/>
      <c r="K18" s="19" t="s">
        <v>19</v>
      </c>
      <c r="L18" s="15" t="s">
        <v>735</v>
      </c>
      <c r="M18" s="19" t="s">
        <v>427</v>
      </c>
    </row>
    <row r="19" spans="1:13" x14ac:dyDescent="0.4">
      <c r="A19" s="126">
        <v>2038</v>
      </c>
      <c r="B19" s="19"/>
      <c r="C19" s="19"/>
      <c r="D19" s="19"/>
      <c r="E19" s="19"/>
      <c r="F19" s="19"/>
      <c r="G19" s="19"/>
      <c r="H19" s="19"/>
      <c r="I19" s="19"/>
      <c r="J19" s="19"/>
      <c r="K19" s="19" t="s">
        <v>231</v>
      </c>
      <c r="L19" s="15" t="s">
        <v>736</v>
      </c>
      <c r="M19" s="19" t="s">
        <v>433</v>
      </c>
    </row>
    <row r="20" spans="1:13" x14ac:dyDescent="0.4">
      <c r="A20" s="126">
        <v>2039</v>
      </c>
      <c r="B20" s="19"/>
      <c r="C20" s="19"/>
      <c r="D20" s="19"/>
      <c r="E20" s="19"/>
      <c r="F20" s="19"/>
      <c r="G20" s="19"/>
      <c r="H20" s="19"/>
      <c r="I20" s="19"/>
      <c r="J20" s="19"/>
      <c r="K20" s="19" t="s">
        <v>232</v>
      </c>
      <c r="L20" s="15" t="s">
        <v>737</v>
      </c>
      <c r="M20" s="19" t="s">
        <v>432</v>
      </c>
    </row>
    <row r="21" spans="1:13" x14ac:dyDescent="0.4">
      <c r="A21" s="126">
        <v>2040</v>
      </c>
      <c r="B21" s="19"/>
      <c r="C21" s="19"/>
      <c r="D21" s="19"/>
      <c r="E21" s="19"/>
      <c r="F21" s="19"/>
      <c r="G21" s="19"/>
      <c r="H21" s="19"/>
      <c r="I21" s="19"/>
      <c r="J21" s="19"/>
      <c r="K21" s="19" t="s">
        <v>233</v>
      </c>
      <c r="L21" s="15" t="s">
        <v>738</v>
      </c>
      <c r="M21" s="19" t="s">
        <v>446</v>
      </c>
    </row>
    <row r="22" spans="1:13" x14ac:dyDescent="0.4">
      <c r="A22" s="126">
        <v>2041</v>
      </c>
      <c r="B22" s="19"/>
      <c r="C22" s="19"/>
      <c r="D22" s="19"/>
      <c r="E22" s="19"/>
      <c r="F22" s="19"/>
      <c r="G22" s="19"/>
      <c r="H22" s="19"/>
      <c r="I22" s="19"/>
      <c r="J22" s="19"/>
      <c r="K22" s="19" t="s">
        <v>234</v>
      </c>
      <c r="L22" s="15" t="s">
        <v>739</v>
      </c>
      <c r="M22" s="19" t="s">
        <v>405</v>
      </c>
    </row>
    <row r="23" spans="1:13" x14ac:dyDescent="0.4">
      <c r="A23" s="126">
        <v>2042</v>
      </c>
      <c r="B23" s="19"/>
      <c r="C23" s="19"/>
      <c r="D23" s="19"/>
      <c r="E23" s="19"/>
      <c r="F23" s="19"/>
      <c r="G23" s="19"/>
      <c r="H23" s="19"/>
      <c r="I23" s="19"/>
      <c r="J23" s="19"/>
      <c r="K23" s="19" t="s">
        <v>235</v>
      </c>
      <c r="L23" s="15" t="s">
        <v>740</v>
      </c>
      <c r="M23" s="19" t="s">
        <v>330</v>
      </c>
    </row>
    <row r="24" spans="1:13" x14ac:dyDescent="0.4">
      <c r="A24" s="126">
        <v>2043</v>
      </c>
      <c r="B24" s="19"/>
      <c r="C24" s="19"/>
      <c r="D24" s="19"/>
      <c r="E24" s="19"/>
      <c r="F24" s="19"/>
      <c r="G24" s="19"/>
      <c r="H24" s="19"/>
      <c r="I24" s="19"/>
      <c r="J24" s="19"/>
      <c r="K24" s="19" t="s">
        <v>236</v>
      </c>
      <c r="L24" s="15" t="s">
        <v>741</v>
      </c>
      <c r="M24" s="19" t="s">
        <v>420</v>
      </c>
    </row>
    <row r="25" spans="1:13" x14ac:dyDescent="0.4">
      <c r="A25" s="126">
        <v>2044</v>
      </c>
      <c r="B25" s="19"/>
      <c r="C25" s="19"/>
      <c r="D25" s="19"/>
      <c r="E25" s="19"/>
      <c r="F25" s="19"/>
      <c r="G25" s="19"/>
      <c r="H25" s="19"/>
      <c r="I25" s="19"/>
      <c r="J25" s="19"/>
      <c r="K25" s="19" t="s">
        <v>237</v>
      </c>
      <c r="L25" s="15" t="s">
        <v>742</v>
      </c>
      <c r="M25" s="19" t="s">
        <v>422</v>
      </c>
    </row>
    <row r="26" spans="1:13" x14ac:dyDescent="0.4">
      <c r="A26" s="126">
        <v>2045</v>
      </c>
      <c r="B26" s="19"/>
      <c r="C26" s="19"/>
      <c r="D26" s="19"/>
      <c r="E26" s="19"/>
      <c r="F26" s="19"/>
      <c r="G26" s="19"/>
      <c r="H26" s="19"/>
      <c r="I26" s="19"/>
      <c r="J26" s="19"/>
      <c r="K26" s="19" t="s">
        <v>238</v>
      </c>
      <c r="L26" s="15" t="s">
        <v>743</v>
      </c>
      <c r="M26" s="19" t="s">
        <v>449</v>
      </c>
    </row>
    <row r="27" spans="1:13" x14ac:dyDescent="0.4">
      <c r="A27" s="126">
        <v>2046</v>
      </c>
      <c r="B27" s="19"/>
      <c r="C27" s="19"/>
      <c r="D27" s="19"/>
      <c r="E27" s="19"/>
      <c r="F27" s="19"/>
      <c r="G27" s="19"/>
      <c r="H27" s="19"/>
      <c r="I27" s="19"/>
      <c r="J27" s="19"/>
      <c r="K27" s="19" t="s">
        <v>239</v>
      </c>
      <c r="L27" s="15" t="s">
        <v>744</v>
      </c>
      <c r="M27" s="19" t="s">
        <v>429</v>
      </c>
    </row>
    <row r="28" spans="1:13" x14ac:dyDescent="0.4">
      <c r="A28" s="126">
        <v>2047</v>
      </c>
      <c r="B28" s="19"/>
      <c r="C28" s="19"/>
      <c r="D28" s="19"/>
      <c r="E28" s="19"/>
      <c r="F28" s="19"/>
      <c r="G28" s="19"/>
      <c r="H28" s="19"/>
      <c r="I28" s="19"/>
      <c r="J28" s="19"/>
      <c r="K28" s="19" t="s">
        <v>240</v>
      </c>
      <c r="L28" s="15" t="s">
        <v>745</v>
      </c>
      <c r="M28" s="19" t="s">
        <v>428</v>
      </c>
    </row>
    <row r="29" spans="1:13" x14ac:dyDescent="0.4">
      <c r="A29" s="126">
        <v>2048</v>
      </c>
      <c r="B29" s="19"/>
      <c r="C29" s="19"/>
      <c r="D29" s="19"/>
      <c r="E29" s="19"/>
      <c r="F29" s="19"/>
      <c r="G29" s="19"/>
      <c r="H29" s="19"/>
      <c r="I29" s="19"/>
      <c r="J29" s="19"/>
      <c r="K29" s="19" t="s">
        <v>241</v>
      </c>
      <c r="L29" s="15" t="s">
        <v>746</v>
      </c>
      <c r="M29" s="19" t="s">
        <v>426</v>
      </c>
    </row>
    <row r="30" spans="1:13" x14ac:dyDescent="0.4">
      <c r="A30" s="126">
        <v>2049</v>
      </c>
      <c r="B30" s="19"/>
      <c r="C30" s="19"/>
      <c r="D30" s="19"/>
      <c r="E30" s="19"/>
      <c r="F30" s="19"/>
      <c r="G30" s="19"/>
      <c r="H30" s="19"/>
      <c r="I30" s="19"/>
      <c r="J30" s="19"/>
      <c r="K30" s="5"/>
      <c r="L30" s="19"/>
      <c r="M30" s="19" t="s">
        <v>448</v>
      </c>
    </row>
    <row r="31" spans="1:13" x14ac:dyDescent="0.4">
      <c r="A31" s="126">
        <v>2050</v>
      </c>
      <c r="B31" s="19"/>
      <c r="C31" s="19"/>
      <c r="D31" s="19"/>
      <c r="E31" s="19"/>
      <c r="F31" s="19"/>
      <c r="G31" s="19"/>
      <c r="H31" s="19"/>
      <c r="I31" s="19"/>
      <c r="J31" s="19"/>
      <c r="K31" s="19"/>
      <c r="L31" s="19"/>
      <c r="M31" s="19" t="s">
        <v>419</v>
      </c>
    </row>
    <row r="32" spans="1:13" x14ac:dyDescent="0.4">
      <c r="A32" s="126" t="e">
        <f>NA()</f>
        <v>#N/A</v>
      </c>
      <c r="B32" s="19"/>
      <c r="C32" s="19"/>
      <c r="D32" s="19"/>
      <c r="E32" s="19"/>
      <c r="F32" s="19"/>
      <c r="G32" s="19"/>
      <c r="H32" s="19"/>
      <c r="I32" s="19"/>
      <c r="J32" s="19"/>
      <c r="K32" s="19"/>
      <c r="L32" s="19"/>
      <c r="M32" s="19" t="s">
        <v>413</v>
      </c>
    </row>
    <row r="33" spans="1:13" x14ac:dyDescent="0.4">
      <c r="A33" s="19"/>
      <c r="B33" s="19"/>
      <c r="C33" s="19"/>
      <c r="D33" s="19"/>
      <c r="E33" s="19"/>
      <c r="F33" s="19"/>
      <c r="G33" s="19"/>
      <c r="H33" s="19"/>
      <c r="I33" s="19"/>
      <c r="J33" s="19"/>
      <c r="K33" s="19"/>
      <c r="L33" s="19"/>
      <c r="M33" s="19" t="s">
        <v>437</v>
      </c>
    </row>
    <row r="34" spans="1:13" x14ac:dyDescent="0.4">
      <c r="A34" s="19"/>
      <c r="B34" s="19"/>
      <c r="C34" s="19"/>
      <c r="D34" s="19"/>
      <c r="E34" s="19"/>
      <c r="F34" s="19"/>
      <c r="G34" s="19"/>
      <c r="H34" s="19"/>
      <c r="I34" s="19"/>
      <c r="J34" s="19"/>
      <c r="K34" s="19"/>
      <c r="L34" s="19"/>
      <c r="M34" s="19" t="s">
        <v>439</v>
      </c>
    </row>
    <row r="35" spans="1:13" x14ac:dyDescent="0.4">
      <c r="A35" s="19"/>
      <c r="B35" s="19"/>
      <c r="C35" s="19"/>
      <c r="D35" s="19"/>
      <c r="E35" s="19"/>
      <c r="F35" s="19"/>
      <c r="G35" s="19"/>
      <c r="H35" s="19"/>
      <c r="I35" s="19"/>
      <c r="J35" s="19"/>
      <c r="K35" s="19"/>
      <c r="L35" s="19"/>
      <c r="M35" s="19" t="s">
        <v>415</v>
      </c>
    </row>
    <row r="36" spans="1:13" x14ac:dyDescent="0.4">
      <c r="A36" s="19"/>
      <c r="B36" s="19"/>
      <c r="C36" s="19"/>
      <c r="D36" s="19"/>
      <c r="E36" s="19"/>
      <c r="F36" s="19"/>
      <c r="G36" s="19"/>
      <c r="H36" s="19"/>
      <c r="I36" s="19"/>
      <c r="J36" s="19"/>
      <c r="K36" s="19"/>
      <c r="L36" s="19"/>
      <c r="M36" s="19" t="s">
        <v>424</v>
      </c>
    </row>
    <row r="37" spans="1:13" x14ac:dyDescent="0.4">
      <c r="A37" s="19"/>
      <c r="B37" s="19"/>
      <c r="C37" s="19"/>
      <c r="D37" s="19"/>
      <c r="E37" s="19"/>
      <c r="F37" s="19"/>
      <c r="G37" s="19"/>
      <c r="H37" s="19"/>
      <c r="I37" s="19"/>
      <c r="J37" s="19"/>
      <c r="K37" s="19"/>
      <c r="L37" s="19"/>
      <c r="M37" s="19" t="s">
        <v>408</v>
      </c>
    </row>
    <row r="38" spans="1:13" x14ac:dyDescent="0.4">
      <c r="A38" s="19"/>
      <c r="B38" s="19"/>
      <c r="C38" s="19"/>
      <c r="D38" s="19"/>
      <c r="E38" s="19"/>
      <c r="F38" s="19"/>
      <c r="G38" s="19"/>
      <c r="H38" s="19"/>
      <c r="I38" s="19"/>
      <c r="J38" s="19"/>
      <c r="K38" s="19"/>
      <c r="L38" s="19"/>
      <c r="M38" s="19" t="s">
        <v>430</v>
      </c>
    </row>
    <row r="39" spans="1:13" x14ac:dyDescent="0.4">
      <c r="A39" s="19"/>
      <c r="B39" s="19"/>
      <c r="C39" s="19"/>
      <c r="D39" s="19"/>
      <c r="E39" s="19"/>
      <c r="F39" s="19"/>
      <c r="G39" s="19"/>
      <c r="H39" s="19"/>
      <c r="I39" s="19"/>
      <c r="J39" s="19"/>
      <c r="K39" s="19"/>
      <c r="L39" s="19"/>
      <c r="M39" s="19" t="s">
        <v>443</v>
      </c>
    </row>
    <row r="40" spans="1:13" x14ac:dyDescent="0.4">
      <c r="A40" s="19"/>
      <c r="B40" s="19"/>
      <c r="C40" s="19"/>
      <c r="D40" s="19"/>
      <c r="E40" s="19"/>
      <c r="F40" s="19"/>
      <c r="G40" s="19"/>
      <c r="H40" s="19"/>
      <c r="I40" s="19"/>
      <c r="J40" s="19"/>
      <c r="K40" s="19"/>
      <c r="L40" s="19"/>
      <c r="M40" s="19" t="s">
        <v>441</v>
      </c>
    </row>
    <row r="41" spans="1:13" x14ac:dyDescent="0.4">
      <c r="A41" s="19"/>
      <c r="B41" s="19"/>
      <c r="C41" s="19"/>
      <c r="D41" s="19"/>
      <c r="E41" s="19"/>
      <c r="F41" s="19"/>
      <c r="G41" s="19"/>
      <c r="H41" s="19"/>
      <c r="I41" s="19"/>
      <c r="J41" s="19"/>
      <c r="K41" s="19"/>
      <c r="L41" s="19"/>
      <c r="M41" s="19" t="s">
        <v>412</v>
      </c>
    </row>
    <row r="42" spans="1:13" x14ac:dyDescent="0.4">
      <c r="A42" s="19"/>
      <c r="B42" s="19"/>
      <c r="C42" s="19"/>
      <c r="D42" s="19"/>
      <c r="E42" s="19"/>
      <c r="F42" s="19"/>
      <c r="G42" s="19"/>
      <c r="H42" s="19"/>
      <c r="I42" s="19"/>
      <c r="J42" s="19"/>
      <c r="K42" s="5"/>
      <c r="L42" s="5"/>
      <c r="M42" s="19" t="s">
        <v>444</v>
      </c>
    </row>
    <row r="43" spans="1:13" x14ac:dyDescent="0.4">
      <c r="A43" s="19"/>
      <c r="B43" s="19"/>
      <c r="C43" s="19"/>
      <c r="D43" s="19"/>
      <c r="E43" s="19"/>
      <c r="F43" s="19"/>
      <c r="G43" s="19"/>
      <c r="H43" s="19"/>
      <c r="I43" s="19"/>
      <c r="J43" s="19"/>
      <c r="K43" s="19"/>
      <c r="L43" s="19"/>
      <c r="M43" s="19" t="s">
        <v>447</v>
      </c>
    </row>
    <row r="44" spans="1:13" x14ac:dyDescent="0.4">
      <c r="A44" s="19"/>
      <c r="B44" s="19"/>
      <c r="C44" s="19"/>
      <c r="D44" s="19"/>
      <c r="E44" s="19"/>
      <c r="F44" s="19"/>
      <c r="G44" s="19"/>
      <c r="H44" s="19"/>
      <c r="I44" s="19"/>
      <c r="J44" s="19"/>
      <c r="K44" s="19"/>
      <c r="L44" s="19"/>
      <c r="M44" s="19" t="s">
        <v>431</v>
      </c>
    </row>
    <row r="45" spans="1:13" x14ac:dyDescent="0.4">
      <c r="A45" s="19"/>
      <c r="B45" s="19"/>
      <c r="C45" s="19"/>
      <c r="D45" s="19"/>
      <c r="E45" s="19"/>
      <c r="F45" s="19"/>
      <c r="G45" s="19"/>
      <c r="H45" s="19"/>
      <c r="I45" s="19"/>
      <c r="J45" s="19"/>
      <c r="K45" s="19"/>
      <c r="L45" s="19"/>
      <c r="M45" s="19" t="s">
        <v>421</v>
      </c>
    </row>
    <row r="46" spans="1:13" x14ac:dyDescent="0.4">
      <c r="A46" s="19"/>
      <c r="B46" s="19"/>
      <c r="C46" s="19"/>
      <c r="D46" s="19"/>
      <c r="E46" s="19"/>
      <c r="F46" s="19"/>
      <c r="G46" s="19"/>
      <c r="H46" s="19"/>
      <c r="I46" s="19"/>
      <c r="J46" s="19"/>
      <c r="K46" s="19"/>
      <c r="L46" s="19"/>
      <c r="M46" s="19" t="s">
        <v>442</v>
      </c>
    </row>
    <row r="47" spans="1:13" x14ac:dyDescent="0.4">
      <c r="A47" s="19"/>
      <c r="B47" s="19"/>
      <c r="C47" s="19"/>
      <c r="D47" s="19"/>
      <c r="E47" s="19"/>
      <c r="F47" s="19"/>
      <c r="G47" s="19"/>
      <c r="H47" s="19"/>
      <c r="I47" s="19"/>
      <c r="J47" s="19"/>
      <c r="K47" s="19"/>
      <c r="L47" s="19"/>
      <c r="M47" s="5" t="s">
        <v>423</v>
      </c>
    </row>
    <row r="48" spans="1:13" x14ac:dyDescent="0.4">
      <c r="A48" s="19"/>
      <c r="B48" s="19"/>
      <c r="C48" s="19"/>
      <c r="D48" s="19"/>
      <c r="E48" s="19"/>
      <c r="F48" s="19"/>
      <c r="G48" s="19"/>
      <c r="H48" s="19"/>
      <c r="I48" s="19"/>
      <c r="J48" s="19"/>
      <c r="K48" s="19"/>
      <c r="L48" s="19"/>
      <c r="M48" s="19" t="s">
        <v>425</v>
      </c>
    </row>
    <row r="49" spans="1:13" x14ac:dyDescent="0.4">
      <c r="A49" s="19"/>
      <c r="B49" s="19"/>
      <c r="C49" s="19"/>
      <c r="D49" s="19"/>
      <c r="E49" s="19"/>
      <c r="F49" s="19"/>
      <c r="G49" s="19"/>
      <c r="H49" s="19"/>
      <c r="I49" s="19"/>
      <c r="J49" s="19"/>
      <c r="K49" s="19"/>
      <c r="L49" s="19"/>
      <c r="M49" s="5"/>
    </row>
    <row r="50" spans="1:13" x14ac:dyDescent="0.4">
      <c r="A50" s="19"/>
      <c r="B50" s="19"/>
      <c r="C50" s="19"/>
      <c r="D50" s="19"/>
      <c r="E50" s="19"/>
      <c r="F50" s="19"/>
      <c r="G50" s="19"/>
      <c r="H50" s="19"/>
      <c r="I50" s="19"/>
      <c r="J50" s="19"/>
      <c r="K50" s="19"/>
      <c r="L50" s="19"/>
      <c r="M50" s="19"/>
    </row>
    <row r="51" spans="1:13" x14ac:dyDescent="0.4">
      <c r="A51" s="19"/>
      <c r="B51" s="19"/>
      <c r="C51" s="19"/>
      <c r="D51" s="19"/>
      <c r="E51" s="19"/>
      <c r="F51" s="19"/>
      <c r="G51" s="19"/>
      <c r="H51" s="19"/>
      <c r="I51" s="19"/>
      <c r="J51" s="19"/>
      <c r="K51" s="19"/>
      <c r="L51" s="19"/>
      <c r="M51" s="19"/>
    </row>
    <row r="52" spans="1:13" x14ac:dyDescent="0.4">
      <c r="A52" s="19"/>
      <c r="B52" s="19"/>
      <c r="C52" s="19"/>
      <c r="D52" s="19"/>
      <c r="E52" s="19"/>
      <c r="F52" s="19"/>
      <c r="G52" s="19"/>
      <c r="H52" s="19"/>
      <c r="I52" s="19"/>
      <c r="J52" s="19"/>
      <c r="K52" s="19"/>
      <c r="L52" s="19"/>
      <c r="M52" s="19"/>
    </row>
    <row r="53" spans="1:13" x14ac:dyDescent="0.4">
      <c r="A53" s="19"/>
      <c r="B53" s="19"/>
      <c r="C53" s="19"/>
      <c r="D53" s="19"/>
      <c r="E53" s="19"/>
      <c r="F53" s="19"/>
      <c r="G53" s="19"/>
      <c r="H53" s="19"/>
      <c r="I53" s="19"/>
      <c r="J53" s="19"/>
      <c r="M53" s="19"/>
    </row>
    <row r="54" spans="1:13" x14ac:dyDescent="0.4">
      <c r="A54" s="19"/>
      <c r="B54" s="19"/>
      <c r="C54" s="19"/>
      <c r="D54" s="19"/>
      <c r="E54" s="19"/>
      <c r="F54" s="19"/>
      <c r="G54" s="19"/>
      <c r="H54" s="19"/>
      <c r="I54" s="19"/>
      <c r="J54" s="19"/>
      <c r="M54" s="19"/>
    </row>
    <row r="55" spans="1:13" x14ac:dyDescent="0.4">
      <c r="A55" s="19"/>
      <c r="B55" s="19"/>
      <c r="C55" s="19"/>
      <c r="D55" s="19"/>
      <c r="E55" s="19"/>
      <c r="F55" s="19"/>
      <c r="G55" s="19"/>
      <c r="H55" s="19"/>
      <c r="I55" s="19"/>
      <c r="J55" s="19"/>
      <c r="M55" s="19"/>
    </row>
    <row r="56" spans="1:13" x14ac:dyDescent="0.4">
      <c r="A56" s="19"/>
      <c r="B56" s="19"/>
    </row>
    <row r="57" spans="1:13" x14ac:dyDescent="0.4">
      <c r="A57"/>
    </row>
    <row r="58" spans="1:13" x14ac:dyDescent="0.4">
      <c r="A58"/>
    </row>
    <row r="59" spans="1:13" x14ac:dyDescent="0.4">
      <c r="A59"/>
    </row>
    <row r="60" spans="1:13" x14ac:dyDescent="0.4">
      <c r="A60"/>
    </row>
    <row r="61" spans="1:13" x14ac:dyDescent="0.4">
      <c r="A61"/>
      <c r="C61"/>
      <c r="D61"/>
      <c r="E61"/>
      <c r="F61"/>
      <c r="G61"/>
      <c r="H61"/>
      <c r="I61"/>
      <c r="J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1" x14ac:dyDescent="0.4">
      <c r="A65"/>
      <c r="B65"/>
      <c r="C65"/>
      <c r="D65"/>
      <c r="E65"/>
      <c r="F65"/>
      <c r="G65"/>
      <c r="H65"/>
      <c r="I65"/>
      <c r="J65"/>
      <c r="K65"/>
    </row>
    <row r="66" spans="1:11" x14ac:dyDescent="0.4">
      <c r="A66"/>
      <c r="B66"/>
      <c r="C66"/>
      <c r="D66"/>
      <c r="E66"/>
      <c r="F66"/>
      <c r="G66"/>
      <c r="H66"/>
      <c r="I66"/>
      <c r="J66"/>
      <c r="K66"/>
    </row>
    <row r="67" spans="1:11" x14ac:dyDescent="0.4">
      <c r="A67"/>
      <c r="B67"/>
      <c r="C67"/>
      <c r="D67"/>
      <c r="E67"/>
      <c r="F67"/>
      <c r="G67"/>
      <c r="H67"/>
      <c r="I67"/>
      <c r="J67"/>
      <c r="K67"/>
    </row>
    <row r="68" spans="1:11" x14ac:dyDescent="0.4">
      <c r="A68"/>
      <c r="B68"/>
      <c r="C68"/>
      <c r="D68"/>
      <c r="E68"/>
      <c r="F68"/>
      <c r="G68"/>
      <c r="H68"/>
      <c r="I68"/>
      <c r="J68"/>
      <c r="K68"/>
    </row>
    <row r="69" spans="1:11" x14ac:dyDescent="0.4">
      <c r="A69"/>
      <c r="B69"/>
      <c r="C69"/>
      <c r="D69"/>
      <c r="E69"/>
      <c r="F69"/>
      <c r="G69"/>
      <c r="H69"/>
      <c r="I69"/>
      <c r="J69"/>
      <c r="K69"/>
    </row>
    <row r="70" spans="1:11" x14ac:dyDescent="0.4">
      <c r="A70"/>
      <c r="B70"/>
      <c r="C70"/>
      <c r="D70"/>
      <c r="E70"/>
      <c r="F70"/>
      <c r="G70"/>
      <c r="H70"/>
      <c r="I70"/>
      <c r="J70"/>
      <c r="K70"/>
    </row>
    <row r="71" spans="1:11" x14ac:dyDescent="0.4">
      <c r="A71"/>
      <c r="B71"/>
      <c r="C71"/>
      <c r="D71"/>
      <c r="E71"/>
      <c r="F71"/>
      <c r="G71"/>
      <c r="H71"/>
      <c r="I71"/>
      <c r="J71"/>
      <c r="K71"/>
    </row>
    <row r="72" spans="1:11" x14ac:dyDescent="0.4">
      <c r="A72"/>
      <c r="B72"/>
      <c r="C72"/>
      <c r="D72"/>
      <c r="E72"/>
      <c r="F72"/>
      <c r="G72"/>
      <c r="H72"/>
      <c r="I72"/>
      <c r="J72"/>
      <c r="K72"/>
    </row>
    <row r="73" spans="1:11" x14ac:dyDescent="0.4">
      <c r="A73"/>
      <c r="B73"/>
      <c r="C73"/>
      <c r="D73"/>
      <c r="E73"/>
      <c r="F73"/>
      <c r="G73"/>
      <c r="H73"/>
      <c r="I73"/>
      <c r="J73"/>
      <c r="K73"/>
    </row>
    <row r="74" spans="1:11" x14ac:dyDescent="0.4">
      <c r="A74"/>
      <c r="B74"/>
      <c r="C74"/>
      <c r="D74"/>
      <c r="E74"/>
      <c r="F74"/>
      <c r="G74"/>
      <c r="H74"/>
      <c r="I74"/>
      <c r="J74"/>
      <c r="K74"/>
    </row>
    <row r="75" spans="1:11" x14ac:dyDescent="0.4">
      <c r="A75"/>
      <c r="B75"/>
    </row>
  </sheetData>
  <sortState xmlns:xlrd2="http://schemas.microsoft.com/office/spreadsheetml/2017/richdata2" ref="M3:M48">
    <sortCondition ref="M3:M48"/>
  </sortState>
  <dataValidations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I89"/>
  <sheetViews>
    <sheetView showGridLines="0" zoomScaleNormal="100" workbookViewId="0"/>
  </sheetViews>
  <sheetFormatPr defaultRowHeight="13.15" x14ac:dyDescent="0.4"/>
  <cols>
    <col min="1" max="1" width="5.28515625" customWidth="1"/>
    <col min="2" max="2" width="11" customWidth="1"/>
    <col min="3" max="3" width="3.28515625" bestFit="1" customWidth="1"/>
  </cols>
  <sheetData>
    <row r="9" spans="2:3" x14ac:dyDescent="0.4">
      <c r="B9" t="s">
        <v>570</v>
      </c>
      <c r="C9" s="4" t="s">
        <v>875</v>
      </c>
    </row>
    <row r="10" spans="2:3" x14ac:dyDescent="0.4">
      <c r="B10" t="s">
        <v>569</v>
      </c>
    </row>
    <row r="11" spans="2:3" x14ac:dyDescent="0.4">
      <c r="B11" t="s">
        <v>556</v>
      </c>
    </row>
    <row r="12" spans="2:3" x14ac:dyDescent="0.4">
      <c r="B12" t="s">
        <v>845</v>
      </c>
    </row>
    <row r="13" spans="2:3" x14ac:dyDescent="0.4">
      <c r="B13" t="s">
        <v>846</v>
      </c>
    </row>
    <row r="14" spans="2:3" x14ac:dyDescent="0.4">
      <c r="B14" t="s">
        <v>556</v>
      </c>
    </row>
    <row r="15" spans="2:3" x14ac:dyDescent="0.4">
      <c r="B15" t="s">
        <v>842</v>
      </c>
    </row>
    <row r="16" spans="2:3" x14ac:dyDescent="0.4">
      <c r="B16" t="s">
        <v>843</v>
      </c>
    </row>
    <row r="17" spans="2:9" x14ac:dyDescent="0.4">
      <c r="B17" t="s">
        <v>851</v>
      </c>
    </row>
    <row r="19" spans="2:9" x14ac:dyDescent="0.4">
      <c r="B19" t="s">
        <v>844</v>
      </c>
    </row>
    <row r="20" spans="2:9" x14ac:dyDescent="0.4">
      <c r="B20" t="s">
        <v>853</v>
      </c>
    </row>
    <row r="21" spans="2:9" x14ac:dyDescent="0.4">
      <c r="B21" t="s">
        <v>856</v>
      </c>
    </row>
    <row r="22" spans="2:9" x14ac:dyDescent="0.4">
      <c r="B22" t="s">
        <v>854</v>
      </c>
    </row>
    <row r="24" spans="2:9" x14ac:dyDescent="0.4">
      <c r="B24" t="s">
        <v>876</v>
      </c>
    </row>
    <row r="25" spans="2:9" x14ac:dyDescent="0.4">
      <c r="B25" t="s">
        <v>847</v>
      </c>
      <c r="I25" s="37" t="s">
        <v>589</v>
      </c>
    </row>
    <row r="26" spans="2:9" x14ac:dyDescent="0.4">
      <c r="B26" s="2" t="s">
        <v>557</v>
      </c>
    </row>
    <row r="27" spans="2:9" x14ac:dyDescent="0.4">
      <c r="B27" s="2" t="s">
        <v>558</v>
      </c>
    </row>
    <row r="28" spans="2:9" x14ac:dyDescent="0.4">
      <c r="B28" s="2" t="s">
        <v>559</v>
      </c>
    </row>
    <row r="29" spans="2:9" x14ac:dyDescent="0.4">
      <c r="B29" s="2" t="s">
        <v>560</v>
      </c>
    </row>
    <row r="30" spans="2:9" x14ac:dyDescent="0.4">
      <c r="B30" t="s">
        <v>865</v>
      </c>
    </row>
    <row r="31" spans="2:9" x14ac:dyDescent="0.4">
      <c r="B31" t="s">
        <v>848</v>
      </c>
    </row>
    <row r="33" spans="2:2" x14ac:dyDescent="0.4">
      <c r="B33" t="s">
        <v>877</v>
      </c>
    </row>
    <row r="34" spans="2:2" x14ac:dyDescent="0.4">
      <c r="B34" t="s">
        <v>864</v>
      </c>
    </row>
    <row r="35" spans="2:2" x14ac:dyDescent="0.4">
      <c r="B35" t="s">
        <v>863</v>
      </c>
    </row>
    <row r="36" spans="2:2" x14ac:dyDescent="0.4">
      <c r="B36" t="s">
        <v>862</v>
      </c>
    </row>
    <row r="38" spans="2:2" x14ac:dyDescent="0.4">
      <c r="B38" t="s">
        <v>878</v>
      </c>
    </row>
    <row r="39" spans="2:2" x14ac:dyDescent="0.4">
      <c r="B39" t="s">
        <v>849</v>
      </c>
    </row>
    <row r="40" spans="2:2" x14ac:dyDescent="0.4">
      <c r="B40" s="2" t="s">
        <v>561</v>
      </c>
    </row>
    <row r="41" spans="2:2" x14ac:dyDescent="0.4">
      <c r="B41" s="2" t="s">
        <v>591</v>
      </c>
    </row>
    <row r="42" spans="2:2" x14ac:dyDescent="0.4">
      <c r="B42" s="2" t="s">
        <v>562</v>
      </c>
    </row>
    <row r="43" spans="2:2" x14ac:dyDescent="0.4">
      <c r="B43" t="s">
        <v>857</v>
      </c>
    </row>
    <row r="44" spans="2:2" x14ac:dyDescent="0.4">
      <c r="B44" t="s">
        <v>858</v>
      </c>
    </row>
    <row r="45" spans="2:2" x14ac:dyDescent="0.4">
      <c r="B45" t="s">
        <v>859</v>
      </c>
    </row>
    <row r="46" spans="2:2" x14ac:dyDescent="0.4">
      <c r="B46" t="s">
        <v>860</v>
      </c>
    </row>
    <row r="47" spans="2:2" x14ac:dyDescent="0.4">
      <c r="B47" t="s">
        <v>861</v>
      </c>
    </row>
    <row r="49" spans="2:2" x14ac:dyDescent="0.4">
      <c r="B49" t="s">
        <v>556</v>
      </c>
    </row>
    <row r="50" spans="2:2" x14ac:dyDescent="0.4">
      <c r="B50" t="s">
        <v>841</v>
      </c>
    </row>
    <row r="51" spans="2:2" x14ac:dyDescent="0.4">
      <c r="B51" t="s">
        <v>850</v>
      </c>
    </row>
    <row r="52" spans="2:2" x14ac:dyDescent="0.4">
      <c r="B52" t="s">
        <v>556</v>
      </c>
    </row>
    <row r="53" spans="2:2" x14ac:dyDescent="0.4">
      <c r="B53" t="s">
        <v>842</v>
      </c>
    </row>
    <row r="54" spans="2:2" x14ac:dyDescent="0.4">
      <c r="B54" t="s">
        <v>843</v>
      </c>
    </row>
    <row r="55" spans="2:2" x14ac:dyDescent="0.4">
      <c r="B55" t="s">
        <v>851</v>
      </c>
    </row>
    <row r="57" spans="2:2" x14ac:dyDescent="0.4">
      <c r="B57" t="s">
        <v>844</v>
      </c>
    </row>
    <row r="58" spans="2:2" x14ac:dyDescent="0.4">
      <c r="B58" t="s">
        <v>853</v>
      </c>
    </row>
    <row r="59" spans="2:2" x14ac:dyDescent="0.4">
      <c r="B59" t="s">
        <v>856</v>
      </c>
    </row>
    <row r="60" spans="2:2" x14ac:dyDescent="0.4">
      <c r="B60" t="s">
        <v>854</v>
      </c>
    </row>
    <row r="62" spans="2:2" x14ac:dyDescent="0.4">
      <c r="B62" t="s">
        <v>879</v>
      </c>
    </row>
    <row r="63" spans="2:2" x14ac:dyDescent="0.4">
      <c r="B63" t="s">
        <v>852</v>
      </c>
    </row>
    <row r="64" spans="2:2" x14ac:dyDescent="0.4">
      <c r="B64" t="s">
        <v>855</v>
      </c>
    </row>
    <row r="66" spans="2:2" x14ac:dyDescent="0.4">
      <c r="B66" t="s">
        <v>880</v>
      </c>
    </row>
    <row r="67" spans="2:2" x14ac:dyDescent="0.4">
      <c r="B67" t="s">
        <v>866</v>
      </c>
    </row>
    <row r="68" spans="2:2" x14ac:dyDescent="0.4">
      <c r="B68" s="2" t="s">
        <v>561</v>
      </c>
    </row>
    <row r="69" spans="2:2" x14ac:dyDescent="0.4">
      <c r="B69" s="2" t="s">
        <v>591</v>
      </c>
    </row>
    <row r="70" spans="2:2" x14ac:dyDescent="0.4">
      <c r="B70" s="2" t="s">
        <v>562</v>
      </c>
    </row>
    <row r="71" spans="2:2" x14ac:dyDescent="0.4">
      <c r="B71" t="s">
        <v>857</v>
      </c>
    </row>
    <row r="72" spans="2:2" x14ac:dyDescent="0.4">
      <c r="B72" t="s">
        <v>867</v>
      </c>
    </row>
    <row r="73" spans="2:2" x14ac:dyDescent="0.4">
      <c r="B73" t="s">
        <v>859</v>
      </c>
    </row>
    <row r="74" spans="2:2" x14ac:dyDescent="0.4">
      <c r="B74" t="s">
        <v>860</v>
      </c>
    </row>
    <row r="75" spans="2:2" x14ac:dyDescent="0.4">
      <c r="B75" t="s">
        <v>868</v>
      </c>
    </row>
    <row r="77" spans="2:2" x14ac:dyDescent="0.4">
      <c r="B77" t="s">
        <v>563</v>
      </c>
    </row>
    <row r="78" spans="2:2" x14ac:dyDescent="0.4">
      <c r="B78" t="s">
        <v>564</v>
      </c>
    </row>
    <row r="79" spans="2:2" x14ac:dyDescent="0.4">
      <c r="B79" t="s">
        <v>592</v>
      </c>
    </row>
    <row r="80" spans="2:2" x14ac:dyDescent="0.4">
      <c r="B80" t="s">
        <v>869</v>
      </c>
    </row>
    <row r="81" spans="2:2" x14ac:dyDescent="0.4">
      <c r="B81" t="s">
        <v>870</v>
      </c>
    </row>
    <row r="82" spans="2:2" x14ac:dyDescent="0.4">
      <c r="B82" t="s">
        <v>565</v>
      </c>
    </row>
    <row r="84" spans="2:2" x14ac:dyDescent="0.4">
      <c r="B84" t="s">
        <v>566</v>
      </c>
    </row>
    <row r="85" spans="2:2" x14ac:dyDescent="0.4">
      <c r="B85" t="s">
        <v>567</v>
      </c>
    </row>
    <row r="86" spans="2:2" x14ac:dyDescent="0.4">
      <c r="B86" t="s">
        <v>568</v>
      </c>
    </row>
    <row r="88" spans="2:2" x14ac:dyDescent="0.4">
      <c r="B88" t="s">
        <v>881</v>
      </c>
    </row>
    <row r="89" spans="2:2" x14ac:dyDescent="0.4">
      <c r="B89" t="s">
        <v>590</v>
      </c>
    </row>
  </sheetData>
  <hyperlinks>
    <hyperlink ref="I25" r:id="rId1" xr:uid="{43CB1E2C-C222-4F04-9ABC-C05E68DAE6B7}"/>
  </hyperlinks>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2026-06-07T19:58:50Z</dcterms:modified>
</cp:coreProperties>
</file>