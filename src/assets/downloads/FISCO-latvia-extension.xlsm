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ef7a825b9bce984a/Documents/Consulting/Phase II - Latvia/Model/September 2026/Last day/"/>
    </mc:Choice>
  </mc:AlternateContent>
  <xr:revisionPtr revIDLastSave="411" documentId="8_{518B8516-F41F-4A0F-B9B7-312B72655D54}" xr6:coauthVersionLast="47" xr6:coauthVersionMax="47" xr10:uidLastSave="{B0CFCF72-541D-46F7-AAF9-373B2DF8C350}"/>
  <bookViews>
    <workbookView xWindow="-38520" yWindow="-5820" windowWidth="38640" windowHeight="211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Ex"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Flag" hidden="1" xlm="1">#NAME?</definedName>
    <definedName name="_xlpm.anyGeneral" hidden="1" xlm="1">#NAME?</definedName>
    <definedName name="_xlpm.applies"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breach"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Ex"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 hidden="1" xlm="1">#NAME?</definedName>
    <definedName name="_xlpm.elig" hidden="1" xlm="1">#NAME?</definedName>
    <definedName name="_xlpm.end_col" hidden="1" xlm="1">#NAME?</definedName>
    <definedName name="_xlpm.endc" hidden="1" xlm="1">#NAME?</definedName>
    <definedName name="_xlpm.endCol"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 hidden="1" xlm="1">#NAME?</definedName>
    <definedName name="_xlpm.flags" hidden="1" xlm="1">#NAME?</definedName>
    <definedName name="_xlpm.gdp" hidden="1" xlm="1">#NAME?</definedName>
    <definedName name="_xlpm.idx" hidden="1" xlm="1">#NAME?</definedName>
    <definedName name="_xlpm.inScope" hidden="1" xlm="1">#NAME?</definedName>
    <definedName name="_xlpm.inWindow" hidden="1" xlm="1">#NAME?</definedName>
    <definedName name="_xlpm.label"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numYears" hidden="1" xlm="1">#NAME?</definedName>
    <definedName name="_xlpm.o"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b"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otal" hidden="1" xlm="1">#NAME?</definedName>
    <definedName name="_xlpm.type" hidden="1" xlm="1">#NAME?</definedName>
    <definedName name="_xlpm.v" hidden="1" xlm="1">#NAME?</definedName>
    <definedName name="_xlpm.vals" hidden="1" xlm="1">#NAME?</definedName>
    <definedName name="_xlpm.value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parameters'!$B$35</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Assessment!$C$222</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ther_exempt_spending_flag">'Step 1 - Set global parameters'!$B$43</definedName>
    <definedName name="OutturnThrough">'Step 2 - Update outturn data'!$E$2</definedName>
    <definedName name="PBChart_BlankHelper1">OFFSET('Chart data'!#REF!, 0, 0, 1, MATCH(AdjustmentPeriodEnd, 'Chart data'!$F$2:$M$2, 0))</definedName>
    <definedName name="PBChart_BlankHelper2">OFFSET('Chart data'!#REF!, 0, 0, 1, MATCH(AdjustmentPeriodEnd, 'Chart data'!$F$2:$M$2, 0))</definedName>
    <definedName name="PBChart_Breach">OFFSET('Chart data'!#REF!, 0, 0, 1, MATCH(AdjustmentPeriodEnd, 'Chart data'!$F$2:$M$2, 0))</definedName>
    <definedName name="PBChart_Compliant">OFFSET('Chart data'!#REF!, 0, 0, 1, MATCH(AdjustmentPeriodEnd, 'Chart data'!$F$2:$M$2, 0))</definedName>
    <definedName name="PBChart_MTP">OFFSET('Chart data'!#REF!, 0, 0, 1, MATCH(AdjustmentPeriodEnd, 'Chart data'!$F$2:$M$2, 0))</definedName>
    <definedName name="PBChart_Planned">OFFSET('Chart data'!#REF!,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5" i="64" l="1"/>
  <c r="E51" i="76" s="1"/>
  <c r="F135" i="64"/>
  <c r="E136" i="64"/>
  <c r="F136" i="64"/>
  <c r="F52" i="76" s="1"/>
  <c r="D16" i="76" a="1"/>
  <c r="D16" i="76" s="1"/>
  <c r="C16" i="76" s="1"/>
  <c r="E16" i="76"/>
  <c r="B16" i="76"/>
  <c r="B48" i="76"/>
  <c r="B44" i="76"/>
  <c r="B49" i="76"/>
  <c r="B51" i="76"/>
  <c r="B52" i="76"/>
  <c r="B55" i="76"/>
  <c r="B62" i="76"/>
  <c r="B64" i="76"/>
  <c r="B66" i="76"/>
  <c r="B68" i="76"/>
  <c r="B70" i="76"/>
  <c r="B72" i="76"/>
  <c r="B75" i="76"/>
  <c r="B77" i="76"/>
  <c r="B79" i="76"/>
  <c r="B81" i="76"/>
  <c r="B83" i="76"/>
  <c r="B84" i="76"/>
  <c r="B85" i="76"/>
  <c r="B86" i="76"/>
  <c r="C175" i="64" a="1"/>
  <c r="C175" i="64" s="1"/>
  <c r="A25" i="15"/>
  <c r="B172" i="64"/>
  <c r="B171" i="64"/>
  <c r="B175" i="64"/>
  <c r="B136" i="64"/>
  <c r="B135" i="64"/>
  <c r="B133" i="64"/>
  <c r="B132" i="64"/>
  <c r="Q10" i="47"/>
  <c r="Q9" i="47"/>
  <c r="Q8" i="47"/>
  <c r="Q6" i="47"/>
  <c r="Q5" i="47"/>
  <c r="Q4" i="47"/>
  <c r="B53" i="75" s="1"/>
  <c r="B78" i="64" s="1"/>
  <c r="Q3" i="47"/>
  <c r="Q2" i="47"/>
  <c r="B38" i="15" s="1" a="1"/>
  <c r="U139" i="65" a="1"/>
  <c r="U139" i="65" s="1"/>
  <c r="W138" i="65" a="1"/>
  <c r="W138" i="65" s="1"/>
  <c r="V138" i="65" a="1"/>
  <c r="V138" i="65" s="1"/>
  <c r="U138" i="65" a="1"/>
  <c r="U138" i="65" s="1"/>
  <c r="W134" i="65"/>
  <c r="V134" i="65"/>
  <c r="U134" i="65"/>
  <c r="T134" i="65"/>
  <c r="S134" i="65"/>
  <c r="R134" i="65"/>
  <c r="Q134" i="65"/>
  <c r="P134" i="65"/>
  <c r="W129" i="65" a="1"/>
  <c r="W129" i="65" s="1"/>
  <c r="V129" i="65" a="1"/>
  <c r="V129" i="65" s="1"/>
  <c r="U129" i="65" a="1"/>
  <c r="U129" i="65" s="1"/>
  <c r="J129" i="65" a="1"/>
  <c r="J129" i="65" s="1"/>
  <c r="W128" i="65" a="1"/>
  <c r="W128" i="65"/>
  <c r="V128" i="65" a="1"/>
  <c r="V128" i="65" s="1"/>
  <c r="U128" i="65" a="1"/>
  <c r="U128" i="65" s="1"/>
  <c r="W124" i="65"/>
  <c r="V124" i="65"/>
  <c r="R124" i="65"/>
  <c r="Q124" i="65"/>
  <c r="L124" i="65"/>
  <c r="K124" i="65"/>
  <c r="J124" i="65"/>
  <c r="G124" i="65"/>
  <c r="W119" i="65" a="1"/>
  <c r="W119" i="65" s="1"/>
  <c r="V119" i="65" a="1"/>
  <c r="V119" i="65" s="1"/>
  <c r="U119" i="65" a="1"/>
  <c r="U119" i="65" s="1"/>
  <c r="W118" i="65" a="1"/>
  <c r="W118" i="65" s="1"/>
  <c r="V118" i="65" a="1"/>
  <c r="V118" i="65" s="1"/>
  <c r="U118" i="65" a="1"/>
  <c r="U118" i="65" s="1"/>
  <c r="I114" i="65"/>
  <c r="H114" i="65"/>
  <c r="G114" i="65"/>
  <c r="F114" i="65"/>
  <c r="W111" i="65"/>
  <c r="V111" i="65"/>
  <c r="U111" i="65"/>
  <c r="T111" i="65"/>
  <c r="S111" i="65"/>
  <c r="R111" i="65"/>
  <c r="Q111" i="65"/>
  <c r="P111" i="65"/>
  <c r="O111" i="65"/>
  <c r="N111" i="65"/>
  <c r="M111" i="65"/>
  <c r="V110" i="65"/>
  <c r="P110" i="65"/>
  <c r="F110" i="65"/>
  <c r="E110" i="65"/>
  <c r="O109" i="65"/>
  <c r="N109" i="65"/>
  <c r="M109" i="65"/>
  <c r="E109" i="65"/>
  <c r="Q108" i="65"/>
  <c r="P108" i="65"/>
  <c r="K108" i="65"/>
  <c r="J108" i="65"/>
  <c r="W107" i="65"/>
  <c r="I107" i="65"/>
  <c r="H107" i="65"/>
  <c r="G107" i="65"/>
  <c r="F107" i="65"/>
  <c r="E107" i="65"/>
  <c r="N106" i="65"/>
  <c r="M106" i="65"/>
  <c r="L106" i="65"/>
  <c r="U105" i="65"/>
  <c r="N105" i="65"/>
  <c r="I105" i="65"/>
  <c r="E105" i="65"/>
  <c r="S104" i="65"/>
  <c r="N104" i="65"/>
  <c r="M104" i="65"/>
  <c r="L104" i="65"/>
  <c r="H104" i="65"/>
  <c r="G104" i="65"/>
  <c r="F104" i="65"/>
  <c r="E104" i="65"/>
  <c r="S103" i="65"/>
  <c r="H103" i="65"/>
  <c r="T102" i="65"/>
  <c r="S102" i="65"/>
  <c r="J102" i="65"/>
  <c r="H102" i="65"/>
  <c r="U101" i="65"/>
  <c r="K101" i="65"/>
  <c r="J101" i="65"/>
  <c r="I101" i="65"/>
  <c r="H101" i="65"/>
  <c r="G101" i="65"/>
  <c r="F101" i="65"/>
  <c r="E101" i="65"/>
  <c r="H99" i="65"/>
  <c r="W98" i="65"/>
  <c r="S98" i="65"/>
  <c r="R98" i="65"/>
  <c r="Q98" i="65"/>
  <c r="W97" i="65"/>
  <c r="V97" i="65"/>
  <c r="U97" i="65"/>
  <c r="T97" i="65"/>
  <c r="S97" i="65"/>
  <c r="R97" i="65"/>
  <c r="Q97" i="65"/>
  <c r="G97" i="65"/>
  <c r="F97" i="65"/>
  <c r="E97" i="65"/>
  <c r="M96" i="65"/>
  <c r="W93" i="65"/>
  <c r="V93" i="65"/>
  <c r="U93" i="65"/>
  <c r="T93" i="65"/>
  <c r="S93" i="65"/>
  <c r="R93" i="65"/>
  <c r="Q93" i="65"/>
  <c r="P93" i="65"/>
  <c r="O93" i="65"/>
  <c r="N93" i="65"/>
  <c r="M93" i="65"/>
  <c r="L93" i="65"/>
  <c r="K93" i="65"/>
  <c r="J93" i="65"/>
  <c r="I93" i="65"/>
  <c r="H93" i="65"/>
  <c r="G93" i="65"/>
  <c r="F93" i="65"/>
  <c r="W92" i="65" a="1"/>
  <c r="W92" i="65" s="1"/>
  <c r="V92" i="65" a="1"/>
  <c r="V92" i="65" s="1"/>
  <c r="U92" i="65" a="1"/>
  <c r="U92" i="65" s="1"/>
  <c r="L92" i="65" a="1"/>
  <c r="L92" i="65"/>
  <c r="K92" i="65" a="1"/>
  <c r="K92" i="65" s="1"/>
  <c r="W91" i="65" a="1"/>
  <c r="W91" i="65" s="1"/>
  <c r="V91" i="65" a="1"/>
  <c r="V91" i="65" s="1"/>
  <c r="U91" i="65" a="1"/>
  <c r="U91" i="65" s="1"/>
  <c r="J91" i="65" a="1"/>
  <c r="J91" i="65" s="1"/>
  <c r="I91" i="65" a="1"/>
  <c r="I91" i="65" s="1"/>
  <c r="V89" i="65"/>
  <c r="U89" i="65"/>
  <c r="E89" i="65"/>
  <c r="C88" i="65"/>
  <c r="U84" i="65"/>
  <c r="W83" i="65"/>
  <c r="V83" i="65"/>
  <c r="U83" i="65"/>
  <c r="T83" i="65"/>
  <c r="S83" i="65"/>
  <c r="R83" i="65"/>
  <c r="Q83" i="65"/>
  <c r="P83" i="65"/>
  <c r="O83" i="65"/>
  <c r="N83" i="65"/>
  <c r="M83" i="65"/>
  <c r="L83" i="65"/>
  <c r="K83" i="65"/>
  <c r="J83" i="65"/>
  <c r="I83" i="65"/>
  <c r="H83" i="65"/>
  <c r="G83" i="65"/>
  <c r="F83" i="65"/>
  <c r="W82" i="65" a="1"/>
  <c r="W82" i="65" s="1"/>
  <c r="V82" i="65" a="1"/>
  <c r="V82" i="65" s="1"/>
  <c r="U82" i="65" a="1"/>
  <c r="U82" i="65" s="1"/>
  <c r="I82" i="65" a="1"/>
  <c r="I82" i="65"/>
  <c r="I86" i="65" s="1"/>
  <c r="H82" i="65" a="1"/>
  <c r="H82" i="65" s="1"/>
  <c r="W81" i="65" a="1"/>
  <c r="W81" i="65" s="1"/>
  <c r="V81" i="65" a="1"/>
  <c r="V81" i="65" s="1"/>
  <c r="U81" i="65" a="1"/>
  <c r="U81" i="65" s="1"/>
  <c r="U45" i="65" s="1"/>
  <c r="H79" i="65"/>
  <c r="G79" i="65"/>
  <c r="C78" i="65"/>
  <c r="W74" i="65" a="1"/>
  <c r="W74" i="65" s="1"/>
  <c r="W72" i="65" s="1"/>
  <c r="V74" i="65" a="1"/>
  <c r="V74" i="65" s="1"/>
  <c r="V72" i="65" s="1"/>
  <c r="U74" i="65" a="1"/>
  <c r="U74" i="65" s="1"/>
  <c r="U72" i="65" s="1"/>
  <c r="W70" i="65"/>
  <c r="V70" i="65"/>
  <c r="U70" i="65"/>
  <c r="T70" i="65"/>
  <c r="S70" i="65"/>
  <c r="R70" i="65"/>
  <c r="Q70" i="65"/>
  <c r="W65" i="65"/>
  <c r="V65" i="65"/>
  <c r="U65" i="65"/>
  <c r="T65" i="65"/>
  <c r="S65" i="65"/>
  <c r="R65" i="65"/>
  <c r="Q65" i="65"/>
  <c r="P65" i="65"/>
  <c r="O65" i="65"/>
  <c r="N65" i="65"/>
  <c r="M65" i="65"/>
  <c r="W63" i="65" a="1"/>
  <c r="W63" i="65" s="1"/>
  <c r="V63" i="65" a="1"/>
  <c r="V63" i="65"/>
  <c r="U63" i="65" a="1"/>
  <c r="U63" i="65" s="1"/>
  <c r="R63" i="65" a="1"/>
  <c r="R63" i="65" s="1"/>
  <c r="Q63" i="65" a="1"/>
  <c r="Q63" i="65" s="1"/>
  <c r="P63" i="65" a="1"/>
  <c r="P63" i="65" s="1"/>
  <c r="W62" i="65" a="1"/>
  <c r="W62" i="65" s="1"/>
  <c r="W64" i="65" s="1"/>
  <c r="V62" i="65" a="1"/>
  <c r="V62" i="65" s="1"/>
  <c r="V64" i="65" s="1"/>
  <c r="U62" i="65" a="1"/>
  <c r="U62" i="65" s="1"/>
  <c r="U64" i="65" s="1"/>
  <c r="N62" i="65" a="1"/>
  <c r="N62" i="65" s="1"/>
  <c r="M62" i="65" a="1"/>
  <c r="M62" i="65" s="1"/>
  <c r="L62" i="65" a="1"/>
  <c r="L62" i="65" s="1"/>
  <c r="W59" i="65"/>
  <c r="V59" i="65"/>
  <c r="U59" i="65"/>
  <c r="T59" i="65"/>
  <c r="S59" i="65"/>
  <c r="R59" i="65"/>
  <c r="Q59" i="65"/>
  <c r="P59" i="65"/>
  <c r="M59" i="65"/>
  <c r="W54" i="65" a="1"/>
  <c r="W54" i="65" s="1"/>
  <c r="V54" i="65" a="1"/>
  <c r="V54" i="65" s="1"/>
  <c r="U54" i="65" a="1"/>
  <c r="U54" i="65" s="1"/>
  <c r="R54" i="65" a="1"/>
  <c r="R54" i="65" s="1"/>
  <c r="W53" i="65" a="1"/>
  <c r="W53" i="65" s="1"/>
  <c r="V53" i="65" a="1"/>
  <c r="V53" i="65" s="1"/>
  <c r="U53" i="65" a="1"/>
  <c r="U53" i="65" s="1"/>
  <c r="H53" i="65" a="1"/>
  <c r="H53" i="65" s="1"/>
  <c r="W49" i="65"/>
  <c r="V49" i="65"/>
  <c r="U49" i="65"/>
  <c r="T49" i="65"/>
  <c r="S49" i="65"/>
  <c r="R49" i="65"/>
  <c r="Q49" i="65"/>
  <c r="P49" i="65"/>
  <c r="F49" i="65"/>
  <c r="V44" i="65"/>
  <c r="U44" i="65"/>
  <c r="W43" i="65"/>
  <c r="V43" i="65"/>
  <c r="U43" i="65"/>
  <c r="T43" i="65"/>
  <c r="S43" i="65"/>
  <c r="R43" i="65"/>
  <c r="Q43" i="65"/>
  <c r="P43" i="65"/>
  <c r="O43" i="65"/>
  <c r="N43" i="65"/>
  <c r="M43" i="65"/>
  <c r="L43" i="65"/>
  <c r="K43" i="65"/>
  <c r="J43" i="65"/>
  <c r="I43" i="65"/>
  <c r="H43" i="65"/>
  <c r="G43" i="65"/>
  <c r="F43" i="65"/>
  <c r="W42" i="65" a="1"/>
  <c r="W42" i="65" s="1"/>
  <c r="V42" i="65" a="1"/>
  <c r="V42" i="65" s="1"/>
  <c r="U42" i="65" a="1"/>
  <c r="U42" i="65" s="1"/>
  <c r="O42" i="65" a="1"/>
  <c r="O42" i="65" s="1"/>
  <c r="N42" i="65" a="1"/>
  <c r="N42" i="65" s="1"/>
  <c r="W41" i="65" a="1"/>
  <c r="W41" i="65"/>
  <c r="V41" i="65" a="1"/>
  <c r="V41" i="65" s="1"/>
  <c r="U41" i="65" a="1"/>
  <c r="U41" i="65" s="1"/>
  <c r="O41" i="65" a="1"/>
  <c r="O41" i="65" s="1"/>
  <c r="N41" i="65" a="1"/>
  <c r="N41" i="65" s="1"/>
  <c r="M41" i="65" a="1"/>
  <c r="M41" i="65" s="1"/>
  <c r="U39" i="65"/>
  <c r="F39" i="65"/>
  <c r="W34" i="65"/>
  <c r="V34" i="65"/>
  <c r="U34" i="65"/>
  <c r="T34" i="65"/>
  <c r="S34" i="65"/>
  <c r="R34" i="65"/>
  <c r="Q34" i="65"/>
  <c r="P34" i="65"/>
  <c r="O34" i="65"/>
  <c r="N34" i="65"/>
  <c r="M34" i="65"/>
  <c r="L34" i="65"/>
  <c r="K34" i="65"/>
  <c r="J34" i="65"/>
  <c r="I34" i="65"/>
  <c r="H34" i="65"/>
  <c r="G34" i="65"/>
  <c r="F34" i="65"/>
  <c r="W33" i="65" a="1"/>
  <c r="W33" i="65" s="1"/>
  <c r="V33" i="65" a="1"/>
  <c r="V33" i="65" s="1"/>
  <c r="U33" i="65" a="1"/>
  <c r="U33" i="65" s="1"/>
  <c r="J33" i="65" a="1"/>
  <c r="J33" i="65" s="1"/>
  <c r="I33" i="65" a="1"/>
  <c r="I33" i="65" s="1"/>
  <c r="H33" i="65" a="1"/>
  <c r="H33" i="65" s="1"/>
  <c r="W32" i="65" a="1"/>
  <c r="W32" i="65" s="1"/>
  <c r="V32" i="65" a="1"/>
  <c r="V32" i="65" s="1"/>
  <c r="U32" i="65" a="1"/>
  <c r="U32" i="65" s="1"/>
  <c r="W29" i="65"/>
  <c r="V29" i="65"/>
  <c r="U29" i="65"/>
  <c r="T29" i="65"/>
  <c r="S29" i="65"/>
  <c r="R29" i="65"/>
  <c r="Q29" i="65"/>
  <c r="P29" i="65"/>
  <c r="M29" i="65"/>
  <c r="G29" i="65"/>
  <c r="W21" i="65"/>
  <c r="V21" i="65"/>
  <c r="U21" i="65"/>
  <c r="T21" i="65"/>
  <c r="S21" i="65"/>
  <c r="R21" i="65"/>
  <c r="Q21" i="65"/>
  <c r="P21" i="65"/>
  <c r="O21" i="65"/>
  <c r="N21" i="65"/>
  <c r="M21" i="65"/>
  <c r="L21" i="65"/>
  <c r="W19" i="65"/>
  <c r="V19" i="65"/>
  <c r="U19" i="65"/>
  <c r="T19" i="65"/>
  <c r="S19" i="65"/>
  <c r="R19" i="65"/>
  <c r="Q19" i="65"/>
  <c r="P19" i="65"/>
  <c r="O19" i="65"/>
  <c r="N19" i="65"/>
  <c r="M19" i="65"/>
  <c r="L19" i="65"/>
  <c r="W18" i="65"/>
  <c r="V18" i="65"/>
  <c r="U18" i="65"/>
  <c r="T18" i="65"/>
  <c r="S18" i="65"/>
  <c r="R18" i="65"/>
  <c r="Q18" i="65"/>
  <c r="P18" i="65"/>
  <c r="O18" i="65"/>
  <c r="N18" i="65"/>
  <c r="M18" i="65"/>
  <c r="L18" i="65"/>
  <c r="W15" i="65" a="1"/>
  <c r="W15" i="65" s="1"/>
  <c r="W16" i="65" s="1"/>
  <c r="V15" i="65" a="1"/>
  <c r="V15" i="65" s="1"/>
  <c r="V16" i="65" s="1"/>
  <c r="U15" i="65" a="1"/>
  <c r="U15" i="65" s="1"/>
  <c r="U16" i="65" s="1"/>
  <c r="T15" i="65" a="1"/>
  <c r="T15" i="65" s="1"/>
  <c r="T16" i="65" s="1"/>
  <c r="R15" i="65" a="1"/>
  <c r="R15" i="65" s="1"/>
  <c r="R16" i="65" s="1"/>
  <c r="Q15" i="65" a="1"/>
  <c r="Q15" i="65" s="1"/>
  <c r="Q16" i="65" s="1"/>
  <c r="W9" i="65" a="1"/>
  <c r="W9" i="65" s="1"/>
  <c r="V9" i="65" a="1"/>
  <c r="V9" i="65" s="1"/>
  <c r="U9" i="65" a="1"/>
  <c r="U9" i="65" s="1"/>
  <c r="W8" i="65" a="1"/>
  <c r="W8" i="65" s="1"/>
  <c r="V8" i="65" a="1"/>
  <c r="V8" i="65" s="1"/>
  <c r="U8" i="65" a="1"/>
  <c r="U8" i="65" s="1"/>
  <c r="S8" i="65" a="1"/>
  <c r="S8" i="65" s="1"/>
  <c r="W4" i="65"/>
  <c r="V4" i="65"/>
  <c r="U4" i="65"/>
  <c r="T4" i="65"/>
  <c r="S4" i="65"/>
  <c r="R4" i="65"/>
  <c r="Q4" i="65"/>
  <c r="P4" i="65"/>
  <c r="E2" i="65" a="1"/>
  <c r="B360" i="64"/>
  <c r="B359" i="64"/>
  <c r="M340" i="64"/>
  <c r="L340" i="64"/>
  <c r="K340" i="64"/>
  <c r="J340" i="64"/>
  <c r="L339" i="64"/>
  <c r="K339" i="64"/>
  <c r="D336" i="64" a="1"/>
  <c r="C326" i="64"/>
  <c r="C316" i="64"/>
  <c r="C315" i="64"/>
  <c r="C314" i="64"/>
  <c r="C313" i="64"/>
  <c r="M302" i="64"/>
  <c r="L302" i="64"/>
  <c r="K302" i="64"/>
  <c r="J302" i="64"/>
  <c r="B262" i="64"/>
  <c r="B261" i="64"/>
  <c r="B260" i="64"/>
  <c r="C240" i="64"/>
  <c r="F12" i="21" s="1"/>
  <c r="C238" i="64"/>
  <c r="C239" i="64" s="1" a="1"/>
  <c r="C239" i="64" s="1"/>
  <c r="C234" i="64"/>
  <c r="C227" i="64"/>
  <c r="B210" i="64"/>
  <c r="K190" i="64"/>
  <c r="J190" i="64"/>
  <c r="I190" i="64"/>
  <c r="H190" i="64"/>
  <c r="D186" i="64" a="1"/>
  <c r="D186" i="64" s="1"/>
  <c r="J158" i="64"/>
  <c r="I158" i="64"/>
  <c r="H158" i="64"/>
  <c r="G158" i="64"/>
  <c r="F158" i="64"/>
  <c r="E158" i="64"/>
  <c r="J157" i="64"/>
  <c r="I157" i="64"/>
  <c r="H157" i="64"/>
  <c r="G157" i="64"/>
  <c r="F157" i="64"/>
  <c r="E157" i="64"/>
  <c r="J156" i="64"/>
  <c r="I156" i="64"/>
  <c r="H156" i="64"/>
  <c r="G156" i="64"/>
  <c r="F156" i="64"/>
  <c r="E156" i="64"/>
  <c r="B156" i="64"/>
  <c r="J155" i="64"/>
  <c r="I155" i="64"/>
  <c r="H155" i="64"/>
  <c r="J154" i="64"/>
  <c r="J160" i="64" s="1"/>
  <c r="I154" i="64"/>
  <c r="I160" i="64" s="1"/>
  <c r="H154" i="64"/>
  <c r="H160" i="64" s="1"/>
  <c r="J153" i="64"/>
  <c r="J159" i="64" s="1"/>
  <c r="I153" i="64"/>
  <c r="I159" i="64" s="1"/>
  <c r="H153" i="64"/>
  <c r="H159" i="64" s="1"/>
  <c r="J152" i="64"/>
  <c r="I152" i="64"/>
  <c r="H152" i="64"/>
  <c r="J151" i="64"/>
  <c r="I151" i="64"/>
  <c r="H151" i="64"/>
  <c r="J150" i="64"/>
  <c r="I150" i="64"/>
  <c r="H150" i="64"/>
  <c r="J149" i="64"/>
  <c r="I149" i="64"/>
  <c r="H149" i="64"/>
  <c r="J148" i="64"/>
  <c r="I148" i="64"/>
  <c r="H148" i="64"/>
  <c r="J147" i="64"/>
  <c r="I147" i="64"/>
  <c r="H147" i="64"/>
  <c r="J146" i="64"/>
  <c r="I146" i="64"/>
  <c r="H146" i="64"/>
  <c r="J145" i="64"/>
  <c r="I145" i="64"/>
  <c r="H145" i="64"/>
  <c r="B145" i="64"/>
  <c r="J144" i="64"/>
  <c r="I144" i="64"/>
  <c r="H144" i="64"/>
  <c r="B144" i="64"/>
  <c r="J143" i="64"/>
  <c r="I143" i="64"/>
  <c r="H143" i="64"/>
  <c r="J142" i="64"/>
  <c r="J54" i="76" s="1"/>
  <c r="I142" i="64"/>
  <c r="I54" i="76" s="1"/>
  <c r="H142" i="64"/>
  <c r="J141" i="64"/>
  <c r="J53" i="76" s="1"/>
  <c r="I141" i="64"/>
  <c r="I53" i="76" s="1"/>
  <c r="H141" i="64"/>
  <c r="J140" i="64"/>
  <c r="I140" i="64"/>
  <c r="H140" i="64"/>
  <c r="J139" i="64"/>
  <c r="I139" i="64"/>
  <c r="H139" i="64"/>
  <c r="J136" i="64"/>
  <c r="J52" i="76" s="1"/>
  <c r="I136" i="64"/>
  <c r="I52" i="76" s="1"/>
  <c r="H136" i="64"/>
  <c r="H52" i="76" s="1"/>
  <c r="J135" i="64"/>
  <c r="J51" i="76" s="1"/>
  <c r="I135" i="64"/>
  <c r="I51" i="76" s="1"/>
  <c r="H135" i="64"/>
  <c r="H51" i="76" s="1"/>
  <c r="J134" i="64"/>
  <c r="J50" i="76" s="1"/>
  <c r="I134" i="64"/>
  <c r="I50" i="76" s="1"/>
  <c r="H134" i="64"/>
  <c r="H50" i="76" s="1"/>
  <c r="J133" i="64"/>
  <c r="J49" i="76" s="1"/>
  <c r="I133" i="64"/>
  <c r="I49" i="76" s="1"/>
  <c r="H133" i="64"/>
  <c r="H49" i="76" s="1"/>
  <c r="E133" i="64"/>
  <c r="E49" i="76" s="1"/>
  <c r="J132" i="64"/>
  <c r="I132" i="64"/>
  <c r="H132" i="64"/>
  <c r="H48" i="76" s="1"/>
  <c r="J131" i="64"/>
  <c r="J47" i="76" s="1"/>
  <c r="I131" i="64"/>
  <c r="I47" i="76" s="1"/>
  <c r="H131" i="64"/>
  <c r="H47" i="76" s="1"/>
  <c r="J130" i="64"/>
  <c r="J46" i="76" s="1"/>
  <c r="I130" i="64"/>
  <c r="I46" i="76" s="1"/>
  <c r="H130" i="64"/>
  <c r="H46" i="76" s="1"/>
  <c r="J129" i="64"/>
  <c r="J45" i="76" s="1"/>
  <c r="I129" i="64"/>
  <c r="I45" i="76" s="1"/>
  <c r="H129" i="64"/>
  <c r="H45" i="76" s="1"/>
  <c r="D129" i="64"/>
  <c r="D128" i="64"/>
  <c r="J127" i="64"/>
  <c r="I127" i="64"/>
  <c r="I43" i="76" s="1"/>
  <c r="H127" i="64"/>
  <c r="H43" i="76" s="1"/>
  <c r="J126" i="64"/>
  <c r="J42" i="76" s="1"/>
  <c r="I126" i="64"/>
  <c r="I42" i="76" s="1"/>
  <c r="H126" i="64"/>
  <c r="H42" i="76" s="1"/>
  <c r="J125" i="64"/>
  <c r="J41" i="76" s="1"/>
  <c r="I125" i="64"/>
  <c r="I41" i="76" s="1"/>
  <c r="H125" i="64"/>
  <c r="H41" i="76" s="1"/>
  <c r="J123" i="64"/>
  <c r="J39" i="76" s="1"/>
  <c r="I123" i="64"/>
  <c r="I39" i="76" s="1"/>
  <c r="H123" i="64"/>
  <c r="H39" i="76" s="1"/>
  <c r="J122" i="64"/>
  <c r="J38" i="76" s="1"/>
  <c r="I122" i="64"/>
  <c r="I38" i="76" s="1"/>
  <c r="H122" i="64"/>
  <c r="H38" i="76" s="1"/>
  <c r="J121" i="64"/>
  <c r="I121" i="64"/>
  <c r="H121" i="64"/>
  <c r="H37" i="76" s="1"/>
  <c r="J120" i="64"/>
  <c r="J36" i="76" s="1"/>
  <c r="I120" i="64"/>
  <c r="I36" i="76" s="1"/>
  <c r="H120" i="64"/>
  <c r="H36" i="76" s="1"/>
  <c r="J118" i="64"/>
  <c r="J34" i="76" s="1"/>
  <c r="I118" i="64"/>
  <c r="I34" i="76" s="1"/>
  <c r="H118" i="64"/>
  <c r="H34" i="76" s="1"/>
  <c r="J117" i="64"/>
  <c r="J33" i="76" s="1"/>
  <c r="I117" i="64"/>
  <c r="I33" i="76" s="1"/>
  <c r="H117" i="64"/>
  <c r="H33" i="76" s="1"/>
  <c r="J116" i="64"/>
  <c r="J32" i="76" s="1"/>
  <c r="I116" i="64"/>
  <c r="I32" i="76" s="1"/>
  <c r="H116" i="64"/>
  <c r="H32" i="76" s="1"/>
  <c r="J115" i="64"/>
  <c r="J31" i="76" s="1"/>
  <c r="I115" i="64"/>
  <c r="I31" i="76" s="1"/>
  <c r="H115" i="64"/>
  <c r="H31" i="76" s="1"/>
  <c r="J114" i="64"/>
  <c r="J30" i="76" s="1"/>
  <c r="I114" i="64"/>
  <c r="I30" i="76" s="1"/>
  <c r="H114" i="64"/>
  <c r="H30" i="76" s="1"/>
  <c r="J113" i="64"/>
  <c r="J29" i="76" s="1"/>
  <c r="I113" i="64"/>
  <c r="I29" i="76" s="1"/>
  <c r="H113" i="64"/>
  <c r="H29" i="76" s="1"/>
  <c r="J112" i="64"/>
  <c r="J28" i="76" s="1"/>
  <c r="I112" i="64"/>
  <c r="I28" i="76" s="1"/>
  <c r="H112" i="64"/>
  <c r="H28" i="76" s="1"/>
  <c r="J111" i="64"/>
  <c r="J27" i="76" s="1"/>
  <c r="I111" i="64"/>
  <c r="I27" i="76" s="1"/>
  <c r="H111" i="64"/>
  <c r="H27" i="76" s="1"/>
  <c r="J110" i="64"/>
  <c r="J26" i="76" s="1"/>
  <c r="I110" i="64"/>
  <c r="I26" i="76" s="1"/>
  <c r="H110" i="64"/>
  <c r="H26" i="76" s="1"/>
  <c r="J109" i="64"/>
  <c r="J25" i="76" s="1"/>
  <c r="I109" i="64"/>
  <c r="I25" i="76" s="1"/>
  <c r="H109" i="64"/>
  <c r="H25" i="76" s="1"/>
  <c r="J108" i="64"/>
  <c r="J24" i="76" s="1"/>
  <c r="I108" i="64"/>
  <c r="I24" i="76" s="1"/>
  <c r="H108" i="64"/>
  <c r="H24" i="76" s="1"/>
  <c r="D105" i="64" a="1"/>
  <c r="F132" i="64" s="1"/>
  <c r="F48" i="76" s="1"/>
  <c r="X88" i="64"/>
  <c r="W88" i="64"/>
  <c r="V88" i="64"/>
  <c r="W110" i="65" s="1"/>
  <c r="U88" i="64"/>
  <c r="T88" i="64"/>
  <c r="U110" i="65" s="1"/>
  <c r="S88" i="64"/>
  <c r="T110" i="65" s="1"/>
  <c r="R88" i="64"/>
  <c r="S110" i="65" s="1"/>
  <c r="Q88" i="64"/>
  <c r="R110" i="65" s="1"/>
  <c r="P88" i="64"/>
  <c r="Q110" i="65" s="1"/>
  <c r="O88" i="64"/>
  <c r="N88" i="64"/>
  <c r="O110" i="65" s="1"/>
  <c r="M88" i="64"/>
  <c r="N110" i="65" s="1"/>
  <c r="L88" i="64"/>
  <c r="M110" i="65" s="1"/>
  <c r="K88" i="64"/>
  <c r="L110" i="65" s="1"/>
  <c r="J88" i="64"/>
  <c r="K110" i="65" s="1"/>
  <c r="I88" i="64"/>
  <c r="J110" i="65" s="1"/>
  <c r="H88" i="64"/>
  <c r="I110" i="65" s="1"/>
  <c r="G88" i="64"/>
  <c r="H110" i="65" s="1"/>
  <c r="F88" i="64"/>
  <c r="G110" i="65" s="1"/>
  <c r="E88" i="64"/>
  <c r="D88" i="64"/>
  <c r="X87" i="64"/>
  <c r="W87" i="64"/>
  <c r="V87" i="64"/>
  <c r="W109" i="65" s="1"/>
  <c r="U87" i="64"/>
  <c r="V109" i="65" s="1"/>
  <c r="T87" i="64"/>
  <c r="U109" i="65" s="1"/>
  <c r="S87" i="64"/>
  <c r="T109" i="65" s="1"/>
  <c r="R87" i="64"/>
  <c r="S109" i="65" s="1"/>
  <c r="Q87" i="64"/>
  <c r="R109" i="65" s="1"/>
  <c r="P87" i="64"/>
  <c r="Q109" i="65" s="1"/>
  <c r="O87" i="64"/>
  <c r="P109" i="65" s="1"/>
  <c r="N87" i="64"/>
  <c r="M87" i="64"/>
  <c r="L87" i="64"/>
  <c r="K87" i="64"/>
  <c r="L109" i="65" s="1"/>
  <c r="J87" i="64"/>
  <c r="K109" i="65" s="1"/>
  <c r="I87" i="64"/>
  <c r="J109" i="65" s="1"/>
  <c r="H87" i="64"/>
  <c r="I109" i="65" s="1"/>
  <c r="G87" i="64"/>
  <c r="H109" i="65" s="1"/>
  <c r="F87" i="64"/>
  <c r="G109" i="65" s="1"/>
  <c r="E87" i="64"/>
  <c r="F109" i="65" s="1"/>
  <c r="D87" i="64"/>
  <c r="X86" i="64"/>
  <c r="W86" i="64"/>
  <c r="V86" i="64"/>
  <c r="W108" i="65" s="1"/>
  <c r="U86" i="64"/>
  <c r="V108" i="65" s="1"/>
  <c r="T86" i="64"/>
  <c r="U108" i="65" s="1"/>
  <c r="S86" i="64"/>
  <c r="T108" i="65" s="1"/>
  <c r="R86" i="64"/>
  <c r="S108" i="65" s="1"/>
  <c r="Q86" i="64"/>
  <c r="R108" i="65" s="1"/>
  <c r="P86" i="64"/>
  <c r="O86" i="64"/>
  <c r="N86" i="64"/>
  <c r="O108" i="65" s="1"/>
  <c r="M86" i="64"/>
  <c r="N108" i="65" s="1"/>
  <c r="L86" i="64"/>
  <c r="M108" i="65" s="1"/>
  <c r="K86" i="64"/>
  <c r="L108" i="65" s="1"/>
  <c r="J86" i="64"/>
  <c r="I86" i="64"/>
  <c r="H86" i="64"/>
  <c r="I108" i="65" s="1"/>
  <c r="G86" i="64"/>
  <c r="H108" i="65" s="1"/>
  <c r="F86" i="64"/>
  <c r="G108" i="65" s="1"/>
  <c r="E86" i="64"/>
  <c r="F108" i="65" s="1"/>
  <c r="D86" i="64"/>
  <c r="E108" i="65" s="1"/>
  <c r="X85" i="64"/>
  <c r="W85" i="64"/>
  <c r="V85" i="64"/>
  <c r="U85" i="64"/>
  <c r="V107" i="65" s="1"/>
  <c r="T85" i="64"/>
  <c r="U107" i="65" s="1"/>
  <c r="S85" i="64"/>
  <c r="T107" i="65" s="1"/>
  <c r="R85" i="64"/>
  <c r="S107" i="65" s="1"/>
  <c r="Q85" i="64"/>
  <c r="R107" i="65" s="1"/>
  <c r="P85" i="64"/>
  <c r="Q107" i="65" s="1"/>
  <c r="O85" i="64"/>
  <c r="P107" i="65" s="1"/>
  <c r="N85" i="64"/>
  <c r="O107" i="65" s="1"/>
  <c r="M85" i="64"/>
  <c r="N107" i="65" s="1"/>
  <c r="L85" i="64"/>
  <c r="M107" i="65" s="1"/>
  <c r="K85" i="64"/>
  <c r="L107" i="65" s="1"/>
  <c r="J85" i="64"/>
  <c r="K107" i="65" s="1"/>
  <c r="I85" i="64"/>
  <c r="J107" i="65" s="1"/>
  <c r="H85" i="64"/>
  <c r="G85" i="64"/>
  <c r="F85" i="64"/>
  <c r="E85" i="64"/>
  <c r="D85" i="64"/>
  <c r="X84" i="64"/>
  <c r="W84" i="64"/>
  <c r="V84" i="64"/>
  <c r="W106" i="65" s="1"/>
  <c r="U84" i="64"/>
  <c r="V106" i="65" s="1"/>
  <c r="T84" i="64"/>
  <c r="U106" i="65" s="1"/>
  <c r="S84" i="64"/>
  <c r="T106" i="65" s="1"/>
  <c r="R84" i="64"/>
  <c r="S106" i="65" s="1"/>
  <c r="Q84" i="64"/>
  <c r="R106" i="65" s="1"/>
  <c r="P84" i="64"/>
  <c r="Q106" i="65" s="1"/>
  <c r="O84" i="64"/>
  <c r="P106" i="65" s="1"/>
  <c r="N84" i="64"/>
  <c r="O106" i="65" s="1"/>
  <c r="M84" i="64"/>
  <c r="L84" i="64"/>
  <c r="K84" i="64"/>
  <c r="J84" i="64"/>
  <c r="K106" i="65" s="1"/>
  <c r="I84" i="64"/>
  <c r="J106" i="65" s="1"/>
  <c r="H84" i="64"/>
  <c r="I106" i="65" s="1"/>
  <c r="G84" i="64"/>
  <c r="H106" i="65" s="1"/>
  <c r="F84" i="64"/>
  <c r="G106" i="65" s="1"/>
  <c r="E84" i="64"/>
  <c r="F106" i="65" s="1"/>
  <c r="D84" i="64"/>
  <c r="E106" i="65" s="1"/>
  <c r="X83" i="64"/>
  <c r="W83" i="64"/>
  <c r="V83" i="64"/>
  <c r="W105" i="65" s="1"/>
  <c r="U83" i="64"/>
  <c r="V105" i="65" s="1"/>
  <c r="T83" i="64"/>
  <c r="S83" i="64"/>
  <c r="T105" i="65" s="1"/>
  <c r="R83" i="64"/>
  <c r="S105" i="65" s="1"/>
  <c r="Q83" i="64"/>
  <c r="R105" i="65" s="1"/>
  <c r="P83" i="64"/>
  <c r="Q105" i="65" s="1"/>
  <c r="O83" i="64"/>
  <c r="P105" i="65" s="1"/>
  <c r="N83" i="64"/>
  <c r="O105" i="65" s="1"/>
  <c r="M83" i="64"/>
  <c r="L83" i="64"/>
  <c r="M105" i="65" s="1"/>
  <c r="K83" i="64"/>
  <c r="L105" i="65" s="1"/>
  <c r="J83" i="64"/>
  <c r="K105" i="65" s="1"/>
  <c r="I83" i="64"/>
  <c r="J105" i="65" s="1"/>
  <c r="H83" i="64"/>
  <c r="G83" i="64"/>
  <c r="H105" i="65" s="1"/>
  <c r="F83" i="64"/>
  <c r="G105" i="65" s="1"/>
  <c r="E83" i="64"/>
  <c r="F105" i="65" s="1"/>
  <c r="D83" i="64"/>
  <c r="X82" i="64"/>
  <c r="W82" i="64"/>
  <c r="V82" i="64"/>
  <c r="W104" i="65" s="1"/>
  <c r="U82" i="64"/>
  <c r="V104" i="65" s="1"/>
  <c r="T82" i="64"/>
  <c r="U104" i="65" s="1"/>
  <c r="S82" i="64"/>
  <c r="T104" i="65" s="1"/>
  <c r="R82" i="64"/>
  <c r="Q82" i="64"/>
  <c r="R104" i="65" s="1"/>
  <c r="P82" i="64"/>
  <c r="Q104" i="65" s="1"/>
  <c r="O82" i="64"/>
  <c r="P104" i="65" s="1"/>
  <c r="N82" i="64"/>
  <c r="O104" i="65" s="1"/>
  <c r="M82" i="64"/>
  <c r="L82" i="64"/>
  <c r="K82" i="64"/>
  <c r="J82" i="64"/>
  <c r="K104" i="65" s="1"/>
  <c r="I82" i="64"/>
  <c r="J104" i="65" s="1"/>
  <c r="H82" i="64"/>
  <c r="I104" i="65" s="1"/>
  <c r="G82" i="64"/>
  <c r="F82" i="64"/>
  <c r="E82" i="64"/>
  <c r="D82" i="64"/>
  <c r="X81" i="64"/>
  <c r="W81" i="64"/>
  <c r="V81" i="64"/>
  <c r="W103" i="65" s="1"/>
  <c r="U81" i="64"/>
  <c r="V103" i="65" s="1"/>
  <c r="T81" i="64"/>
  <c r="U103" i="65" s="1"/>
  <c r="S81" i="64"/>
  <c r="T103" i="65" s="1"/>
  <c r="R81" i="64"/>
  <c r="Q81" i="64"/>
  <c r="R103" i="65" s="1"/>
  <c r="P81" i="64"/>
  <c r="Q103" i="65" s="1"/>
  <c r="O81" i="64"/>
  <c r="P103" i="65" s="1"/>
  <c r="N81" i="64"/>
  <c r="O103" i="65" s="1"/>
  <c r="M81" i="64"/>
  <c r="N103" i="65" s="1"/>
  <c r="L81" i="64"/>
  <c r="M103" i="65" s="1"/>
  <c r="K81" i="64"/>
  <c r="L103" i="65" s="1"/>
  <c r="J81" i="64"/>
  <c r="K103" i="65" s="1"/>
  <c r="I81" i="64"/>
  <c r="J103" i="65" s="1"/>
  <c r="H81" i="64"/>
  <c r="I103" i="65" s="1"/>
  <c r="G81" i="64"/>
  <c r="F81" i="64"/>
  <c r="G103" i="65" s="1"/>
  <c r="E81" i="64"/>
  <c r="F103" i="65" s="1"/>
  <c r="D81" i="64"/>
  <c r="E103" i="65" s="1"/>
  <c r="X80" i="64"/>
  <c r="W80" i="64"/>
  <c r="V80" i="64"/>
  <c r="W102" i="65" s="1"/>
  <c r="U80" i="64"/>
  <c r="V102" i="65" s="1"/>
  <c r="T80" i="64"/>
  <c r="U102" i="65" s="1"/>
  <c r="S80" i="64"/>
  <c r="R80" i="64"/>
  <c r="Q80" i="64"/>
  <c r="R102" i="65" s="1"/>
  <c r="P80" i="64"/>
  <c r="Q102" i="65" s="1"/>
  <c r="O80" i="64"/>
  <c r="P102" i="65" s="1"/>
  <c r="N80" i="64"/>
  <c r="O102" i="65" s="1"/>
  <c r="M80" i="64"/>
  <c r="N102" i="65" s="1"/>
  <c r="L80" i="64"/>
  <c r="M102" i="65" s="1"/>
  <c r="K80" i="64"/>
  <c r="L102" i="65" s="1"/>
  <c r="J80" i="64"/>
  <c r="K102" i="65" s="1"/>
  <c r="I80" i="64"/>
  <c r="H80" i="64"/>
  <c r="I102" i="65" s="1"/>
  <c r="G80" i="64"/>
  <c r="F80" i="64"/>
  <c r="G102" i="65" s="1"/>
  <c r="E80" i="64"/>
  <c r="F102" i="65" s="1"/>
  <c r="D80" i="64"/>
  <c r="E102" i="65" s="1"/>
  <c r="X79" i="64"/>
  <c r="W79" i="64"/>
  <c r="V79" i="64"/>
  <c r="W101" i="65" s="1"/>
  <c r="U79" i="64"/>
  <c r="V101" i="65" s="1"/>
  <c r="T79" i="64"/>
  <c r="S79" i="64"/>
  <c r="T101" i="65" s="1"/>
  <c r="R79" i="64"/>
  <c r="S101" i="65" s="1"/>
  <c r="Q79" i="64"/>
  <c r="R101" i="65" s="1"/>
  <c r="P79" i="64"/>
  <c r="Q101" i="65" s="1"/>
  <c r="O79" i="64"/>
  <c r="P101" i="65" s="1"/>
  <c r="N79" i="64"/>
  <c r="O101" i="65" s="1"/>
  <c r="M79" i="64"/>
  <c r="N101" i="65" s="1"/>
  <c r="L79" i="64"/>
  <c r="M101" i="65" s="1"/>
  <c r="K79" i="64"/>
  <c r="L101" i="65" s="1"/>
  <c r="J79" i="64"/>
  <c r="I79" i="64"/>
  <c r="H79" i="64"/>
  <c r="G79" i="64"/>
  <c r="F79" i="64"/>
  <c r="E79" i="64"/>
  <c r="D79" i="64"/>
  <c r="X78" i="64"/>
  <c r="W78" i="64"/>
  <c r="V78" i="64"/>
  <c r="U78" i="64"/>
  <c r="T78" i="64"/>
  <c r="S78" i="64"/>
  <c r="R78" i="64"/>
  <c r="Q78" i="64"/>
  <c r="P78" i="64"/>
  <c r="O78" i="64"/>
  <c r="N78" i="64"/>
  <c r="M78" i="64"/>
  <c r="L78" i="64"/>
  <c r="K78" i="64"/>
  <c r="J78" i="64"/>
  <c r="I78" i="64"/>
  <c r="H78" i="64"/>
  <c r="G78" i="64"/>
  <c r="F78" i="64"/>
  <c r="E78" i="64"/>
  <c r="D78" i="64"/>
  <c r="X77" i="64"/>
  <c r="W77" i="64"/>
  <c r="V77" i="64"/>
  <c r="U77" i="64"/>
  <c r="T77" i="64"/>
  <c r="S77" i="64"/>
  <c r="Q77" i="64"/>
  <c r="P77" i="64"/>
  <c r="F77" i="64"/>
  <c r="E77" i="64"/>
  <c r="D77" i="64"/>
  <c r="X76" i="64"/>
  <c r="W76" i="64"/>
  <c r="V76" i="64"/>
  <c r="U76" i="64"/>
  <c r="T76" i="64"/>
  <c r="G76" i="64"/>
  <c r="E76" i="64"/>
  <c r="D76" i="64"/>
  <c r="X75" i="64"/>
  <c r="W75" i="64"/>
  <c r="V75" i="64"/>
  <c r="U75" i="64"/>
  <c r="T75" i="64"/>
  <c r="S75" i="64"/>
  <c r="R75" i="64"/>
  <c r="P75" i="64"/>
  <c r="N75" i="64"/>
  <c r="M75" i="64"/>
  <c r="L75" i="64"/>
  <c r="G75" i="64"/>
  <c r="X74" i="64"/>
  <c r="W74" i="64"/>
  <c r="V74" i="64"/>
  <c r="U74" i="64"/>
  <c r="T74" i="64"/>
  <c r="S74" i="64"/>
  <c r="Q74" i="64"/>
  <c r="P74" i="64"/>
  <c r="M74" i="64"/>
  <c r="G74" i="64"/>
  <c r="E74" i="64"/>
  <c r="D74" i="64"/>
  <c r="X73" i="64"/>
  <c r="W73" i="64"/>
  <c r="V73" i="64"/>
  <c r="U73" i="64"/>
  <c r="T73" i="64"/>
  <c r="S73" i="64"/>
  <c r="R73" i="64"/>
  <c r="Q73" i="64"/>
  <c r="P73" i="64"/>
  <c r="O73" i="64"/>
  <c r="N73" i="64"/>
  <c r="M73" i="64"/>
  <c r="L73" i="64"/>
  <c r="K73" i="64"/>
  <c r="J73" i="64"/>
  <c r="I73" i="64"/>
  <c r="H73" i="64"/>
  <c r="G73" i="64"/>
  <c r="F73" i="64"/>
  <c r="E73" i="64"/>
  <c r="D73" i="64"/>
  <c r="X72" i="64"/>
  <c r="W72" i="64"/>
  <c r="V72" i="64"/>
  <c r="W89" i="65" s="1"/>
  <c r="U72" i="64"/>
  <c r="T72" i="64"/>
  <c r="S72" i="64"/>
  <c r="T89" i="65" s="1"/>
  <c r="R72" i="64"/>
  <c r="S89" i="65" s="1"/>
  <c r="Q72" i="64"/>
  <c r="R89" i="65" s="1"/>
  <c r="P72" i="64"/>
  <c r="Q89" i="65" s="1"/>
  <c r="O72" i="64"/>
  <c r="P89" i="65" s="1"/>
  <c r="N72" i="64"/>
  <c r="O89" i="65" s="1"/>
  <c r="M72" i="64"/>
  <c r="N89" i="65" s="1"/>
  <c r="L72" i="64"/>
  <c r="M89" i="65" s="1"/>
  <c r="K72" i="64"/>
  <c r="L89" i="65" s="1"/>
  <c r="J72" i="64"/>
  <c r="K89" i="65" s="1"/>
  <c r="I72" i="64"/>
  <c r="J89" i="65" s="1"/>
  <c r="H72" i="64"/>
  <c r="I89" i="65" s="1"/>
  <c r="G72" i="64"/>
  <c r="H89" i="65" s="1"/>
  <c r="F72" i="64"/>
  <c r="G89" i="65" s="1"/>
  <c r="E72" i="64"/>
  <c r="F89" i="65" s="1"/>
  <c r="D72" i="64"/>
  <c r="X71" i="64"/>
  <c r="W71" i="64"/>
  <c r="V71" i="64"/>
  <c r="U71" i="64"/>
  <c r="T71" i="64"/>
  <c r="U124" i="65" s="1"/>
  <c r="S71" i="64"/>
  <c r="T124" i="65" s="1"/>
  <c r="R71" i="64"/>
  <c r="S124" i="65" s="1"/>
  <c r="Q71" i="64"/>
  <c r="P71" i="64"/>
  <c r="O71" i="64"/>
  <c r="P124" i="65" s="1"/>
  <c r="N71" i="64"/>
  <c r="O124" i="65" s="1"/>
  <c r="M71" i="64"/>
  <c r="N124" i="65" s="1"/>
  <c r="L71" i="64"/>
  <c r="M124" i="65" s="1"/>
  <c r="K71" i="64"/>
  <c r="J71" i="64"/>
  <c r="I71" i="64"/>
  <c r="H71" i="64"/>
  <c r="I124" i="65" s="1"/>
  <c r="G71" i="64"/>
  <c r="H124" i="65" s="1"/>
  <c r="F71" i="64"/>
  <c r="E71" i="64"/>
  <c r="F124" i="65" s="1"/>
  <c r="D71" i="64"/>
  <c r="X70" i="64"/>
  <c r="W70" i="64"/>
  <c r="V70" i="64"/>
  <c r="U70" i="64"/>
  <c r="T70" i="64"/>
  <c r="S70" i="64"/>
  <c r="R70" i="64"/>
  <c r="Q70" i="64"/>
  <c r="P70" i="64"/>
  <c r="O70" i="64"/>
  <c r="N70" i="64"/>
  <c r="M70" i="64"/>
  <c r="L70" i="64"/>
  <c r="K70" i="64"/>
  <c r="J70" i="64"/>
  <c r="I70" i="64"/>
  <c r="H70" i="64"/>
  <c r="G70" i="64"/>
  <c r="F70" i="64"/>
  <c r="E70" i="64"/>
  <c r="D70" i="64"/>
  <c r="X69" i="64"/>
  <c r="W69" i="64"/>
  <c r="V69" i="64"/>
  <c r="W114" i="65" s="1"/>
  <c r="U69" i="64"/>
  <c r="V114" i="65" s="1"/>
  <c r="T69" i="64"/>
  <c r="U114" i="65" s="1"/>
  <c r="S69" i="64"/>
  <c r="T114" i="65" s="1"/>
  <c r="R69" i="64"/>
  <c r="S114" i="65" s="1"/>
  <c r="Q69" i="64"/>
  <c r="R114" i="65" s="1"/>
  <c r="P69" i="64"/>
  <c r="Q114" i="65" s="1"/>
  <c r="O69" i="64"/>
  <c r="P114" i="65" s="1"/>
  <c r="N69" i="64"/>
  <c r="O114" i="65" s="1"/>
  <c r="M69" i="64"/>
  <c r="N114" i="65" s="1"/>
  <c r="L69" i="64"/>
  <c r="M114" i="65" s="1"/>
  <c r="K69" i="64"/>
  <c r="L114" i="65" s="1"/>
  <c r="J69" i="64"/>
  <c r="K114" i="65" s="1"/>
  <c r="I69" i="64"/>
  <c r="J114" i="65" s="1"/>
  <c r="H69" i="64"/>
  <c r="G69" i="64"/>
  <c r="F69" i="64"/>
  <c r="E69" i="64"/>
  <c r="D69" i="64"/>
  <c r="X68" i="64"/>
  <c r="W68" i="64"/>
  <c r="V68" i="64"/>
  <c r="U68" i="64"/>
  <c r="T68" i="64"/>
  <c r="S68" i="64"/>
  <c r="R68" i="64"/>
  <c r="Q68" i="64"/>
  <c r="P68" i="64"/>
  <c r="O68" i="64"/>
  <c r="N68" i="64"/>
  <c r="M68" i="64"/>
  <c r="L68" i="64"/>
  <c r="K68" i="64"/>
  <c r="J68" i="64"/>
  <c r="I68" i="64"/>
  <c r="H68" i="64"/>
  <c r="G68" i="64"/>
  <c r="F68" i="64"/>
  <c r="E68" i="64"/>
  <c r="D68" i="64"/>
  <c r="X67" i="64"/>
  <c r="W67" i="64"/>
  <c r="V67" i="64"/>
  <c r="U67" i="64"/>
  <c r="T67" i="64"/>
  <c r="S67" i="64"/>
  <c r="R67" i="64"/>
  <c r="Q67" i="64"/>
  <c r="P67" i="64"/>
  <c r="O67" i="64"/>
  <c r="N67" i="64"/>
  <c r="M67" i="64"/>
  <c r="L67" i="64"/>
  <c r="K67" i="64"/>
  <c r="J67" i="64"/>
  <c r="I67" i="64"/>
  <c r="H67" i="64"/>
  <c r="G67" i="64"/>
  <c r="F67" i="64"/>
  <c r="E67" i="64"/>
  <c r="D67" i="64"/>
  <c r="X66" i="64"/>
  <c r="W66" i="64"/>
  <c r="V66" i="64"/>
  <c r="U66" i="64"/>
  <c r="T66" i="64"/>
  <c r="S66" i="64"/>
  <c r="R66" i="64"/>
  <c r="Q66" i="64"/>
  <c r="P66" i="64"/>
  <c r="O66" i="64"/>
  <c r="N66" i="64"/>
  <c r="M66" i="64"/>
  <c r="L66" i="64"/>
  <c r="K66" i="64"/>
  <c r="J66" i="64"/>
  <c r="I66" i="64"/>
  <c r="H66" i="64"/>
  <c r="G66" i="64"/>
  <c r="F66" i="64"/>
  <c r="E66" i="64"/>
  <c r="D66" i="64"/>
  <c r="X65" i="64"/>
  <c r="W65" i="64"/>
  <c r="V65" i="64"/>
  <c r="U65" i="64"/>
  <c r="T65" i="64"/>
  <c r="S65" i="64"/>
  <c r="R65" i="64"/>
  <c r="Q65" i="64"/>
  <c r="P65" i="64"/>
  <c r="O65" i="64"/>
  <c r="N65" i="64"/>
  <c r="M65" i="64"/>
  <c r="L65" i="64"/>
  <c r="K65" i="64"/>
  <c r="J65" i="64"/>
  <c r="I65" i="64"/>
  <c r="H65" i="64"/>
  <c r="G65" i="64"/>
  <c r="F65" i="64"/>
  <c r="E65" i="64"/>
  <c r="D65" i="64"/>
  <c r="X64" i="64"/>
  <c r="W64" i="64"/>
  <c r="V64" i="64"/>
  <c r="U64" i="64"/>
  <c r="T64" i="64"/>
  <c r="S64" i="64"/>
  <c r="R64" i="64"/>
  <c r="Q64" i="64"/>
  <c r="P64" i="64"/>
  <c r="O64" i="64"/>
  <c r="N64" i="64"/>
  <c r="M64" i="64"/>
  <c r="L64" i="64"/>
  <c r="K64" i="64"/>
  <c r="J64" i="64"/>
  <c r="I64" i="64"/>
  <c r="H64" i="64"/>
  <c r="G64" i="64"/>
  <c r="F64" i="64"/>
  <c r="E64" i="64"/>
  <c r="D64" i="64"/>
  <c r="W63" i="64"/>
  <c r="V63" i="64"/>
  <c r="U63" i="64"/>
  <c r="T63" i="64"/>
  <c r="D62" i="64" a="1"/>
  <c r="E63" i="64" s="1"/>
  <c r="W58" i="64"/>
  <c r="V58" i="64"/>
  <c r="U58" i="64"/>
  <c r="T58" i="64"/>
  <c r="S58" i="64"/>
  <c r="R58" i="64"/>
  <c r="Q58" i="64"/>
  <c r="P58" i="64"/>
  <c r="O58" i="64"/>
  <c r="N58" i="64"/>
  <c r="M58" i="64"/>
  <c r="L58" i="64"/>
  <c r="K58" i="64"/>
  <c r="J58" i="64"/>
  <c r="I58" i="64"/>
  <c r="H58" i="64"/>
  <c r="G58" i="64"/>
  <c r="F58" i="64"/>
  <c r="E58" i="64"/>
  <c r="D58" i="64"/>
  <c r="W57" i="64"/>
  <c r="V57" i="64"/>
  <c r="W99" i="65" s="1"/>
  <c r="U57" i="64"/>
  <c r="V99" i="65" s="1"/>
  <c r="T57" i="64"/>
  <c r="U99" i="65" s="1"/>
  <c r="S57" i="64"/>
  <c r="T99" i="65" s="1"/>
  <c r="R57" i="64"/>
  <c r="S99" i="65" s="1"/>
  <c r="Q57" i="64"/>
  <c r="R99" i="65" s="1"/>
  <c r="P57" i="64"/>
  <c r="Q99" i="65" s="1"/>
  <c r="O57" i="64"/>
  <c r="P99" i="65" s="1"/>
  <c r="N57" i="64"/>
  <c r="O99" i="65" s="1"/>
  <c r="M57" i="64"/>
  <c r="N99" i="65" s="1"/>
  <c r="L57" i="64"/>
  <c r="M99" i="65" s="1"/>
  <c r="K57" i="64"/>
  <c r="L99" i="65" s="1"/>
  <c r="J57" i="64"/>
  <c r="K99" i="65" s="1"/>
  <c r="I57" i="64"/>
  <c r="J99" i="65" s="1"/>
  <c r="H57" i="64"/>
  <c r="I99" i="65" s="1"/>
  <c r="G57" i="64"/>
  <c r="F57" i="64"/>
  <c r="G99" i="65" s="1"/>
  <c r="E57" i="64"/>
  <c r="F99" i="65" s="1"/>
  <c r="D57" i="64"/>
  <c r="E99" i="65" s="1"/>
  <c r="W56" i="64"/>
  <c r="V56" i="64"/>
  <c r="U56" i="64"/>
  <c r="V98" i="65" s="1"/>
  <c r="T56" i="64"/>
  <c r="U98" i="65" s="1"/>
  <c r="S56" i="64"/>
  <c r="T98" i="65" s="1"/>
  <c r="R56" i="64"/>
  <c r="Q56" i="64"/>
  <c r="P56" i="64"/>
  <c r="O56" i="64"/>
  <c r="P98" i="65" s="1"/>
  <c r="N56" i="64"/>
  <c r="O98" i="65" s="1"/>
  <c r="M56" i="64"/>
  <c r="N98" i="65" s="1"/>
  <c r="L56" i="64"/>
  <c r="M98" i="65" s="1"/>
  <c r="K56" i="64"/>
  <c r="L98" i="65" s="1"/>
  <c r="J56" i="64"/>
  <c r="K98" i="65" s="1"/>
  <c r="I56" i="64"/>
  <c r="J98" i="65" s="1"/>
  <c r="H56" i="64"/>
  <c r="I98" i="65" s="1"/>
  <c r="G56" i="64"/>
  <c r="H98" i="65" s="1"/>
  <c r="F56" i="64"/>
  <c r="G98" i="65" s="1"/>
  <c r="E56" i="64"/>
  <c r="F98" i="65" s="1"/>
  <c r="D56" i="64"/>
  <c r="E98" i="65" s="1"/>
  <c r="W55" i="64"/>
  <c r="V55" i="64"/>
  <c r="U55" i="64"/>
  <c r="T55" i="64"/>
  <c r="S55" i="64"/>
  <c r="R55" i="64"/>
  <c r="Q55" i="64"/>
  <c r="P55" i="64"/>
  <c r="O55" i="64"/>
  <c r="P97" i="65" s="1"/>
  <c r="N55" i="64"/>
  <c r="O97" i="65" s="1"/>
  <c r="M55" i="64"/>
  <c r="N97" i="65" s="1"/>
  <c r="L55" i="64"/>
  <c r="M97" i="65" s="1"/>
  <c r="K55" i="64"/>
  <c r="L97" i="65" s="1"/>
  <c r="J55" i="64"/>
  <c r="K97" i="65" s="1"/>
  <c r="I55" i="64"/>
  <c r="J97" i="65" s="1"/>
  <c r="H55" i="64"/>
  <c r="I97" i="65" s="1"/>
  <c r="G55" i="64"/>
  <c r="H97" i="65" s="1"/>
  <c r="F55" i="64"/>
  <c r="E55" i="64"/>
  <c r="D55" i="64"/>
  <c r="W54" i="64"/>
  <c r="V54" i="64"/>
  <c r="U54" i="64"/>
  <c r="T54" i="64"/>
  <c r="S54" i="64"/>
  <c r="R54" i="64"/>
  <c r="Q54" i="64"/>
  <c r="P54" i="64"/>
  <c r="O54" i="64"/>
  <c r="N54" i="64"/>
  <c r="M54" i="64"/>
  <c r="L54" i="64"/>
  <c r="K54" i="64"/>
  <c r="J54" i="64"/>
  <c r="I54" i="64"/>
  <c r="H54" i="64"/>
  <c r="G54" i="64"/>
  <c r="F54" i="64"/>
  <c r="E54" i="64"/>
  <c r="D54" i="64"/>
  <c r="W52" i="64"/>
  <c r="V52" i="64"/>
  <c r="W96" i="65" s="1"/>
  <c r="U52" i="64"/>
  <c r="V96" i="65" s="1"/>
  <c r="T52" i="64"/>
  <c r="U96" i="65" s="1"/>
  <c r="S52" i="64"/>
  <c r="T96" i="65" s="1"/>
  <c r="Q52" i="64"/>
  <c r="R96" i="65" s="1"/>
  <c r="P52" i="64"/>
  <c r="Q96" i="65" s="1"/>
  <c r="G52" i="64"/>
  <c r="H96" i="65" s="1"/>
  <c r="F52" i="64"/>
  <c r="G96" i="65" s="1"/>
  <c r="E52" i="64"/>
  <c r="F96" i="65" s="1"/>
  <c r="D52" i="64"/>
  <c r="E96" i="65" s="1"/>
  <c r="W51" i="64"/>
  <c r="V51" i="64"/>
  <c r="U51" i="64"/>
  <c r="T51" i="64"/>
  <c r="S51" i="64"/>
  <c r="R51" i="64"/>
  <c r="Q51" i="64"/>
  <c r="P51" i="64"/>
  <c r="O51" i="64"/>
  <c r="N51" i="64"/>
  <c r="M51" i="64"/>
  <c r="L51" i="64"/>
  <c r="K51" i="64"/>
  <c r="J51" i="64"/>
  <c r="I51" i="64"/>
  <c r="H51" i="64"/>
  <c r="G51" i="64"/>
  <c r="F51" i="64"/>
  <c r="E51" i="64"/>
  <c r="D51" i="64"/>
  <c r="W50" i="64"/>
  <c r="V50" i="64"/>
  <c r="U50" i="64"/>
  <c r="V79" i="65" s="1"/>
  <c r="V84" i="65" s="1"/>
  <c r="T50" i="64"/>
  <c r="U79" i="65" s="1"/>
  <c r="Q50" i="64"/>
  <c r="P50" i="64"/>
  <c r="M50" i="64"/>
  <c r="L50" i="64"/>
  <c r="G50" i="64"/>
  <c r="H39" i="65" s="1"/>
  <c r="F50" i="64"/>
  <c r="G39" i="65" s="1"/>
  <c r="W49" i="64"/>
  <c r="V49" i="64"/>
  <c r="U49" i="64"/>
  <c r="T49" i="64"/>
  <c r="S49" i="64"/>
  <c r="R49" i="64"/>
  <c r="Q49" i="64"/>
  <c r="P49" i="64"/>
  <c r="O49" i="64"/>
  <c r="N49" i="64"/>
  <c r="M49" i="64"/>
  <c r="L49" i="64"/>
  <c r="K49" i="64"/>
  <c r="J49" i="64"/>
  <c r="I49" i="64"/>
  <c r="H49" i="64"/>
  <c r="G49" i="64"/>
  <c r="F49" i="64"/>
  <c r="E49" i="64"/>
  <c r="D49" i="64"/>
  <c r="W47" i="64"/>
  <c r="V47" i="64"/>
  <c r="U47" i="64"/>
  <c r="T47" i="64"/>
  <c r="S47" i="64"/>
  <c r="D46" i="64" a="1"/>
  <c r="K47" i="64" s="1"/>
  <c r="N44" i="64"/>
  <c r="M44" i="64"/>
  <c r="L44" i="64"/>
  <c r="K44" i="64"/>
  <c r="J44" i="64"/>
  <c r="H44" i="64"/>
  <c r="D44" i="64"/>
  <c r="N43" i="64"/>
  <c r="M43" i="64"/>
  <c r="L43" i="64"/>
  <c r="K43" i="64"/>
  <c r="J43" i="64"/>
  <c r="H43" i="64"/>
  <c r="G43" i="64"/>
  <c r="N42" i="64"/>
  <c r="M42" i="64"/>
  <c r="L42" i="64"/>
  <c r="K42" i="64"/>
  <c r="J42" i="64"/>
  <c r="I42" i="64"/>
  <c r="G42" i="64"/>
  <c r="F42" i="64"/>
  <c r="E42" i="64"/>
  <c r="D42" i="64"/>
  <c r="N41" i="64"/>
  <c r="M41" i="64"/>
  <c r="L41" i="64"/>
  <c r="K41" i="64"/>
  <c r="J41" i="64"/>
  <c r="N40" i="64"/>
  <c r="M40" i="64"/>
  <c r="L40" i="64"/>
  <c r="K40" i="64"/>
  <c r="J40" i="64"/>
  <c r="N39" i="64"/>
  <c r="M39" i="64"/>
  <c r="L39" i="64"/>
  <c r="K39" i="64"/>
  <c r="J39" i="64"/>
  <c r="I39" i="64"/>
  <c r="H39" i="64"/>
  <c r="G39" i="64"/>
  <c r="F39" i="64"/>
  <c r="D39" i="64"/>
  <c r="N38" i="64"/>
  <c r="O29" i="65" s="1"/>
  <c r="M38" i="64"/>
  <c r="L38" i="64"/>
  <c r="K38" i="64"/>
  <c r="L29" i="65" s="1"/>
  <c r="J38" i="64"/>
  <c r="L59" i="65" s="1"/>
  <c r="H38" i="64"/>
  <c r="E38" i="64"/>
  <c r="N37" i="64"/>
  <c r="M37" i="64"/>
  <c r="L37" i="64"/>
  <c r="K37" i="64"/>
  <c r="J37" i="64"/>
  <c r="E37" i="64"/>
  <c r="D37" i="64"/>
  <c r="N36" i="64"/>
  <c r="O134" i="65" s="1"/>
  <c r="M36" i="64"/>
  <c r="N134" i="65" s="1"/>
  <c r="L36" i="64"/>
  <c r="M134" i="65" s="1"/>
  <c r="K36" i="64"/>
  <c r="L134" i="65" s="1"/>
  <c r="J36" i="64"/>
  <c r="K134" i="65" s="1"/>
  <c r="I36" i="64"/>
  <c r="J134" i="65" s="1"/>
  <c r="H36" i="64"/>
  <c r="I134" i="65" s="1"/>
  <c r="G36" i="64"/>
  <c r="H134" i="65" s="1"/>
  <c r="F36" i="64"/>
  <c r="G134" i="65" s="1"/>
  <c r="E36" i="64"/>
  <c r="F134" i="65" s="1"/>
  <c r="D36" i="64"/>
  <c r="N35" i="64"/>
  <c r="M35" i="64"/>
  <c r="L35" i="64"/>
  <c r="K35" i="64"/>
  <c r="J35" i="64"/>
  <c r="N34" i="64"/>
  <c r="O4" i="65" s="1"/>
  <c r="M34" i="64"/>
  <c r="N4" i="65" s="1"/>
  <c r="L34" i="64"/>
  <c r="M4" i="65" s="1"/>
  <c r="K34" i="64"/>
  <c r="L4" i="65" s="1"/>
  <c r="J34" i="64"/>
  <c r="K4" i="65" s="1"/>
  <c r="I34" i="64"/>
  <c r="J4" i="65" s="1"/>
  <c r="G34" i="64"/>
  <c r="F34" i="64"/>
  <c r="E34" i="64"/>
  <c r="D34" i="64"/>
  <c r="D33" i="64" a="1"/>
  <c r="D33" i="64" s="1"/>
  <c r="B29" i="64"/>
  <c r="K27" i="64"/>
  <c r="J27" i="64"/>
  <c r="I27" i="64"/>
  <c r="H27" i="64"/>
  <c r="K26" i="64"/>
  <c r="J26" i="64"/>
  <c r="I26" i="64"/>
  <c r="H26" i="64"/>
  <c r="K25" i="64"/>
  <c r="J25" i="64"/>
  <c r="I25" i="64"/>
  <c r="H25" i="64"/>
  <c r="K24" i="64"/>
  <c r="J24" i="64"/>
  <c r="I24" i="64"/>
  <c r="H24" i="64"/>
  <c r="K23" i="64"/>
  <c r="J23" i="64"/>
  <c r="I23" i="64"/>
  <c r="H23" i="64"/>
  <c r="K22" i="64"/>
  <c r="J22" i="64"/>
  <c r="I22" i="64"/>
  <c r="H22" i="64"/>
  <c r="K21" i="64"/>
  <c r="J21" i="64"/>
  <c r="I21" i="64"/>
  <c r="H21" i="64"/>
  <c r="K20" i="64"/>
  <c r="J20" i="64"/>
  <c r="I20" i="64"/>
  <c r="H20" i="64"/>
  <c r="I111" i="65" s="1"/>
  <c r="K19" i="64"/>
  <c r="J19" i="64"/>
  <c r="I19" i="64"/>
  <c r="H19" i="64"/>
  <c r="K18" i="64"/>
  <c r="J18" i="64"/>
  <c r="I18" i="64"/>
  <c r="H18" i="64"/>
  <c r="K17" i="64"/>
  <c r="J17" i="64"/>
  <c r="I17" i="64"/>
  <c r="H17" i="64"/>
  <c r="K16" i="64"/>
  <c r="J16" i="64"/>
  <c r="I16" i="64"/>
  <c r="H16" i="64"/>
  <c r="K15" i="64"/>
  <c r="J15" i="64"/>
  <c r="I15" i="64"/>
  <c r="H15" i="64"/>
  <c r="K14" i="64"/>
  <c r="J14" i="64"/>
  <c r="I14" i="64"/>
  <c r="H14" i="64"/>
  <c r="K13" i="64"/>
  <c r="J13" i="64"/>
  <c r="I13" i="64"/>
  <c r="H13" i="64"/>
  <c r="K12" i="64"/>
  <c r="J12" i="64"/>
  <c r="I12" i="64"/>
  <c r="H12" i="64"/>
  <c r="K11" i="64"/>
  <c r="J11" i="64"/>
  <c r="I11" i="64"/>
  <c r="H11" i="64"/>
  <c r="K10" i="64"/>
  <c r="J10" i="64"/>
  <c r="I10" i="64"/>
  <c r="H10" i="64"/>
  <c r="K9" i="64"/>
  <c r="J9" i="64"/>
  <c r="I9" i="64"/>
  <c r="H9" i="64"/>
  <c r="K8" i="64"/>
  <c r="J8" i="64"/>
  <c r="I8" i="64"/>
  <c r="H8" i="64"/>
  <c r="K7" i="64"/>
  <c r="J7" i="64"/>
  <c r="I7" i="64"/>
  <c r="H7" i="64"/>
  <c r="K6" i="64"/>
  <c r="J6" i="64"/>
  <c r="I6" i="64"/>
  <c r="H6" i="64"/>
  <c r="D4" i="64" a="1"/>
  <c r="D4" i="64" s="1"/>
  <c r="B2" i="64"/>
  <c r="D63" i="77"/>
  <c r="K54" i="77"/>
  <c r="J54" i="77"/>
  <c r="M51" i="77"/>
  <c r="L51" i="77"/>
  <c r="K51" i="77"/>
  <c r="J51" i="77"/>
  <c r="I51" i="77"/>
  <c r="H51" i="77"/>
  <c r="G51" i="77"/>
  <c r="F51" i="77"/>
  <c r="E51" i="77"/>
  <c r="D51" i="77"/>
  <c r="E49" i="77"/>
  <c r="E54" i="77" s="1"/>
  <c r="K40" i="77"/>
  <c r="K41" i="77" s="1"/>
  <c r="K49" i="77" s="1"/>
  <c r="E40" i="77"/>
  <c r="E41" i="77" s="1"/>
  <c r="M33" i="77"/>
  <c r="L33" i="77"/>
  <c r="K33" i="77"/>
  <c r="J33" i="77"/>
  <c r="I33" i="77"/>
  <c r="H33" i="77"/>
  <c r="G33" i="77"/>
  <c r="F33" i="77"/>
  <c r="E33" i="77"/>
  <c r="D33" i="77"/>
  <c r="J32" i="77"/>
  <c r="J36" i="77" s="1"/>
  <c r="I32" i="77"/>
  <c r="I36" i="77" s="1"/>
  <c r="H32" i="77"/>
  <c r="H36" i="77" s="1"/>
  <c r="G32" i="77"/>
  <c r="G36" i="77" s="1"/>
  <c r="F32" i="77"/>
  <c r="F36" i="77" s="1"/>
  <c r="E32" i="77"/>
  <c r="E36" i="77" s="1"/>
  <c r="D32" i="77"/>
  <c r="D36" i="77" s="1"/>
  <c r="M30" i="77"/>
  <c r="L30" i="77"/>
  <c r="L32" i="77" s="1"/>
  <c r="L36" i="77" s="1"/>
  <c r="K30" i="77"/>
  <c r="K32" i="77" s="1"/>
  <c r="J30" i="77"/>
  <c r="J40" i="77" s="1"/>
  <c r="J41" i="77" s="1"/>
  <c r="J49" i="77" s="1"/>
  <c r="I30" i="77"/>
  <c r="H30" i="77"/>
  <c r="G30" i="77"/>
  <c r="F30" i="77"/>
  <c r="E30" i="77"/>
  <c r="D30" i="77"/>
  <c r="M15" i="77"/>
  <c r="L15" i="77"/>
  <c r="K15" i="77"/>
  <c r="J15" i="77"/>
  <c r="M13" i="77"/>
  <c r="L13" i="77"/>
  <c r="K13" i="77"/>
  <c r="J13" i="77"/>
  <c r="I13" i="77"/>
  <c r="H13" i="77"/>
  <c r="G13" i="77"/>
  <c r="F13" i="77"/>
  <c r="E13" i="77"/>
  <c r="E15" i="77" s="1"/>
  <c r="D13" i="77"/>
  <c r="D15" i="77" s="1"/>
  <c r="E5" i="77" a="1"/>
  <c r="D5" i="77"/>
  <c r="E12" i="21"/>
  <c r="D12" i="21" s="1"/>
  <c r="B8" i="21"/>
  <c r="B7" i="21" a="1"/>
  <c r="B7" i="21" s="1"/>
  <c r="B6" i="21"/>
  <c r="B4" i="21"/>
  <c r="B1" i="21"/>
  <c r="E36" i="69"/>
  <c r="E35" i="69"/>
  <c r="E34" i="69"/>
  <c r="E33" i="69"/>
  <c r="E32" i="69"/>
  <c r="E31" i="69"/>
  <c r="E28" i="69"/>
  <c r="E27" i="69"/>
  <c r="E26" i="69"/>
  <c r="E25" i="69"/>
  <c r="E24" i="69"/>
  <c r="E23" i="69"/>
  <c r="E22" i="69"/>
  <c r="E21" i="69"/>
  <c r="E20" i="69"/>
  <c r="E19" i="69"/>
  <c r="E18" i="69"/>
  <c r="E17" i="69"/>
  <c r="E16" i="69"/>
  <c r="E15" i="69"/>
  <c r="E14" i="69"/>
  <c r="E13" i="69"/>
  <c r="E12" i="69"/>
  <c r="E11" i="69"/>
  <c r="E10" i="69"/>
  <c r="E9" i="69"/>
  <c r="E8" i="69"/>
  <c r="E5" i="69"/>
  <c r="E4" i="69"/>
  <c r="E3" i="69"/>
  <c r="D128" i="75"/>
  <c r="D70" i="75"/>
  <c r="B48" i="75"/>
  <c r="B73" i="64" s="1"/>
  <c r="B44" i="75"/>
  <c r="B43" i="75"/>
  <c r="D38" i="75" a="1"/>
  <c r="D38" i="75" s="1"/>
  <c r="D37" i="75" a="1"/>
  <c r="D37" i="75" s="1"/>
  <c r="D33" i="75"/>
  <c r="S32" i="75"/>
  <c r="R32" i="75"/>
  <c r="R77" i="64" s="1"/>
  <c r="Q32" i="75"/>
  <c r="P32" i="75"/>
  <c r="O32" i="75"/>
  <c r="O77" i="64" s="1"/>
  <c r="N32" i="75"/>
  <c r="N77" i="64" s="1"/>
  <c r="M32" i="75"/>
  <c r="M77" i="64" s="1"/>
  <c r="L32" i="75"/>
  <c r="L77" i="64" s="1"/>
  <c r="K32" i="75"/>
  <c r="K77" i="64" s="1"/>
  <c r="J32" i="75"/>
  <c r="J77" i="64" s="1"/>
  <c r="I32" i="75"/>
  <c r="I77" i="64" s="1"/>
  <c r="H32" i="75"/>
  <c r="H77" i="64" s="1"/>
  <c r="G32" i="75"/>
  <c r="G77" i="64" s="1"/>
  <c r="F32" i="75"/>
  <c r="E32" i="75"/>
  <c r="D32" i="75"/>
  <c r="S31" i="75"/>
  <c r="S76" i="64" s="1"/>
  <c r="R31" i="75"/>
  <c r="R76" i="64" s="1"/>
  <c r="Q31" i="75"/>
  <c r="Q76" i="64" s="1"/>
  <c r="P31" i="75"/>
  <c r="P76" i="64" s="1"/>
  <c r="O31" i="75"/>
  <c r="O76" i="64" s="1"/>
  <c r="N31" i="75"/>
  <c r="N76" i="64" s="1"/>
  <c r="M31" i="75"/>
  <c r="M76" i="64" s="1"/>
  <c r="L31" i="75"/>
  <c r="L76" i="64" s="1"/>
  <c r="K31" i="75"/>
  <c r="K76" i="64" s="1"/>
  <c r="J31" i="75"/>
  <c r="J76" i="64" s="1"/>
  <c r="I31" i="75"/>
  <c r="I76" i="64" s="1"/>
  <c r="H31" i="75"/>
  <c r="H76" i="64" s="1"/>
  <c r="G31" i="75"/>
  <c r="F31" i="75"/>
  <c r="F76" i="64" s="1"/>
  <c r="E31" i="75"/>
  <c r="D31" i="75"/>
  <c r="S30" i="75"/>
  <c r="R30" i="75"/>
  <c r="Q30" i="75"/>
  <c r="Q75" i="64" s="1"/>
  <c r="P30" i="75"/>
  <c r="O30" i="75"/>
  <c r="O75" i="64" s="1"/>
  <c r="N30" i="75"/>
  <c r="M30" i="75"/>
  <c r="L30" i="75"/>
  <c r="K30" i="75"/>
  <c r="K75" i="64" s="1"/>
  <c r="J30" i="75"/>
  <c r="J75" i="64" s="1"/>
  <c r="I30" i="75"/>
  <c r="I75" i="64" s="1"/>
  <c r="H30" i="75"/>
  <c r="H75" i="64" s="1"/>
  <c r="G30" i="75"/>
  <c r="F30" i="75"/>
  <c r="F75" i="64" s="1"/>
  <c r="E30" i="75"/>
  <c r="E75" i="64" s="1"/>
  <c r="D30" i="75"/>
  <c r="D75" i="64" s="1"/>
  <c r="S29" i="75"/>
  <c r="R29" i="75"/>
  <c r="R74" i="64" s="1"/>
  <c r="Q29" i="75"/>
  <c r="P29" i="75"/>
  <c r="O29" i="75"/>
  <c r="O74" i="64" s="1"/>
  <c r="N29" i="75"/>
  <c r="N74" i="64" s="1"/>
  <c r="M29" i="75"/>
  <c r="L29" i="75"/>
  <c r="L74" i="64" s="1"/>
  <c r="K29" i="75"/>
  <c r="K74" i="64" s="1"/>
  <c r="J29" i="75"/>
  <c r="J74" i="64" s="1"/>
  <c r="I29" i="75"/>
  <c r="I74" i="64" s="1"/>
  <c r="H29" i="75"/>
  <c r="H74" i="64" s="1"/>
  <c r="G29" i="75"/>
  <c r="F29" i="75"/>
  <c r="F74" i="64" s="1"/>
  <c r="E29" i="75"/>
  <c r="D29" i="75"/>
  <c r="S27" i="75"/>
  <c r="R27" i="75"/>
  <c r="R52" i="64" s="1"/>
  <c r="S96" i="65" s="1"/>
  <c r="Q27" i="75"/>
  <c r="P27" i="75"/>
  <c r="O27" i="75"/>
  <c r="O52" i="64" s="1"/>
  <c r="P96" i="65" s="1"/>
  <c r="N27" i="75"/>
  <c r="N52" i="64" s="1"/>
  <c r="O96" i="65" s="1"/>
  <c r="M27" i="75"/>
  <c r="M52" i="64" s="1"/>
  <c r="N96" i="65" s="1"/>
  <c r="L27" i="75"/>
  <c r="L52" i="64" s="1"/>
  <c r="K27" i="75"/>
  <c r="K52" i="64" s="1"/>
  <c r="L96" i="65" s="1"/>
  <c r="J27" i="75"/>
  <c r="J52" i="64" s="1"/>
  <c r="K96" i="65" s="1"/>
  <c r="I27" i="75"/>
  <c r="I52" i="64" s="1"/>
  <c r="J96" i="65" s="1"/>
  <c r="H27" i="75"/>
  <c r="H52" i="64" s="1"/>
  <c r="I96" i="65" s="1"/>
  <c r="G27" i="75"/>
  <c r="F27" i="75"/>
  <c r="E27" i="75"/>
  <c r="D27" i="75"/>
  <c r="S25" i="75"/>
  <c r="S50" i="64" s="1"/>
  <c r="R25" i="75"/>
  <c r="R50" i="64" s="1"/>
  <c r="Q25" i="75"/>
  <c r="P25" i="75"/>
  <c r="O25" i="75"/>
  <c r="O50" i="64" s="1"/>
  <c r="N25" i="75"/>
  <c r="N50" i="64" s="1"/>
  <c r="M25" i="75"/>
  <c r="L25" i="75"/>
  <c r="K25" i="75"/>
  <c r="K50" i="64" s="1"/>
  <c r="J25" i="75"/>
  <c r="J50" i="64" s="1"/>
  <c r="I25" i="75"/>
  <c r="I50" i="64" s="1"/>
  <c r="H25" i="75"/>
  <c r="H50" i="64" s="1"/>
  <c r="G25" i="75"/>
  <c r="F25" i="75"/>
  <c r="E25" i="75"/>
  <c r="E50" i="64" s="1"/>
  <c r="F79" i="65" s="1"/>
  <c r="D25" i="75"/>
  <c r="D50" i="64" s="1"/>
  <c r="B23" i="75"/>
  <c r="D21" i="75" a="1"/>
  <c r="D21" i="75" s="1"/>
  <c r="D19" i="75"/>
  <c r="E19" i="75" s="1"/>
  <c r="S18" i="75"/>
  <c r="D18" i="75"/>
  <c r="I16" i="75"/>
  <c r="I44" i="64" s="1"/>
  <c r="H16" i="75"/>
  <c r="G16" i="75"/>
  <c r="G44" i="64" s="1"/>
  <c r="F16" i="75"/>
  <c r="F44" i="64" s="1"/>
  <c r="E16" i="75"/>
  <c r="E44" i="64" s="1"/>
  <c r="D16" i="75"/>
  <c r="I15" i="75"/>
  <c r="I43" i="64" s="1"/>
  <c r="H15" i="75"/>
  <c r="G15" i="75"/>
  <c r="F15" i="75"/>
  <c r="F43" i="64" s="1"/>
  <c r="E15" i="75"/>
  <c r="E43" i="64" s="1"/>
  <c r="D15" i="75"/>
  <c r="D43" i="64" s="1"/>
  <c r="I14" i="75"/>
  <c r="H14" i="75"/>
  <c r="H42" i="64" s="1"/>
  <c r="G14" i="75"/>
  <c r="F14" i="75"/>
  <c r="E14" i="75"/>
  <c r="D14" i="75"/>
  <c r="I13" i="75"/>
  <c r="I41" i="64" s="1"/>
  <c r="H13" i="75"/>
  <c r="H41" i="64" s="1"/>
  <c r="G13" i="75"/>
  <c r="G41" i="64" s="1"/>
  <c r="F13" i="75"/>
  <c r="F41" i="64" s="1"/>
  <c r="E13" i="75"/>
  <c r="E41" i="64" s="1"/>
  <c r="D13" i="75"/>
  <c r="D41" i="64" s="1"/>
  <c r="I12" i="75"/>
  <c r="I40" i="64" s="1"/>
  <c r="H12" i="75"/>
  <c r="H40" i="64" s="1"/>
  <c r="G12" i="75"/>
  <c r="G40" i="64" s="1"/>
  <c r="F12" i="75"/>
  <c r="F40" i="64" s="1"/>
  <c r="E12" i="75"/>
  <c r="E40" i="64" s="1"/>
  <c r="D12" i="75"/>
  <c r="D40" i="64" s="1"/>
  <c r="I11" i="75"/>
  <c r="H11" i="75"/>
  <c r="G11" i="75"/>
  <c r="F11" i="75"/>
  <c r="E11" i="75"/>
  <c r="E39" i="64" s="1"/>
  <c r="D11" i="75"/>
  <c r="I10" i="75"/>
  <c r="I38" i="64" s="1"/>
  <c r="H10" i="75"/>
  <c r="G10" i="75"/>
  <c r="G38" i="64" s="1"/>
  <c r="F10" i="75"/>
  <c r="F38" i="64" s="1"/>
  <c r="H59" i="65" s="1"/>
  <c r="E10" i="75"/>
  <c r="D10" i="75"/>
  <c r="D38" i="64" s="1"/>
  <c r="I9" i="75"/>
  <c r="I37" i="64" s="1"/>
  <c r="H9" i="75"/>
  <c r="H37" i="64" s="1"/>
  <c r="G9" i="75"/>
  <c r="G37" i="64" s="1"/>
  <c r="F9" i="75"/>
  <c r="F37" i="64" s="1"/>
  <c r="E9" i="75"/>
  <c r="D9" i="75"/>
  <c r="I8" i="75"/>
  <c r="H8" i="75"/>
  <c r="G8" i="75"/>
  <c r="F8" i="75"/>
  <c r="E8" i="75"/>
  <c r="D8" i="75"/>
  <c r="I7" i="75"/>
  <c r="I35" i="64" s="1"/>
  <c r="H7" i="75"/>
  <c r="H35" i="64" s="1"/>
  <c r="G7" i="75"/>
  <c r="G35" i="64" s="1"/>
  <c r="F7" i="75"/>
  <c r="F35" i="64" s="1"/>
  <c r="E7" i="75"/>
  <c r="E35" i="64" s="1"/>
  <c r="D7" i="75"/>
  <c r="D35" i="64" s="1"/>
  <c r="I6" i="75"/>
  <c r="H6" i="75"/>
  <c r="H34" i="64" s="1"/>
  <c r="I4" i="65" s="1"/>
  <c r="G6" i="75"/>
  <c r="F6" i="75"/>
  <c r="E6" i="75"/>
  <c r="B6" i="75"/>
  <c r="I60" i="76"/>
  <c r="C58" i="76" a="1"/>
  <c r="C58" i="76" s="1"/>
  <c r="E52" i="76"/>
  <c r="F51" i="76"/>
  <c r="J48" i="76"/>
  <c r="I48" i="76"/>
  <c r="J43" i="76"/>
  <c r="J37" i="76"/>
  <c r="I37" i="76"/>
  <c r="D31" i="76"/>
  <c r="D22" i="76" a="1"/>
  <c r="B7" i="76" a="1"/>
  <c r="B7" i="76" s="1"/>
  <c r="B6" i="76"/>
  <c r="B4" i="76"/>
  <c r="B3" i="76"/>
  <c r="B1" i="76"/>
  <c r="D92" i="74"/>
  <c r="E34" i="74" a="1"/>
  <c r="D34" i="74"/>
  <c r="I29" i="74"/>
  <c r="H29" i="74"/>
  <c r="J28" i="74"/>
  <c r="I28" i="74"/>
  <c r="H28" i="74"/>
  <c r="J27" i="74"/>
  <c r="I27" i="74"/>
  <c r="H27" i="74"/>
  <c r="J26" i="74"/>
  <c r="I26" i="74"/>
  <c r="H26" i="74"/>
  <c r="J25" i="74"/>
  <c r="I25" i="74"/>
  <c r="H25" i="74"/>
  <c r="J24" i="74"/>
  <c r="I24" i="74"/>
  <c r="H24" i="74"/>
  <c r="J23" i="74"/>
  <c r="I23" i="74"/>
  <c r="H23" i="74"/>
  <c r="J22" i="74"/>
  <c r="I22" i="74"/>
  <c r="H22" i="74"/>
  <c r="J21" i="74"/>
  <c r="I21" i="74"/>
  <c r="H21" i="74"/>
  <c r="J20" i="74"/>
  <c r="I20" i="74"/>
  <c r="H20" i="74"/>
  <c r="J19" i="74"/>
  <c r="I19" i="74"/>
  <c r="H19" i="74"/>
  <c r="I18" i="74"/>
  <c r="H18" i="74"/>
  <c r="J17" i="74"/>
  <c r="I17" i="74"/>
  <c r="H17" i="74"/>
  <c r="J16" i="74"/>
  <c r="I16" i="74"/>
  <c r="H16" i="74"/>
  <c r="J15" i="74"/>
  <c r="I15" i="74"/>
  <c r="H15" i="74"/>
  <c r="J14" i="74"/>
  <c r="I14" i="74"/>
  <c r="H14" i="74"/>
  <c r="J13" i="74"/>
  <c r="I13" i="74"/>
  <c r="H13" i="74"/>
  <c r="J12" i="74"/>
  <c r="I12" i="74"/>
  <c r="H12" i="74"/>
  <c r="J11" i="74"/>
  <c r="I11" i="74"/>
  <c r="H11" i="74"/>
  <c r="J10" i="74"/>
  <c r="I10" i="74"/>
  <c r="H10" i="74"/>
  <c r="J9" i="74"/>
  <c r="I9" i="74"/>
  <c r="H9" i="74"/>
  <c r="J8" i="74"/>
  <c r="I8" i="74"/>
  <c r="H8" i="74"/>
  <c r="D6" i="74" a="1"/>
  <c r="B5" i="74"/>
  <c r="Z206" i="17"/>
  <c r="X206" i="17"/>
  <c r="X151" i="17" s="1"/>
  <c r="W206" i="17"/>
  <c r="W151" i="17" s="1"/>
  <c r="V206" i="17"/>
  <c r="V151" i="17" s="1"/>
  <c r="T206" i="17"/>
  <c r="S206" i="17"/>
  <c r="S151" i="17" s="1"/>
  <c r="Q205" i="17"/>
  <c r="Q150" i="17" s="1"/>
  <c r="P205" i="17"/>
  <c r="P150" i="17" s="1"/>
  <c r="O205" i="17"/>
  <c r="O150" i="17" s="1"/>
  <c r="N205" i="17"/>
  <c r="M205" i="17"/>
  <c r="M150" i="17" s="1"/>
  <c r="F205" i="17"/>
  <c r="F150" i="17" s="1"/>
  <c r="E205" i="17"/>
  <c r="T202" i="17"/>
  <c r="Z201" i="17"/>
  <c r="Y201" i="17"/>
  <c r="X201" i="17"/>
  <c r="W201" i="17"/>
  <c r="V201" i="17"/>
  <c r="V202" i="17" s="1"/>
  <c r="U201" i="17"/>
  <c r="U146" i="17" s="1"/>
  <c r="T201" i="17"/>
  <c r="T146" i="17" s="1"/>
  <c r="S201" i="17"/>
  <c r="S202" i="17" s="1"/>
  <c r="S147" i="17" s="1"/>
  <c r="R201" i="17"/>
  <c r="M201" i="17"/>
  <c r="L201" i="17"/>
  <c r="I201" i="17"/>
  <c r="H201" i="17"/>
  <c r="G201" i="17"/>
  <c r="F201" i="17"/>
  <c r="E201" i="17"/>
  <c r="Q200" i="17"/>
  <c r="P200" i="17"/>
  <c r="O200" i="17"/>
  <c r="N200" i="17"/>
  <c r="M200" i="17"/>
  <c r="L200" i="17"/>
  <c r="K200" i="17"/>
  <c r="K201" i="17" s="1"/>
  <c r="K146" i="17" s="1"/>
  <c r="J200" i="17"/>
  <c r="I200" i="17"/>
  <c r="H200" i="17"/>
  <c r="H145" i="17" s="1"/>
  <c r="G200" i="17"/>
  <c r="F200" i="17"/>
  <c r="E200" i="17"/>
  <c r="E145" i="17" s="1"/>
  <c r="D200" i="17"/>
  <c r="D145" i="17" s="1"/>
  <c r="Z190" i="17"/>
  <c r="Y190" i="17"/>
  <c r="X190" i="17"/>
  <c r="W190" i="17"/>
  <c r="V190" i="17"/>
  <c r="U190" i="17"/>
  <c r="T190" i="17"/>
  <c r="S190" i="17"/>
  <c r="R190" i="17"/>
  <c r="Q189" i="17"/>
  <c r="Q134" i="17" s="1"/>
  <c r="P189" i="17"/>
  <c r="P134" i="17" s="1"/>
  <c r="O189" i="17"/>
  <c r="N189" i="17"/>
  <c r="M189" i="17"/>
  <c r="L189" i="17"/>
  <c r="K189" i="17"/>
  <c r="J189" i="17"/>
  <c r="I189" i="17"/>
  <c r="H189" i="17"/>
  <c r="G189" i="17"/>
  <c r="F189" i="17"/>
  <c r="E189" i="17"/>
  <c r="E134" i="17" s="1"/>
  <c r="D189" i="17"/>
  <c r="J188" i="17"/>
  <c r="J133" i="17" s="1"/>
  <c r="I188" i="17"/>
  <c r="H188" i="17"/>
  <c r="H133" i="17" s="1"/>
  <c r="G188" i="17"/>
  <c r="F188" i="17"/>
  <c r="F133" i="17" s="1"/>
  <c r="E188" i="17"/>
  <c r="D188" i="17"/>
  <c r="D133" i="17" s="1"/>
  <c r="J187" i="17"/>
  <c r="J132" i="17" s="1"/>
  <c r="I187" i="17"/>
  <c r="H187" i="17"/>
  <c r="G187" i="17"/>
  <c r="F187" i="17"/>
  <c r="F132" i="17" s="1"/>
  <c r="E187" i="17"/>
  <c r="E132" i="17" s="1"/>
  <c r="D187" i="17"/>
  <c r="D132" i="17" s="1"/>
  <c r="Z185" i="17"/>
  <c r="Z187" i="17" s="1"/>
  <c r="Z191" i="17" s="1"/>
  <c r="Y185" i="17"/>
  <c r="V185" i="17"/>
  <c r="T185" i="17"/>
  <c r="D185" i="17"/>
  <c r="Z184" i="17"/>
  <c r="Y184" i="17"/>
  <c r="X184" i="17"/>
  <c r="W184" i="17"/>
  <c r="V184" i="17"/>
  <c r="V129" i="17" s="1"/>
  <c r="U184" i="17"/>
  <c r="T184" i="17"/>
  <c r="S184" i="17"/>
  <c r="S129" i="17" s="1"/>
  <c r="R184" i="17"/>
  <c r="R129" i="17" s="1"/>
  <c r="Q184" i="17"/>
  <c r="N184" i="17"/>
  <c r="M184" i="17"/>
  <c r="M186" i="17" s="1"/>
  <c r="M190" i="17" s="1"/>
  <c r="Z183" i="17"/>
  <c r="Y183" i="17"/>
  <c r="Y128" i="17" s="1"/>
  <c r="X183" i="17"/>
  <c r="X128" i="17" s="1"/>
  <c r="W183" i="17"/>
  <c r="V183" i="17"/>
  <c r="V128" i="17" s="1"/>
  <c r="U183" i="17"/>
  <c r="T183" i="17"/>
  <c r="S183" i="17"/>
  <c r="S128" i="17" s="1"/>
  <c r="R183" i="17"/>
  <c r="R128" i="17" s="1"/>
  <c r="Q183" i="17"/>
  <c r="P183" i="17"/>
  <c r="O183" i="17"/>
  <c r="N183" i="17"/>
  <c r="M183" i="17"/>
  <c r="M128" i="17" s="1"/>
  <c r="L183" i="17"/>
  <c r="K183" i="17"/>
  <c r="K128" i="17" s="1"/>
  <c r="J183" i="17"/>
  <c r="I183" i="17"/>
  <c r="I128" i="17" s="1"/>
  <c r="H183" i="17"/>
  <c r="H128" i="17" s="1"/>
  <c r="G183" i="17"/>
  <c r="F183" i="17"/>
  <c r="F128" i="17" s="1"/>
  <c r="E183" i="17"/>
  <c r="D183" i="17"/>
  <c r="Q182" i="17"/>
  <c r="Q127" i="17" s="1"/>
  <c r="P182" i="17"/>
  <c r="P127" i="17" s="1"/>
  <c r="O182" i="17"/>
  <c r="O127" i="17" s="1"/>
  <c r="N182" i="17"/>
  <c r="N127" i="17" s="1"/>
  <c r="M182" i="17"/>
  <c r="M127" i="17" s="1"/>
  <c r="L182" i="17"/>
  <c r="K182" i="17"/>
  <c r="J182" i="17"/>
  <c r="I182" i="17"/>
  <c r="I127" i="17" s="1"/>
  <c r="H182" i="17"/>
  <c r="G182" i="17"/>
  <c r="F182" i="17"/>
  <c r="F127" i="17" s="1"/>
  <c r="E182" i="17"/>
  <c r="D182" i="17"/>
  <c r="Z181" i="17"/>
  <c r="Y181" i="17"/>
  <c r="X181" i="17"/>
  <c r="X126" i="17" s="1"/>
  <c r="W181" i="17"/>
  <c r="W126" i="17" s="1"/>
  <c r="V181" i="17"/>
  <c r="V126" i="17" s="1"/>
  <c r="U181" i="17"/>
  <c r="T181" i="17"/>
  <c r="T126" i="17" s="1"/>
  <c r="S181" i="17"/>
  <c r="R181" i="17"/>
  <c r="R126" i="17" s="1"/>
  <c r="Z180" i="17"/>
  <c r="Y180" i="17"/>
  <c r="Y125" i="17" s="1"/>
  <c r="X180" i="17"/>
  <c r="X125" i="17" s="1"/>
  <c r="W180" i="17"/>
  <c r="W125" i="17" s="1"/>
  <c r="V180" i="17"/>
  <c r="V125" i="17" s="1"/>
  <c r="U180" i="17"/>
  <c r="T180" i="17"/>
  <c r="T125" i="17" s="1"/>
  <c r="S180" i="17"/>
  <c r="R180" i="17"/>
  <c r="Q180" i="17"/>
  <c r="Q125" i="17" s="1"/>
  <c r="P180" i="17"/>
  <c r="P125" i="17" s="1"/>
  <c r="O180" i="17"/>
  <c r="N180" i="17"/>
  <c r="M180" i="17"/>
  <c r="M125" i="17" s="1"/>
  <c r="L180" i="17"/>
  <c r="K180" i="17"/>
  <c r="K125" i="17" s="1"/>
  <c r="J180" i="17"/>
  <c r="I180" i="17"/>
  <c r="H180" i="17"/>
  <c r="G180" i="17"/>
  <c r="F180" i="17"/>
  <c r="F125" i="17" s="1"/>
  <c r="E180" i="17"/>
  <c r="D180" i="17"/>
  <c r="Z179" i="17"/>
  <c r="Y179" i="17"/>
  <c r="X179" i="17"/>
  <c r="X124" i="17" s="1"/>
  <c r="W179" i="17"/>
  <c r="W124" i="17" s="1"/>
  <c r="V179" i="17"/>
  <c r="V124" i="17" s="1"/>
  <c r="U179" i="17"/>
  <c r="U124" i="17" s="1"/>
  <c r="T179" i="17"/>
  <c r="T124" i="17" s="1"/>
  <c r="S179" i="17"/>
  <c r="R179" i="17"/>
  <c r="R124" i="17" s="1"/>
  <c r="Q179" i="17"/>
  <c r="P179" i="17"/>
  <c r="O179" i="17"/>
  <c r="N179" i="17"/>
  <c r="M179" i="17"/>
  <c r="L179" i="17"/>
  <c r="K179" i="17"/>
  <c r="K124" i="17" s="1"/>
  <c r="J179" i="17"/>
  <c r="I179" i="17"/>
  <c r="H179" i="17"/>
  <c r="G179" i="17"/>
  <c r="F179" i="17"/>
  <c r="E179" i="17"/>
  <c r="E124" i="17" s="1"/>
  <c r="D179" i="17"/>
  <c r="D124" i="17" s="1"/>
  <c r="Z178" i="17"/>
  <c r="Y178" i="17"/>
  <c r="Y123" i="17" s="1"/>
  <c r="X178" i="17"/>
  <c r="W178" i="17"/>
  <c r="W123" i="17" s="1"/>
  <c r="V178" i="17"/>
  <c r="U178" i="17"/>
  <c r="U123" i="17" s="1"/>
  <c r="T178" i="17"/>
  <c r="T123" i="17" s="1"/>
  <c r="S178" i="17"/>
  <c r="R178" i="17"/>
  <c r="R123" i="17" s="1"/>
  <c r="Q178" i="17"/>
  <c r="P178" i="17"/>
  <c r="O178" i="17"/>
  <c r="O123" i="17" s="1"/>
  <c r="N178" i="17"/>
  <c r="N123" i="17" s="1"/>
  <c r="M178" i="17"/>
  <c r="L178" i="17"/>
  <c r="K178" i="17"/>
  <c r="K123" i="17" s="1"/>
  <c r="J178" i="17"/>
  <c r="I178" i="17"/>
  <c r="I123" i="17" s="1"/>
  <c r="H178" i="17"/>
  <c r="G178" i="17"/>
  <c r="F178" i="17"/>
  <c r="E178" i="17"/>
  <c r="E123" i="17" s="1"/>
  <c r="D178" i="17"/>
  <c r="D123" i="17" s="1"/>
  <c r="Z177" i="17"/>
  <c r="Y177" i="17"/>
  <c r="Y122" i="17" s="1"/>
  <c r="X177" i="17"/>
  <c r="W177" i="17"/>
  <c r="V177" i="17"/>
  <c r="V122" i="17" s="1"/>
  <c r="U177" i="17"/>
  <c r="U122" i="17" s="1"/>
  <c r="T177" i="17"/>
  <c r="S177" i="17"/>
  <c r="R177" i="17"/>
  <c r="R122" i="17" s="1"/>
  <c r="Q177" i="17"/>
  <c r="P177" i="17"/>
  <c r="P122" i="17" s="1"/>
  <c r="O177" i="17"/>
  <c r="N177" i="17"/>
  <c r="M177" i="17"/>
  <c r="L177" i="17"/>
  <c r="L122" i="17" s="1"/>
  <c r="K177" i="17"/>
  <c r="J177" i="17"/>
  <c r="I177" i="17"/>
  <c r="I122" i="17" s="1"/>
  <c r="H177" i="17"/>
  <c r="G177" i="17"/>
  <c r="F177" i="17"/>
  <c r="E177" i="17"/>
  <c r="E122" i="17" s="1"/>
  <c r="D177" i="17"/>
  <c r="D122" i="17" s="1"/>
  <c r="Z176" i="17"/>
  <c r="Z121" i="17" s="1"/>
  <c r="Y176" i="17"/>
  <c r="X176" i="17"/>
  <c r="W176" i="17"/>
  <c r="W121" i="17" s="1"/>
  <c r="V176" i="17"/>
  <c r="U176" i="17"/>
  <c r="U206" i="17" s="1"/>
  <c r="T176" i="17"/>
  <c r="S176" i="17"/>
  <c r="R176" i="17"/>
  <c r="R185" i="17" s="1"/>
  <c r="Q176" i="17"/>
  <c r="P176" i="17"/>
  <c r="P121" i="17" s="1"/>
  <c r="O176" i="17"/>
  <c r="N176" i="17"/>
  <c r="M176" i="17"/>
  <c r="M121" i="17" s="1"/>
  <c r="L176" i="17"/>
  <c r="L121" i="17" s="1"/>
  <c r="K176" i="17"/>
  <c r="J176" i="17"/>
  <c r="I176" i="17"/>
  <c r="I121" i="17" s="1"/>
  <c r="H176" i="17"/>
  <c r="G176" i="17"/>
  <c r="G121" i="17" s="1"/>
  <c r="F176" i="17"/>
  <c r="E176" i="17"/>
  <c r="E121" i="17" s="1"/>
  <c r="D176" i="17"/>
  <c r="Z175" i="17"/>
  <c r="Z120" i="17" s="1"/>
  <c r="Y175" i="17"/>
  <c r="Y120" i="17" s="1"/>
  <c r="X175" i="17"/>
  <c r="W175" i="17"/>
  <c r="V175" i="17"/>
  <c r="U175" i="17"/>
  <c r="T175" i="17"/>
  <c r="S175" i="17"/>
  <c r="S185" i="17" s="1"/>
  <c r="R175" i="17"/>
  <c r="R120" i="17" s="1"/>
  <c r="Q175" i="17"/>
  <c r="P175" i="17"/>
  <c r="P120" i="17" s="1"/>
  <c r="O175" i="17"/>
  <c r="N175" i="17"/>
  <c r="N120" i="17" s="1"/>
  <c r="M175" i="17"/>
  <c r="L175" i="17"/>
  <c r="L205" i="17" s="1"/>
  <c r="L150" i="17" s="1"/>
  <c r="K175" i="17"/>
  <c r="J175" i="17"/>
  <c r="I175" i="17"/>
  <c r="H175" i="17"/>
  <c r="H205" i="17" s="1"/>
  <c r="G175" i="17"/>
  <c r="F175" i="17"/>
  <c r="E175" i="17"/>
  <c r="D175" i="17"/>
  <c r="Z174" i="17"/>
  <c r="Z119" i="17" s="1"/>
  <c r="Y174" i="17"/>
  <c r="Y119" i="17" s="1"/>
  <c r="X174" i="17"/>
  <c r="W174" i="17"/>
  <c r="V174" i="17"/>
  <c r="U174" i="17"/>
  <c r="T174" i="17"/>
  <c r="S174" i="17"/>
  <c r="R174" i="17"/>
  <c r="Q174" i="17"/>
  <c r="P174" i="17"/>
  <c r="P119" i="17" s="1"/>
  <c r="O174" i="17"/>
  <c r="N174" i="17"/>
  <c r="M174" i="17"/>
  <c r="L174" i="17"/>
  <c r="K174" i="17"/>
  <c r="J174" i="17"/>
  <c r="I174" i="17"/>
  <c r="H174" i="17"/>
  <c r="G174" i="17"/>
  <c r="G119" i="17" s="1"/>
  <c r="F174" i="17"/>
  <c r="E174" i="17"/>
  <c r="E119" i="17" s="1"/>
  <c r="D174" i="17"/>
  <c r="Q173" i="17"/>
  <c r="P173" i="17"/>
  <c r="O173" i="17"/>
  <c r="N173" i="17"/>
  <c r="M173" i="17"/>
  <c r="L173" i="17"/>
  <c r="K173" i="17"/>
  <c r="J173" i="17"/>
  <c r="I173" i="17"/>
  <c r="I184" i="17" s="1"/>
  <c r="H173" i="17"/>
  <c r="H184" i="17" s="1"/>
  <c r="G173" i="17"/>
  <c r="F173" i="17"/>
  <c r="E173" i="17"/>
  <c r="D173" i="17"/>
  <c r="F169" i="17"/>
  <c r="E169" i="17"/>
  <c r="D169" i="17"/>
  <c r="D115" i="17" s="1"/>
  <c r="Z168" i="17"/>
  <c r="Z114" i="17" s="1"/>
  <c r="Y168" i="17"/>
  <c r="X168" i="17"/>
  <c r="X114" i="17" s="1"/>
  <c r="W168" i="17"/>
  <c r="V168" i="17"/>
  <c r="U168" i="17"/>
  <c r="T168" i="17"/>
  <c r="S168" i="17"/>
  <c r="S114" i="17" s="1"/>
  <c r="R168" i="17"/>
  <c r="J168" i="17"/>
  <c r="J114" i="17" s="1"/>
  <c r="Q167" i="17"/>
  <c r="P167" i="17"/>
  <c r="O167" i="17"/>
  <c r="O113" i="17" s="1"/>
  <c r="N167" i="17"/>
  <c r="M167" i="17"/>
  <c r="M113" i="17" s="1"/>
  <c r="L167" i="17"/>
  <c r="K167" i="17"/>
  <c r="K113" i="17" s="1"/>
  <c r="J167" i="17"/>
  <c r="J113" i="17" s="1"/>
  <c r="I167" i="17"/>
  <c r="H167" i="17"/>
  <c r="G167" i="17"/>
  <c r="G185" i="17" s="1"/>
  <c r="F167" i="17"/>
  <c r="F185" i="17" s="1"/>
  <c r="E167" i="17"/>
  <c r="E185" i="17" s="1"/>
  <c r="D167" i="17"/>
  <c r="Z166" i="17"/>
  <c r="Y166" i="17"/>
  <c r="X166" i="17"/>
  <c r="W166" i="17"/>
  <c r="V166" i="17"/>
  <c r="U166" i="17"/>
  <c r="T166" i="17"/>
  <c r="S166" i="17"/>
  <c r="R166" i="17"/>
  <c r="R112" i="17" s="1"/>
  <c r="Q166" i="17"/>
  <c r="P166" i="17"/>
  <c r="O166" i="17"/>
  <c r="Z165" i="17"/>
  <c r="Y165" i="17"/>
  <c r="X165" i="17"/>
  <c r="X111" i="17" s="1"/>
  <c r="W165" i="17"/>
  <c r="W111" i="17" s="1"/>
  <c r="V165" i="17"/>
  <c r="V111" i="17" s="1"/>
  <c r="U165" i="17"/>
  <c r="T165" i="17"/>
  <c r="T111" i="17" s="1"/>
  <c r="S165" i="17"/>
  <c r="S111" i="17" s="1"/>
  <c r="R165" i="17"/>
  <c r="R111" i="17" s="1"/>
  <c r="Q165" i="17"/>
  <c r="Q111" i="17" s="1"/>
  <c r="P165" i="17"/>
  <c r="P111" i="17" s="1"/>
  <c r="O165" i="17"/>
  <c r="N165" i="17"/>
  <c r="M165" i="17"/>
  <c r="L165" i="17"/>
  <c r="K165" i="17"/>
  <c r="K111" i="17" s="1"/>
  <c r="J165" i="17"/>
  <c r="I165" i="17"/>
  <c r="I111" i="17" s="1"/>
  <c r="H165" i="17"/>
  <c r="H111" i="17" s="1"/>
  <c r="G165" i="17"/>
  <c r="F165" i="17"/>
  <c r="F111" i="17" s="1"/>
  <c r="E165" i="17"/>
  <c r="D165" i="17"/>
  <c r="Z164" i="17"/>
  <c r="Y164" i="17"/>
  <c r="Y110" i="17" s="1"/>
  <c r="X164" i="17"/>
  <c r="X110" i="17" s="1"/>
  <c r="W164" i="17"/>
  <c r="W110" i="17" s="1"/>
  <c r="V164" i="17"/>
  <c r="U164" i="17"/>
  <c r="T164" i="17"/>
  <c r="T110" i="17" s="1"/>
  <c r="S164" i="17"/>
  <c r="R164" i="17"/>
  <c r="Q164" i="17"/>
  <c r="P164" i="17"/>
  <c r="P110" i="17" s="1"/>
  <c r="O164" i="17"/>
  <c r="O110" i="17" s="1"/>
  <c r="N164" i="17"/>
  <c r="N110" i="17" s="1"/>
  <c r="M164" i="17"/>
  <c r="M110" i="17" s="1"/>
  <c r="L164" i="17"/>
  <c r="L110" i="17" s="1"/>
  <c r="K164" i="17"/>
  <c r="K110" i="17" s="1"/>
  <c r="J164" i="17"/>
  <c r="J110" i="17" s="1"/>
  <c r="I164" i="17"/>
  <c r="I110" i="17" s="1"/>
  <c r="H164" i="17"/>
  <c r="H110" i="17" s="1"/>
  <c r="G164" i="17"/>
  <c r="F164" i="17"/>
  <c r="F110" i="17" s="1"/>
  <c r="E164" i="17"/>
  <c r="D164" i="17"/>
  <c r="D110" i="17" s="1"/>
  <c r="Z163" i="17"/>
  <c r="Y163" i="17"/>
  <c r="X163" i="17"/>
  <c r="W163" i="17"/>
  <c r="V163" i="17"/>
  <c r="V109" i="17" s="1"/>
  <c r="U163" i="17"/>
  <c r="T163" i="17"/>
  <c r="T109" i="17" s="1"/>
  <c r="S163" i="17"/>
  <c r="R163" i="17"/>
  <c r="R109" i="17" s="1"/>
  <c r="Q163" i="17"/>
  <c r="Q109" i="17" s="1"/>
  <c r="P163" i="17"/>
  <c r="P109" i="17" s="1"/>
  <c r="O163" i="17"/>
  <c r="O109" i="17" s="1"/>
  <c r="N163" i="17"/>
  <c r="M163" i="17"/>
  <c r="L163" i="17"/>
  <c r="K163" i="17"/>
  <c r="K109" i="17" s="1"/>
  <c r="J163" i="17"/>
  <c r="I163" i="17"/>
  <c r="H163" i="17"/>
  <c r="G163" i="17"/>
  <c r="F163" i="17"/>
  <c r="F109" i="17" s="1"/>
  <c r="E163" i="17"/>
  <c r="D163" i="17"/>
  <c r="D109" i="17" s="1"/>
  <c r="Z162" i="17"/>
  <c r="Z108" i="17" s="1"/>
  <c r="Y162" i="17"/>
  <c r="X162" i="17"/>
  <c r="W162" i="17"/>
  <c r="V162" i="17"/>
  <c r="V167" i="17" s="1"/>
  <c r="U162" i="17"/>
  <c r="T162" i="17"/>
  <c r="S162" i="17"/>
  <c r="R162" i="17"/>
  <c r="Q162" i="17"/>
  <c r="P162" i="17"/>
  <c r="P108" i="17" s="1"/>
  <c r="O162" i="17"/>
  <c r="N162" i="17"/>
  <c r="N108" i="17" s="1"/>
  <c r="M162" i="17"/>
  <c r="M108" i="17" s="1"/>
  <c r="L162" i="17"/>
  <c r="L108" i="17" s="1"/>
  <c r="K162" i="17"/>
  <c r="K108" i="17" s="1"/>
  <c r="J162" i="17"/>
  <c r="J108" i="17" s="1"/>
  <c r="I162" i="17"/>
  <c r="I108" i="17" s="1"/>
  <c r="H162" i="17"/>
  <c r="H108" i="17" s="1"/>
  <c r="G162" i="17"/>
  <c r="G108" i="17" s="1"/>
  <c r="F162" i="17"/>
  <c r="F166" i="17" s="1"/>
  <c r="F168" i="17" s="1"/>
  <c r="F114" i="17" s="1"/>
  <c r="E162" i="17"/>
  <c r="D162" i="17"/>
  <c r="Z161" i="17"/>
  <c r="Y161" i="17"/>
  <c r="X161" i="17"/>
  <c r="W161" i="17"/>
  <c r="W107" i="17" s="1"/>
  <c r="V161" i="17"/>
  <c r="U161" i="17"/>
  <c r="T161" i="17"/>
  <c r="S161" i="17"/>
  <c r="R161" i="17"/>
  <c r="Q161" i="17"/>
  <c r="Q107" i="17" s="1"/>
  <c r="P161" i="17"/>
  <c r="P107" i="17" s="1"/>
  <c r="O161" i="17"/>
  <c r="O107" i="17" s="1"/>
  <c r="N161" i="17"/>
  <c r="N107" i="17" s="1"/>
  <c r="M161" i="17"/>
  <c r="M107" i="17" s="1"/>
  <c r="L161" i="17"/>
  <c r="K161" i="17"/>
  <c r="J161" i="17"/>
  <c r="I161" i="17"/>
  <c r="H161" i="17"/>
  <c r="G161" i="17"/>
  <c r="G166" i="17" s="1"/>
  <c r="F161" i="17"/>
  <c r="E161" i="17"/>
  <c r="D161" i="17"/>
  <c r="Q160" i="17"/>
  <c r="Q106" i="17" s="1"/>
  <c r="P160" i="17"/>
  <c r="P106" i="17" s="1"/>
  <c r="O160" i="17"/>
  <c r="O106" i="17" s="1"/>
  <c r="N160" i="17"/>
  <c r="M160" i="17"/>
  <c r="L160" i="17"/>
  <c r="K160" i="17"/>
  <c r="J160" i="17"/>
  <c r="J166" i="17" s="1"/>
  <c r="I160" i="17"/>
  <c r="H160" i="17"/>
  <c r="G160" i="17"/>
  <c r="F160" i="17"/>
  <c r="E160" i="17"/>
  <c r="D160" i="17"/>
  <c r="D157" i="17" a="1"/>
  <c r="D157" i="17" s="1"/>
  <c r="Z153" i="17"/>
  <c r="Y153" i="17"/>
  <c r="X153" i="17"/>
  <c r="W153" i="17"/>
  <c r="V153" i="17"/>
  <c r="U153" i="17"/>
  <c r="T153" i="17"/>
  <c r="S153" i="17"/>
  <c r="R153" i="17"/>
  <c r="Z152" i="17"/>
  <c r="Y152" i="17"/>
  <c r="X152" i="17"/>
  <c r="W152" i="17"/>
  <c r="V152" i="17"/>
  <c r="U152" i="17"/>
  <c r="T152" i="17"/>
  <c r="S152" i="17"/>
  <c r="R152" i="17"/>
  <c r="Q152" i="17"/>
  <c r="P152" i="17"/>
  <c r="O152" i="17"/>
  <c r="N152" i="17"/>
  <c r="M152" i="17"/>
  <c r="L152" i="17"/>
  <c r="K152" i="17"/>
  <c r="J152" i="17"/>
  <c r="I152" i="17"/>
  <c r="H152" i="17"/>
  <c r="G152" i="17"/>
  <c r="F152" i="17"/>
  <c r="E152" i="17"/>
  <c r="D152" i="17"/>
  <c r="Z151" i="17"/>
  <c r="U151" i="17"/>
  <c r="T151" i="17"/>
  <c r="Q151" i="17"/>
  <c r="P151" i="17"/>
  <c r="O151" i="17"/>
  <c r="N151" i="17"/>
  <c r="M151" i="17"/>
  <c r="L151" i="17"/>
  <c r="K151" i="17"/>
  <c r="J151" i="17"/>
  <c r="I151" i="17"/>
  <c r="H151" i="17"/>
  <c r="G151" i="17"/>
  <c r="F151" i="17"/>
  <c r="E151" i="17"/>
  <c r="D151" i="17"/>
  <c r="Z150" i="17"/>
  <c r="Y150" i="17"/>
  <c r="X150" i="17"/>
  <c r="W150" i="17"/>
  <c r="V150" i="17"/>
  <c r="U150" i="17"/>
  <c r="T150" i="17"/>
  <c r="S150" i="17"/>
  <c r="R150" i="17"/>
  <c r="N150" i="17"/>
  <c r="H150" i="17"/>
  <c r="E150" i="17"/>
  <c r="Q149" i="17"/>
  <c r="P149" i="17"/>
  <c r="O149" i="17"/>
  <c r="N149" i="17"/>
  <c r="M149" i="17"/>
  <c r="L149" i="17"/>
  <c r="K149" i="17"/>
  <c r="J149" i="17"/>
  <c r="I149" i="17"/>
  <c r="H149" i="17"/>
  <c r="G149" i="17"/>
  <c r="F149" i="17"/>
  <c r="E149" i="17"/>
  <c r="D149" i="17"/>
  <c r="W146" i="17"/>
  <c r="V146" i="17"/>
  <c r="S146" i="17"/>
  <c r="R146" i="17"/>
  <c r="M146" i="17"/>
  <c r="L146" i="17"/>
  <c r="D146" i="17"/>
  <c r="O145" i="17"/>
  <c r="M145" i="17"/>
  <c r="L145" i="17"/>
  <c r="K145" i="17"/>
  <c r="J145" i="17"/>
  <c r="I145" i="17"/>
  <c r="G145" i="17"/>
  <c r="F145" i="17"/>
  <c r="Z144" i="17"/>
  <c r="Y144" i="17"/>
  <c r="X144" i="17"/>
  <c r="W144" i="17"/>
  <c r="V144" i="17"/>
  <c r="U144" i="17"/>
  <c r="T144" i="17"/>
  <c r="S144" i="17"/>
  <c r="R144" i="17"/>
  <c r="Z143" i="17"/>
  <c r="Y143" i="17"/>
  <c r="X143" i="17"/>
  <c r="W143" i="17"/>
  <c r="V143" i="17"/>
  <c r="U143" i="17"/>
  <c r="T143" i="17"/>
  <c r="S143" i="17"/>
  <c r="R143" i="17"/>
  <c r="Q143" i="17"/>
  <c r="P143" i="17"/>
  <c r="O143" i="17"/>
  <c r="N143" i="17"/>
  <c r="M143" i="17"/>
  <c r="L143" i="17"/>
  <c r="K143" i="17"/>
  <c r="J143" i="17"/>
  <c r="I143" i="17"/>
  <c r="H143" i="17"/>
  <c r="G143" i="17"/>
  <c r="F143" i="17"/>
  <c r="E143" i="17"/>
  <c r="D143" i="17"/>
  <c r="Q142" i="17"/>
  <c r="P142" i="17"/>
  <c r="O142" i="17"/>
  <c r="N142" i="17"/>
  <c r="M142" i="17"/>
  <c r="L142" i="17"/>
  <c r="K142" i="17"/>
  <c r="J142" i="17"/>
  <c r="I142" i="17"/>
  <c r="H142" i="17"/>
  <c r="G142" i="17"/>
  <c r="F142" i="17"/>
  <c r="E142" i="17"/>
  <c r="D142" i="17"/>
  <c r="Z135" i="17"/>
  <c r="Y135" i="17"/>
  <c r="X135" i="17"/>
  <c r="W135" i="17"/>
  <c r="V135" i="17"/>
  <c r="U135" i="17"/>
  <c r="T135" i="17"/>
  <c r="S135" i="17"/>
  <c r="R135" i="17"/>
  <c r="Z134" i="17"/>
  <c r="Y134" i="17"/>
  <c r="X134" i="17"/>
  <c r="W134" i="17"/>
  <c r="V134" i="17"/>
  <c r="U134" i="17"/>
  <c r="T134" i="17"/>
  <c r="S134" i="17"/>
  <c r="R134" i="17"/>
  <c r="O134" i="17"/>
  <c r="N134" i="17"/>
  <c r="M134" i="17"/>
  <c r="L134" i="17"/>
  <c r="K134" i="17"/>
  <c r="J134" i="17"/>
  <c r="I134" i="17"/>
  <c r="H134" i="17"/>
  <c r="G134" i="17"/>
  <c r="F134" i="17"/>
  <c r="D134" i="17"/>
  <c r="Z133" i="17"/>
  <c r="Y133" i="17"/>
  <c r="X133" i="17"/>
  <c r="W133" i="17"/>
  <c r="V133" i="17"/>
  <c r="U133" i="17"/>
  <c r="T133" i="17"/>
  <c r="S133" i="17"/>
  <c r="R133" i="17"/>
  <c r="Q133" i="17"/>
  <c r="P133" i="17"/>
  <c r="O133" i="17"/>
  <c r="N133" i="17"/>
  <c r="M133" i="17"/>
  <c r="L133" i="17"/>
  <c r="K133" i="17"/>
  <c r="I133" i="17"/>
  <c r="G133" i="17"/>
  <c r="E133" i="17"/>
  <c r="Q132" i="17"/>
  <c r="P132" i="17"/>
  <c r="O132" i="17"/>
  <c r="N132" i="17"/>
  <c r="M132" i="17"/>
  <c r="L132" i="17"/>
  <c r="K132" i="17"/>
  <c r="I132" i="17"/>
  <c r="H132" i="17"/>
  <c r="G132" i="17"/>
  <c r="Z129" i="17"/>
  <c r="Y129" i="17"/>
  <c r="X129" i="17"/>
  <c r="W129" i="17"/>
  <c r="U129" i="17"/>
  <c r="T129" i="17"/>
  <c r="Z128" i="17"/>
  <c r="W128" i="17"/>
  <c r="U128" i="17"/>
  <c r="T128" i="17"/>
  <c r="Q128" i="17"/>
  <c r="P128" i="17"/>
  <c r="O128" i="17"/>
  <c r="N128" i="17"/>
  <c r="L128" i="17"/>
  <c r="J128" i="17"/>
  <c r="G128" i="17"/>
  <c r="E128" i="17"/>
  <c r="D128" i="17"/>
  <c r="Z127" i="17"/>
  <c r="Y127" i="17"/>
  <c r="X127" i="17"/>
  <c r="W127" i="17"/>
  <c r="V127" i="17"/>
  <c r="U127" i="17"/>
  <c r="T127" i="17"/>
  <c r="S127" i="17"/>
  <c r="R127" i="17"/>
  <c r="L127" i="17"/>
  <c r="K127" i="17"/>
  <c r="J127" i="17"/>
  <c r="H127" i="17"/>
  <c r="G127" i="17"/>
  <c r="E127" i="17"/>
  <c r="D127" i="17"/>
  <c r="Z126" i="17"/>
  <c r="Y126" i="17"/>
  <c r="U126" i="17"/>
  <c r="S126" i="17"/>
  <c r="Q126" i="17"/>
  <c r="P126" i="17"/>
  <c r="O126" i="17"/>
  <c r="N126" i="17"/>
  <c r="M126" i="17"/>
  <c r="L126" i="17"/>
  <c r="K126" i="17"/>
  <c r="J126" i="17"/>
  <c r="I126" i="17"/>
  <c r="H126" i="17"/>
  <c r="G126" i="17"/>
  <c r="F126" i="17"/>
  <c r="E126" i="17"/>
  <c r="D126" i="17"/>
  <c r="Z125" i="17"/>
  <c r="U125" i="17"/>
  <c r="S125" i="17"/>
  <c r="R125" i="17"/>
  <c r="O125" i="17"/>
  <c r="N125" i="17"/>
  <c r="L125" i="17"/>
  <c r="J125" i="17"/>
  <c r="I125" i="17"/>
  <c r="H125" i="17"/>
  <c r="G125" i="17"/>
  <c r="E125" i="17"/>
  <c r="D125" i="17"/>
  <c r="Z124" i="17"/>
  <c r="Y124" i="17"/>
  <c r="S124" i="17"/>
  <c r="Q124" i="17"/>
  <c r="P124" i="17"/>
  <c r="O124" i="17"/>
  <c r="N124" i="17"/>
  <c r="M124" i="17"/>
  <c r="L124" i="17"/>
  <c r="J124" i="17"/>
  <c r="I124" i="17"/>
  <c r="H124" i="17"/>
  <c r="G124" i="17"/>
  <c r="F124" i="17"/>
  <c r="Z123" i="17"/>
  <c r="X123" i="17"/>
  <c r="V123" i="17"/>
  <c r="S123" i="17"/>
  <c r="Q123" i="17"/>
  <c r="P123" i="17"/>
  <c r="M123" i="17"/>
  <c r="L123" i="17"/>
  <c r="J123" i="17"/>
  <c r="H123" i="17"/>
  <c r="G123" i="17"/>
  <c r="F123" i="17"/>
  <c r="Z122" i="17"/>
  <c r="X122" i="17"/>
  <c r="W122" i="17"/>
  <c r="T122" i="17"/>
  <c r="S122" i="17"/>
  <c r="Q122" i="17"/>
  <c r="O122" i="17"/>
  <c r="N122" i="17"/>
  <c r="M122" i="17"/>
  <c r="K122" i="17"/>
  <c r="J122" i="17"/>
  <c r="H122" i="17"/>
  <c r="G122" i="17"/>
  <c r="X121" i="17"/>
  <c r="V121" i="17"/>
  <c r="U121" i="17"/>
  <c r="T121" i="17"/>
  <c r="S121" i="17"/>
  <c r="R121" i="17"/>
  <c r="Q121" i="17"/>
  <c r="O121" i="17"/>
  <c r="N121" i="17"/>
  <c r="K121" i="17"/>
  <c r="J121" i="17"/>
  <c r="H121" i="17"/>
  <c r="F121" i="17"/>
  <c r="D121" i="17"/>
  <c r="X120" i="17"/>
  <c r="W120" i="17"/>
  <c r="V120" i="17"/>
  <c r="U120" i="17"/>
  <c r="T120" i="17"/>
  <c r="S120" i="17"/>
  <c r="Q120" i="17"/>
  <c r="O120" i="17"/>
  <c r="M120" i="17"/>
  <c r="L120" i="17"/>
  <c r="H120" i="17"/>
  <c r="F120" i="17"/>
  <c r="E120" i="17"/>
  <c r="X119" i="17"/>
  <c r="V119" i="17"/>
  <c r="T119" i="17"/>
  <c r="S119" i="17"/>
  <c r="R119" i="17"/>
  <c r="Q119" i="17"/>
  <c r="O119" i="17"/>
  <c r="N119" i="17"/>
  <c r="M119" i="17"/>
  <c r="L119" i="17"/>
  <c r="I119" i="17"/>
  <c r="H119" i="17"/>
  <c r="F119" i="17"/>
  <c r="D119" i="17"/>
  <c r="Q118" i="17"/>
  <c r="P118" i="17"/>
  <c r="N118" i="17"/>
  <c r="M118" i="17"/>
  <c r="K118" i="17"/>
  <c r="J118" i="17"/>
  <c r="I118" i="17"/>
  <c r="H118" i="17"/>
  <c r="G118" i="17"/>
  <c r="F118" i="17"/>
  <c r="D118" i="17"/>
  <c r="Z117" i="17"/>
  <c r="Y117" i="17"/>
  <c r="X117" i="17"/>
  <c r="W117" i="17"/>
  <c r="V117" i="17"/>
  <c r="U117" i="17"/>
  <c r="T117" i="17"/>
  <c r="S117" i="17"/>
  <c r="R117" i="17"/>
  <c r="Z116" i="17"/>
  <c r="Y116" i="17"/>
  <c r="X116" i="17"/>
  <c r="W116" i="17"/>
  <c r="V116" i="17"/>
  <c r="U116" i="17"/>
  <c r="T116" i="17"/>
  <c r="S116" i="17"/>
  <c r="R116" i="17"/>
  <c r="Q116" i="17"/>
  <c r="P116" i="17"/>
  <c r="O116" i="17"/>
  <c r="N116" i="17"/>
  <c r="M116" i="17"/>
  <c r="L116" i="17"/>
  <c r="K116" i="17"/>
  <c r="J116" i="17"/>
  <c r="I116" i="17"/>
  <c r="H116" i="17"/>
  <c r="G116" i="17"/>
  <c r="F116" i="17"/>
  <c r="E116" i="17"/>
  <c r="D116" i="17"/>
  <c r="Q115" i="17"/>
  <c r="P115" i="17"/>
  <c r="O115" i="17"/>
  <c r="N115" i="17"/>
  <c r="M115" i="17"/>
  <c r="L115" i="17"/>
  <c r="K115" i="17"/>
  <c r="J115" i="17"/>
  <c r="I115" i="17"/>
  <c r="H115" i="17"/>
  <c r="G115" i="17"/>
  <c r="F115" i="17"/>
  <c r="E115" i="17"/>
  <c r="Y114" i="17"/>
  <c r="W114" i="17"/>
  <c r="V114" i="17"/>
  <c r="U114" i="17"/>
  <c r="T114" i="17"/>
  <c r="R114" i="17"/>
  <c r="V113" i="17"/>
  <c r="Q113" i="17"/>
  <c r="P113" i="17"/>
  <c r="N113" i="17"/>
  <c r="L113" i="17"/>
  <c r="G113" i="17"/>
  <c r="F113" i="17"/>
  <c r="E113" i="17"/>
  <c r="D113" i="17"/>
  <c r="Z112" i="17"/>
  <c r="Y112" i="17"/>
  <c r="X112" i="17"/>
  <c r="W112" i="17"/>
  <c r="V112" i="17"/>
  <c r="U112" i="17"/>
  <c r="T112" i="17"/>
  <c r="S112" i="17"/>
  <c r="F112" i="17"/>
  <c r="Z111" i="17"/>
  <c r="Y111" i="17"/>
  <c r="U111" i="17"/>
  <c r="O111" i="17"/>
  <c r="N111" i="17"/>
  <c r="M111" i="17"/>
  <c r="L111" i="17"/>
  <c r="J111" i="17"/>
  <c r="G111" i="17"/>
  <c r="E111" i="17"/>
  <c r="D111" i="17"/>
  <c r="Z110" i="17"/>
  <c r="V110" i="17"/>
  <c r="U110" i="17"/>
  <c r="S110" i="17"/>
  <c r="R110" i="17"/>
  <c r="Q110" i="17"/>
  <c r="G110" i="17"/>
  <c r="E110" i="17"/>
  <c r="Z109" i="17"/>
  <c r="Y109" i="17"/>
  <c r="X109" i="17"/>
  <c r="W109" i="17"/>
  <c r="U109" i="17"/>
  <c r="S109" i="17"/>
  <c r="N109" i="17"/>
  <c r="M109" i="17"/>
  <c r="L109" i="17"/>
  <c r="J109" i="17"/>
  <c r="I109" i="17"/>
  <c r="H109" i="17"/>
  <c r="G109" i="17"/>
  <c r="E109" i="17"/>
  <c r="Y108" i="17"/>
  <c r="X108" i="17"/>
  <c r="W108" i="17"/>
  <c r="V108" i="17"/>
  <c r="U108" i="17"/>
  <c r="T108" i="17"/>
  <c r="S108" i="17"/>
  <c r="R108" i="17"/>
  <c r="Q108" i="17"/>
  <c r="O108" i="17"/>
  <c r="E108" i="17"/>
  <c r="D108" i="17"/>
  <c r="Z107" i="17"/>
  <c r="Y107" i="17"/>
  <c r="X107" i="17"/>
  <c r="V107" i="17"/>
  <c r="L107" i="17"/>
  <c r="K107" i="17"/>
  <c r="J107" i="17"/>
  <c r="I107" i="17"/>
  <c r="H107" i="17"/>
  <c r="G107" i="17"/>
  <c r="F107" i="17"/>
  <c r="E107" i="17"/>
  <c r="J106" i="17"/>
  <c r="I106" i="17"/>
  <c r="H106" i="17"/>
  <c r="G106" i="17"/>
  <c r="F106" i="17"/>
  <c r="E106" i="17"/>
  <c r="D106" i="17"/>
  <c r="D103" i="17" a="1"/>
  <c r="D33" i="17" a="1"/>
  <c r="D33" i="17" s="1"/>
  <c r="B30" i="17"/>
  <c r="V4" i="17" a="1"/>
  <c r="V4" i="17" s="1"/>
  <c r="E4" i="17" a="1"/>
  <c r="A24" i="15"/>
  <c r="E221" i="75" a="1"/>
  <c r="E221" i="75" s="1"/>
  <c r="E205" i="75" a="1"/>
  <c r="E205" i="75" s="1"/>
  <c r="E201" i="75"/>
  <c r="E195" i="75" a="1"/>
  <c r="E195" i="75" s="1"/>
  <c r="E192" i="75" a="1"/>
  <c r="E192" i="75" s="1"/>
  <c r="E188" i="75" a="1"/>
  <c r="E188" i="75" s="1"/>
  <c r="E171" i="75" a="1"/>
  <c r="E171" i="75" s="1"/>
  <c r="E46" i="69"/>
  <c r="E43" i="69"/>
  <c r="E42" i="69"/>
  <c r="E41" i="69"/>
  <c r="E40" i="69"/>
  <c r="E39" i="69"/>
  <c r="E38" i="69"/>
  <c r="E37" i="69"/>
  <c r="E63" i="77" a="1"/>
  <c r="E63" i="77" s="1"/>
  <c r="W139" i="65" a="1"/>
  <c r="W139" i="65" s="1"/>
  <c r="V139" i="65" a="1"/>
  <c r="V139" i="65" s="1"/>
  <c r="A32" i="47"/>
  <c r="Q12" i="47"/>
  <c r="Q11" i="47" s="1"/>
  <c r="E2" i="65" l="1"/>
  <c r="T118" i="65" a="1"/>
  <c r="T118" i="65" s="1"/>
  <c r="J92" i="65" a="1"/>
  <c r="J92" i="65" s="1"/>
  <c r="N74" i="65" a="1"/>
  <c r="N74" i="65" s="1"/>
  <c r="N72" i="65" s="1"/>
  <c r="O63" i="65" a="1"/>
  <c r="O63" i="65" s="1"/>
  <c r="J62" i="65" a="1"/>
  <c r="J62" i="65" s="1"/>
  <c r="K54" i="65" a="1"/>
  <c r="K54" i="65" s="1"/>
  <c r="M42" i="65" a="1"/>
  <c r="M42" i="65" s="1"/>
  <c r="K41" i="65" a="1"/>
  <c r="K41" i="65" s="1"/>
  <c r="K40" i="65" s="1"/>
  <c r="I15" i="65" a="1"/>
  <c r="I15" i="65" s="1"/>
  <c r="I16" i="65" s="1"/>
  <c r="R8" i="65" a="1"/>
  <c r="R8" i="65" s="1"/>
  <c r="T128" i="65" a="1"/>
  <c r="T128" i="65" s="1"/>
  <c r="T116" i="65" s="1"/>
  <c r="M118" i="65" a="1"/>
  <c r="M118" i="65" s="1"/>
  <c r="H92" i="65" a="1"/>
  <c r="H92" i="65" s="1"/>
  <c r="M74" i="65" a="1"/>
  <c r="M74" i="65" s="1"/>
  <c r="M72" i="65" s="1"/>
  <c r="N63" i="65" a="1"/>
  <c r="N63" i="65" s="1"/>
  <c r="N64" i="65" s="1"/>
  <c r="I62" i="65" a="1"/>
  <c r="I62" i="65" s="1"/>
  <c r="J54" i="65" a="1"/>
  <c r="J54" i="65" s="1"/>
  <c r="L42" i="65" a="1"/>
  <c r="L42" i="65" s="1"/>
  <c r="J41" i="65" a="1"/>
  <c r="J41" i="65" s="1"/>
  <c r="H15" i="65" a="1"/>
  <c r="H15" i="65" s="1"/>
  <c r="K8" i="65" a="1"/>
  <c r="K8" i="65" s="1"/>
  <c r="S128" i="65" a="1"/>
  <c r="S128" i="65" s="1"/>
  <c r="S126" i="65" s="1"/>
  <c r="L118" i="65" a="1"/>
  <c r="L118" i="65" s="1"/>
  <c r="L74" i="65" a="1"/>
  <c r="L74" i="65" s="1"/>
  <c r="L72" i="65" s="1"/>
  <c r="M63" i="65" a="1"/>
  <c r="M63" i="65" s="1"/>
  <c r="M64" i="65" s="1"/>
  <c r="I54" i="65" a="1"/>
  <c r="I54" i="65" s="1"/>
  <c r="K42" i="65" a="1"/>
  <c r="K42" i="65" s="1"/>
  <c r="J8" i="65" a="1"/>
  <c r="J8" i="65" s="1"/>
  <c r="R128" i="65" a="1"/>
  <c r="R128" i="65" s="1"/>
  <c r="R126" i="65" s="1"/>
  <c r="K118" i="65" a="1"/>
  <c r="K118" i="65" s="1"/>
  <c r="T81" i="65" a="1"/>
  <c r="T81" i="65" s="1"/>
  <c r="T45" i="65" s="1"/>
  <c r="K74" i="65" a="1"/>
  <c r="K74" i="65" s="1"/>
  <c r="L63" i="65" a="1"/>
  <c r="L63" i="65" s="1"/>
  <c r="H54" i="65" a="1"/>
  <c r="H54" i="65" s="1"/>
  <c r="J42" i="65" a="1"/>
  <c r="J42" i="65" s="1"/>
  <c r="T32" i="65" a="1"/>
  <c r="T32" i="65" s="1"/>
  <c r="I8" i="65" a="1"/>
  <c r="I8" i="65" s="1"/>
  <c r="S129" i="65" a="1"/>
  <c r="S129" i="65" s="1"/>
  <c r="Q128" i="65" a="1"/>
  <c r="Q128" i="65" s="1"/>
  <c r="Q116" i="65" s="1"/>
  <c r="J118" i="65" a="1"/>
  <c r="J118" i="65" s="1"/>
  <c r="R81" i="65" a="1"/>
  <c r="R81" i="65" s="1"/>
  <c r="R85" i="65" s="1"/>
  <c r="J74" i="65" a="1"/>
  <c r="J74" i="65" s="1"/>
  <c r="J63" i="65" a="1"/>
  <c r="J63" i="65" s="1"/>
  <c r="J64" i="65" s="1"/>
  <c r="H42" i="65" a="1"/>
  <c r="H42" i="65" s="1"/>
  <c r="S32" i="65" a="1"/>
  <c r="S32" i="65" s="1"/>
  <c r="H8" i="65" a="1"/>
  <c r="H8" i="65" s="1"/>
  <c r="M91" i="65" a="1"/>
  <c r="M91" i="65" s="1"/>
  <c r="M31" i="65" s="1"/>
  <c r="H9" i="65" a="1"/>
  <c r="H9" i="65" s="1"/>
  <c r="H119" i="65" a="1"/>
  <c r="H119" i="65" s="1"/>
  <c r="L91" i="65" a="1"/>
  <c r="L91" i="65" s="1"/>
  <c r="O62" i="65" a="1"/>
  <c r="O62" i="65" s="1"/>
  <c r="I53" i="65" a="1"/>
  <c r="I53" i="65" s="1"/>
  <c r="K129" i="65" a="1"/>
  <c r="K129" i="65" s="1"/>
  <c r="Q41" i="65" a="1"/>
  <c r="Q41" i="65" s="1"/>
  <c r="Q40" i="65" s="1"/>
  <c r="R33" i="65" a="1"/>
  <c r="R33" i="65" s="1"/>
  <c r="R129" i="65" a="1"/>
  <c r="R129" i="65" s="1"/>
  <c r="P128" i="65" a="1"/>
  <c r="P128" i="65" s="1"/>
  <c r="P116" i="65" s="1"/>
  <c r="T119" i="65" a="1"/>
  <c r="T119" i="65" s="1"/>
  <c r="I118" i="65" a="1"/>
  <c r="I118" i="65" s="1"/>
  <c r="Q81" i="65" a="1"/>
  <c r="Q81" i="65" s="1"/>
  <c r="Q45" i="65" s="1"/>
  <c r="I74" i="65" a="1"/>
  <c r="I74" i="65" s="1"/>
  <c r="I72" i="65" s="1"/>
  <c r="I63" i="65" a="1"/>
  <c r="I63" i="65" s="1"/>
  <c r="I64" i="65" s="1"/>
  <c r="R32" i="65" a="1"/>
  <c r="R32" i="65" s="1"/>
  <c r="Q129" i="65" a="1"/>
  <c r="Q129" i="65" s="1"/>
  <c r="O128" i="65" a="1"/>
  <c r="O128" i="65" s="1"/>
  <c r="S119" i="65" a="1"/>
  <c r="S119" i="65" s="1"/>
  <c r="H118" i="65" a="1"/>
  <c r="H118" i="65" s="1"/>
  <c r="Q91" i="65" a="1"/>
  <c r="Q91" i="65" s="1"/>
  <c r="J81" i="65" a="1"/>
  <c r="J81" i="65" s="1"/>
  <c r="J45" i="65" s="1"/>
  <c r="H74" i="65" a="1"/>
  <c r="H74" i="65" s="1"/>
  <c r="L32" i="65" a="1"/>
  <c r="L32" i="65" s="1"/>
  <c r="S9" i="65" a="1"/>
  <c r="S9" i="65" s="1"/>
  <c r="P129" i="65" a="1"/>
  <c r="P129" i="65" s="1"/>
  <c r="N128" i="65" a="1"/>
  <c r="N128" i="65" s="1"/>
  <c r="N126" i="65" s="1"/>
  <c r="L119" i="65" a="1"/>
  <c r="L119" i="65" s="1"/>
  <c r="P91" i="65" a="1"/>
  <c r="P91" i="65" s="1"/>
  <c r="I81" i="65" a="1"/>
  <c r="I81" i="65" s="1"/>
  <c r="I45" i="65" s="1"/>
  <c r="S53" i="65" a="1"/>
  <c r="S53" i="65" s="1"/>
  <c r="S51" i="65" s="1"/>
  <c r="K32" i="65" a="1"/>
  <c r="K32" i="65" s="1"/>
  <c r="R9" i="65" a="1"/>
  <c r="R9" i="65" s="1"/>
  <c r="O129" i="65" a="1"/>
  <c r="O129" i="65" s="1"/>
  <c r="L128" i="65" a="1"/>
  <c r="L128" i="65" s="1"/>
  <c r="K119" i="65" a="1"/>
  <c r="K119" i="65" s="1"/>
  <c r="O91" i="65" a="1"/>
  <c r="O91" i="65" s="1"/>
  <c r="L53" i="65" a="1"/>
  <c r="L53" i="65" s="1"/>
  <c r="L51" i="65" s="1"/>
  <c r="J32" i="65" a="1"/>
  <c r="J32" i="65" s="1"/>
  <c r="K9" i="65" a="1"/>
  <c r="K9" i="65" s="1"/>
  <c r="N129" i="65" a="1"/>
  <c r="N129" i="65" s="1"/>
  <c r="K128" i="65" a="1"/>
  <c r="K128" i="65" s="1"/>
  <c r="K126" i="65" s="1"/>
  <c r="J119" i="65" a="1"/>
  <c r="J119" i="65" s="1"/>
  <c r="N91" i="65" a="1"/>
  <c r="N91" i="65" s="1"/>
  <c r="N31" i="65" s="1"/>
  <c r="T82" i="65" a="1"/>
  <c r="T82" i="65" s="1"/>
  <c r="T86" i="65" s="1"/>
  <c r="H81" i="65" a="1"/>
  <c r="H81" i="65" s="1"/>
  <c r="H45" i="65" s="1"/>
  <c r="R62" i="65" a="1"/>
  <c r="R62" i="65" s="1"/>
  <c r="R64" i="65" s="1"/>
  <c r="S41" i="65" a="1"/>
  <c r="S41" i="65" s="1"/>
  <c r="T33" i="65" a="1"/>
  <c r="T33" i="65" s="1"/>
  <c r="I32" i="65" a="1"/>
  <c r="I32" i="65" s="1"/>
  <c r="J9" i="65" a="1"/>
  <c r="J9" i="65" s="1"/>
  <c r="M129" i="65" a="1"/>
  <c r="M129" i="65" s="1"/>
  <c r="O92" i="65" a="1"/>
  <c r="O92" i="65" s="1"/>
  <c r="S82" i="65" a="1"/>
  <c r="S82" i="65" s="1"/>
  <c r="Q62" i="65" a="1"/>
  <c r="Q62" i="65" s="1"/>
  <c r="Q64" i="65" s="1"/>
  <c r="K53" i="65" a="1"/>
  <c r="K53" i="65" s="1"/>
  <c r="R41" i="65" a="1"/>
  <c r="R41" i="65" s="1"/>
  <c r="S33" i="65" a="1"/>
  <c r="S33" i="65" s="1"/>
  <c r="H32" i="65" a="1"/>
  <c r="H32" i="65" s="1"/>
  <c r="I9" i="65" a="1"/>
  <c r="I9" i="65" s="1"/>
  <c r="I119" i="65" a="1"/>
  <c r="I119" i="65" s="1"/>
  <c r="N92" i="65" a="1"/>
  <c r="N92" i="65" s="1"/>
  <c r="Q82" i="65" a="1"/>
  <c r="Q82" i="65" s="1"/>
  <c r="Q46" i="65" s="1"/>
  <c r="P62" i="65" a="1"/>
  <c r="P62" i="65" s="1"/>
  <c r="P64" i="65" s="1"/>
  <c r="J53" i="65" a="1"/>
  <c r="J53" i="65" s="1"/>
  <c r="M92" i="65" a="1"/>
  <c r="M92" i="65" s="1"/>
  <c r="P82" i="65" a="1"/>
  <c r="P82" i="65" s="1"/>
  <c r="P41" i="65" a="1"/>
  <c r="P41" i="65" s="1"/>
  <c r="P40" i="65" s="1"/>
  <c r="P33" i="65" a="1"/>
  <c r="P33" i="65" s="1"/>
  <c r="J15" i="65" a="1"/>
  <c r="J15" i="65" s="1"/>
  <c r="S54" i="65" a="1"/>
  <c r="S54" i="65" s="1"/>
  <c r="D62" i="64"/>
  <c r="D63" i="64" s="1"/>
  <c r="R63" i="64"/>
  <c r="I63" i="64"/>
  <c r="P63" i="64"/>
  <c r="O63" i="64"/>
  <c r="N63" i="64"/>
  <c r="M63" i="64"/>
  <c r="L63" i="64"/>
  <c r="K63" i="64"/>
  <c r="B48" i="64"/>
  <c r="B68" i="64"/>
  <c r="H63" i="64"/>
  <c r="L47" i="64"/>
  <c r="P47" i="64"/>
  <c r="Q47" i="64"/>
  <c r="G132" i="64"/>
  <c r="R47" i="64"/>
  <c r="F133" i="64"/>
  <c r="F49" i="76" s="1"/>
  <c r="N47" i="64"/>
  <c r="O47" i="64"/>
  <c r="J63" i="64"/>
  <c r="T8" i="65" a="1"/>
  <c r="T8" i="65" s="1"/>
  <c r="T6" i="65" s="1"/>
  <c r="T9" i="65" a="1"/>
  <c r="T9" i="65" s="1"/>
  <c r="S15" i="65" a="1"/>
  <c r="S15" i="65" s="1"/>
  <c r="S16" i="65" s="1"/>
  <c r="Q33" i="65" a="1"/>
  <c r="Q33" i="65" s="1"/>
  <c r="L41" i="65" a="1"/>
  <c r="L41" i="65" s="1"/>
  <c r="L40" i="65" s="1"/>
  <c r="I42" i="65" a="1"/>
  <c r="I42" i="65" s="1"/>
  <c r="T53" i="65" a="1"/>
  <c r="T53" i="65" s="1"/>
  <c r="T54" i="65" a="1"/>
  <c r="T54" i="65" s="1"/>
  <c r="K62" i="65" a="1"/>
  <c r="K62" i="65" s="1"/>
  <c r="K63" i="65" a="1"/>
  <c r="K63" i="65" s="1"/>
  <c r="S81" i="65" a="1"/>
  <c r="S81" i="65" s="1"/>
  <c r="S85" i="65" s="1"/>
  <c r="R82" i="65" a="1"/>
  <c r="R82" i="65" s="1"/>
  <c r="R86" i="65" s="1"/>
  <c r="K91" i="65" a="1"/>
  <c r="K91" i="65" s="1"/>
  <c r="K31" i="65" s="1"/>
  <c r="I92" i="65" a="1"/>
  <c r="I92" i="65" s="1"/>
  <c r="I90" i="65" s="1"/>
  <c r="M128" i="65" a="1"/>
  <c r="M128" i="65" s="1"/>
  <c r="M126" i="65" s="1"/>
  <c r="L129" i="65" a="1"/>
  <c r="L129" i="65" s="1"/>
  <c r="L126" i="65" s="1"/>
  <c r="L31" i="65"/>
  <c r="E130" i="64"/>
  <c r="E46" i="76" s="1"/>
  <c r="K72" i="65"/>
  <c r="F47" i="64"/>
  <c r="S63" i="64"/>
  <c r="E131" i="64"/>
  <c r="E47" i="76" s="1"/>
  <c r="F134" i="64"/>
  <c r="F50" i="76" s="1"/>
  <c r="L8" i="65" a="1"/>
  <c r="L8" i="65" s="1"/>
  <c r="L9" i="65" a="1"/>
  <c r="L9" i="65" s="1"/>
  <c r="K15" i="65" a="1"/>
  <c r="K15" i="65" s="1"/>
  <c r="K16" i="65" s="1"/>
  <c r="M32" i="65" a="1"/>
  <c r="M32" i="65" s="1"/>
  <c r="K33" i="65" a="1"/>
  <c r="K33" i="65" s="1"/>
  <c r="P42" i="65" a="1"/>
  <c r="P42" i="65" s="1"/>
  <c r="M53" i="65" a="1"/>
  <c r="M53" i="65" s="1"/>
  <c r="L54" i="65" a="1"/>
  <c r="L54" i="65" s="1"/>
  <c r="S62" i="65" a="1"/>
  <c r="S62" i="65" s="1"/>
  <c r="S63" i="65" a="1"/>
  <c r="S63" i="65" s="1"/>
  <c r="S64" i="65" s="1"/>
  <c r="O74" i="65" a="1"/>
  <c r="O74" i="65" s="1"/>
  <c r="O72" i="65" s="1"/>
  <c r="K81" i="65" a="1"/>
  <c r="K81" i="65" s="1"/>
  <c r="K45" i="65" s="1"/>
  <c r="J82" i="65" a="1"/>
  <c r="J82" i="65" s="1"/>
  <c r="J46" i="65" s="1"/>
  <c r="R91" i="65" a="1"/>
  <c r="R91" i="65" s="1"/>
  <c r="P92" i="65" a="1"/>
  <c r="P92" i="65" s="1"/>
  <c r="N118" i="65" a="1"/>
  <c r="N118" i="65" s="1"/>
  <c r="M119" i="65" a="1"/>
  <c r="M119" i="65" s="1"/>
  <c r="T129" i="65" a="1"/>
  <c r="T129" i="65" s="1"/>
  <c r="E47" i="64"/>
  <c r="G47" i="64"/>
  <c r="M8" i="65" a="1"/>
  <c r="M8" i="65" s="1"/>
  <c r="M9" i="65" a="1"/>
  <c r="M9" i="65" s="1"/>
  <c r="M6" i="65" s="1"/>
  <c r="L15" i="65" a="1"/>
  <c r="L15" i="65" s="1"/>
  <c r="L16" i="65" s="1"/>
  <c r="N32" i="65" a="1"/>
  <c r="N32" i="65" s="1"/>
  <c r="T41" i="65" a="1"/>
  <c r="T41" i="65" s="1"/>
  <c r="T40" i="65" s="1"/>
  <c r="N53" i="65" a="1"/>
  <c r="N53" i="65" s="1"/>
  <c r="N51" i="65" s="1"/>
  <c r="M54" i="65" a="1"/>
  <c r="M54" i="65" s="1"/>
  <c r="T62" i="65" a="1"/>
  <c r="T62" i="65" s="1"/>
  <c r="T64" i="65" s="1"/>
  <c r="T63" i="65" a="1"/>
  <c r="T63" i="65" s="1"/>
  <c r="P74" i="65" a="1"/>
  <c r="P74" i="65" s="1"/>
  <c r="P72" i="65" s="1"/>
  <c r="L81" i="65" a="1"/>
  <c r="L81" i="65" s="1"/>
  <c r="L85" i="65" s="1"/>
  <c r="K82" i="65" a="1"/>
  <c r="K82" i="65" s="1"/>
  <c r="K46" i="65" s="1"/>
  <c r="S91" i="65" a="1"/>
  <c r="S91" i="65" s="1"/>
  <c r="Q92" i="65" a="1"/>
  <c r="Q92" i="65" s="1"/>
  <c r="Q90" i="65" s="1"/>
  <c r="O118" i="65" a="1"/>
  <c r="O118" i="65" s="1"/>
  <c r="N119" i="65" a="1"/>
  <c r="N119" i="65" s="1"/>
  <c r="D4" i="75" a="1"/>
  <c r="D4" i="75" s="1"/>
  <c r="E134" i="64"/>
  <c r="E50" i="76" s="1"/>
  <c r="H47" i="64"/>
  <c r="E115" i="64"/>
  <c r="E31" i="76" s="1"/>
  <c r="N8" i="65" a="1"/>
  <c r="N8" i="65" s="1"/>
  <c r="N6" i="65" s="1"/>
  <c r="N9" i="65" a="1"/>
  <c r="N9" i="65" s="1"/>
  <c r="M15" i="65" a="1"/>
  <c r="M15" i="65" s="1"/>
  <c r="M16" i="65" s="1"/>
  <c r="O32" i="65" a="1"/>
  <c r="O32" i="65" s="1"/>
  <c r="L33" i="65" a="1"/>
  <c r="L33" i="65" s="1"/>
  <c r="Q42" i="65" a="1"/>
  <c r="Q42" i="65" s="1"/>
  <c r="O53" i="65" a="1"/>
  <c r="O53" i="65" s="1"/>
  <c r="N54" i="65" a="1"/>
  <c r="N54" i="65" s="1"/>
  <c r="Q74" i="65" a="1"/>
  <c r="Q74" i="65" s="1"/>
  <c r="Q72" i="65" s="1"/>
  <c r="M81" i="65" a="1"/>
  <c r="M81" i="65" s="1"/>
  <c r="L82" i="65" a="1"/>
  <c r="L82" i="65" s="1"/>
  <c r="L46" i="65" s="1"/>
  <c r="T91" i="65" a="1"/>
  <c r="T91" i="65" s="1"/>
  <c r="R92" i="65" a="1"/>
  <c r="R92" i="65" s="1"/>
  <c r="R90" i="65" s="1"/>
  <c r="P118" i="65" a="1"/>
  <c r="P118" i="65" s="1"/>
  <c r="O119" i="65" a="1"/>
  <c r="O119" i="65" s="1"/>
  <c r="I47" i="64"/>
  <c r="F115" i="64"/>
  <c r="F31" i="76" s="1"/>
  <c r="O8" i="65" a="1"/>
  <c r="O8" i="65" s="1"/>
  <c r="O6" i="65" s="1"/>
  <c r="O9" i="65" a="1"/>
  <c r="O9" i="65" s="1"/>
  <c r="N15" i="65" a="1"/>
  <c r="N15" i="65" s="1"/>
  <c r="N16" i="65" s="1"/>
  <c r="P32" i="65" a="1"/>
  <c r="P32" i="65" s="1"/>
  <c r="M33" i="65" a="1"/>
  <c r="M33" i="65" s="1"/>
  <c r="R42" i="65" a="1"/>
  <c r="R42" i="65" s="1"/>
  <c r="P53" i="65" a="1"/>
  <c r="P53" i="65" s="1"/>
  <c r="O54" i="65" a="1"/>
  <c r="O54" i="65" s="1"/>
  <c r="R74" i="65" a="1"/>
  <c r="R74" i="65" s="1"/>
  <c r="R72" i="65" s="1"/>
  <c r="N81" i="65" a="1"/>
  <c r="N81" i="65" s="1"/>
  <c r="M82" i="65" a="1"/>
  <c r="M82" i="65" s="1"/>
  <c r="M86" i="65" s="1"/>
  <c r="Q118" i="65" a="1"/>
  <c r="Q118" i="65" s="1"/>
  <c r="P119" i="65" a="1"/>
  <c r="P119" i="65" s="1"/>
  <c r="H128" i="65" a="1"/>
  <c r="H128" i="65" s="1"/>
  <c r="J47" i="64"/>
  <c r="F63" i="64"/>
  <c r="G115" i="64"/>
  <c r="G31" i="76" s="1"/>
  <c r="E132" i="64"/>
  <c r="E48" i="76" s="1"/>
  <c r="P8" i="65" a="1"/>
  <c r="P8" i="65" s="1"/>
  <c r="P9" i="65" a="1"/>
  <c r="P9" i="65" s="1"/>
  <c r="O15" i="65" a="1"/>
  <c r="O15" i="65" s="1"/>
  <c r="O16" i="65" s="1"/>
  <c r="N33" i="65" a="1"/>
  <c r="N33" i="65" s="1"/>
  <c r="H41" i="65" a="1"/>
  <c r="H41" i="65" s="1"/>
  <c r="S42" i="65" a="1"/>
  <c r="S42" i="65" s="1"/>
  <c r="Q53" i="65" a="1"/>
  <c r="Q53" i="65" s="1"/>
  <c r="P54" i="65" a="1"/>
  <c r="P54" i="65" s="1"/>
  <c r="S74" i="65" a="1"/>
  <c r="S74" i="65" s="1"/>
  <c r="S72" i="65" s="1"/>
  <c r="O81" i="65" a="1"/>
  <c r="O81" i="65" s="1"/>
  <c r="O85" i="65" s="1"/>
  <c r="N82" i="65" a="1"/>
  <c r="N82" i="65" s="1"/>
  <c r="N46" i="65" s="1"/>
  <c r="S92" i="65" a="1"/>
  <c r="S92" i="65" s="1"/>
  <c r="R118" i="65" a="1"/>
  <c r="R118" i="65" s="1"/>
  <c r="Q119" i="65" a="1"/>
  <c r="Q119" i="65" s="1"/>
  <c r="I128" i="65" a="1"/>
  <c r="I128" i="65" s="1"/>
  <c r="I116" i="65" s="1"/>
  <c r="H129" i="65" a="1"/>
  <c r="H129" i="65" s="1"/>
  <c r="G63" i="64"/>
  <c r="Q8" i="65" a="1"/>
  <c r="Q8" i="65" s="1"/>
  <c r="Q6" i="65" s="1"/>
  <c r="Q9" i="65" a="1"/>
  <c r="Q9" i="65" s="1"/>
  <c r="P15" i="65" a="1"/>
  <c r="P15" i="65" s="1"/>
  <c r="P16" i="65" s="1"/>
  <c r="Q32" i="65" a="1"/>
  <c r="Q32" i="65" s="1"/>
  <c r="O33" i="65" a="1"/>
  <c r="O33" i="65" s="1"/>
  <c r="I41" i="65" a="1"/>
  <c r="I41" i="65" s="1"/>
  <c r="I40" i="65" s="1"/>
  <c r="T42" i="65" a="1"/>
  <c r="T42" i="65" s="1"/>
  <c r="R53" i="65" a="1"/>
  <c r="R53" i="65" s="1"/>
  <c r="R51" i="65" s="1"/>
  <c r="Q54" i="65" a="1"/>
  <c r="Q54" i="65" s="1"/>
  <c r="Q51" i="65" s="1"/>
  <c r="H62" i="65" a="1"/>
  <c r="H62" i="65" s="1"/>
  <c r="H63" i="65" a="1"/>
  <c r="H63" i="65" s="1"/>
  <c r="T74" i="65" a="1"/>
  <c r="T74" i="65" s="1"/>
  <c r="T72" i="65" s="1"/>
  <c r="P81" i="65" a="1"/>
  <c r="P81" i="65" s="1"/>
  <c r="P45" i="65" s="1"/>
  <c r="O82" i="65" a="1"/>
  <c r="O82" i="65" s="1"/>
  <c r="O86" i="65" s="1"/>
  <c r="H91" i="65" a="1"/>
  <c r="H91" i="65" s="1"/>
  <c r="T92" i="65" a="1"/>
  <c r="T92" i="65" s="1"/>
  <c r="T31" i="65" s="1"/>
  <c r="S118" i="65" a="1"/>
  <c r="S118" i="65" s="1"/>
  <c r="R119" i="65" a="1"/>
  <c r="R119" i="65" s="1"/>
  <c r="J128" i="65" a="1"/>
  <c r="J128" i="65" s="1"/>
  <c r="J116" i="65" s="1"/>
  <c r="I129" i="65" a="1"/>
  <c r="I129" i="65" s="1"/>
  <c r="R139" i="65" a="1"/>
  <c r="R139" i="65" s="1"/>
  <c r="S139" i="65" a="1"/>
  <c r="S139" i="65" s="1"/>
  <c r="T139" i="65" a="1"/>
  <c r="T139" i="65" s="1"/>
  <c r="K6" i="65"/>
  <c r="S116" i="65"/>
  <c r="J40" i="65"/>
  <c r="P51" i="65"/>
  <c r="I51" i="65"/>
  <c r="O64" i="65"/>
  <c r="I6" i="65"/>
  <c r="U6" i="65"/>
  <c r="V80" i="65"/>
  <c r="I46" i="65"/>
  <c r="W90" i="65"/>
  <c r="U90" i="65"/>
  <c r="H139" i="65" a="1"/>
  <c r="H139" i="65" s="1"/>
  <c r="D105" i="64"/>
  <c r="D106" i="64" a="1"/>
  <c r="D106" i="64" s="1"/>
  <c r="Q139" i="65" a="1"/>
  <c r="Q139" i="65" s="1"/>
  <c r="K138" i="65" a="1"/>
  <c r="K138" i="65" s="1"/>
  <c r="L138" i="65" a="1"/>
  <c r="L138" i="65" s="1"/>
  <c r="R138" i="65" a="1"/>
  <c r="R138" i="65" s="1"/>
  <c r="V90" i="65"/>
  <c r="J51" i="65"/>
  <c r="J31" i="65"/>
  <c r="K64" i="65"/>
  <c r="W40" i="65"/>
  <c r="W51" i="65"/>
  <c r="E34" i="74"/>
  <c r="E124" i="74" s="1" a="1"/>
  <c r="E124" i="74" s="1"/>
  <c r="J6" i="65"/>
  <c r="I65" i="65"/>
  <c r="K116" i="65"/>
  <c r="L64" i="65"/>
  <c r="N40" i="65"/>
  <c r="O40" i="65"/>
  <c r="V6" i="65"/>
  <c r="L6" i="65"/>
  <c r="W6" i="65"/>
  <c r="R6" i="65"/>
  <c r="S6" i="65"/>
  <c r="P86" i="65"/>
  <c r="P46" i="65"/>
  <c r="H46" i="65"/>
  <c r="H86" i="65"/>
  <c r="U51" i="65"/>
  <c r="V51" i="65"/>
  <c r="K51" i="65"/>
  <c r="J126" i="65"/>
  <c r="J16" i="65"/>
  <c r="V135" i="65"/>
  <c r="U40" i="65"/>
  <c r="R130" i="17"/>
  <c r="R132" i="17" s="1"/>
  <c r="R136" i="17" s="1"/>
  <c r="R187" i="17"/>
  <c r="R191" i="17" s="1"/>
  <c r="T130" i="17"/>
  <c r="T132" i="17" s="1"/>
  <c r="T136" i="17" s="1"/>
  <c r="T187" i="17"/>
  <c r="T191" i="17" s="1"/>
  <c r="V130" i="17"/>
  <c r="V132" i="17" s="1"/>
  <c r="V136" i="17" s="1"/>
  <c r="V187" i="17"/>
  <c r="V191" i="17" s="1"/>
  <c r="E59" i="65"/>
  <c r="E29" i="65"/>
  <c r="F59" i="65"/>
  <c r="D103" i="17"/>
  <c r="D158" i="17" s="1" a="1"/>
  <c r="D158" i="17" s="1"/>
  <c r="D104" i="17" a="1"/>
  <c r="D104" i="17" s="1"/>
  <c r="N186" i="17"/>
  <c r="N190" i="17" s="1"/>
  <c r="N129" i="17"/>
  <c r="N131" i="17" s="1"/>
  <c r="N135" i="17" s="1"/>
  <c r="M129" i="17"/>
  <c r="M131" i="17" s="1"/>
  <c r="M135" i="17" s="1"/>
  <c r="W116" i="65"/>
  <c r="W126" i="65"/>
  <c r="I39" i="65"/>
  <c r="I79" i="65"/>
  <c r="C322" i="64"/>
  <c r="F19" i="21" s="1"/>
  <c r="C317" i="64" a="1"/>
  <c r="C317" i="64" s="1"/>
  <c r="Q129" i="17"/>
  <c r="Q131" i="17" s="1"/>
  <c r="Q135" i="17" s="1"/>
  <c r="Q186" i="17"/>
  <c r="Q190" i="17" s="1"/>
  <c r="V147" i="17"/>
  <c r="G49" i="65"/>
  <c r="G70" i="65"/>
  <c r="G40" i="77"/>
  <c r="G41" i="77" s="1"/>
  <c r="G49" i="77" s="1"/>
  <c r="G54" i="77" s="1"/>
  <c r="G15" i="77"/>
  <c r="F29" i="65"/>
  <c r="G59" i="65"/>
  <c r="E18" i="75"/>
  <c r="F19" i="75"/>
  <c r="G168" i="17"/>
  <c r="G114" i="17" s="1"/>
  <c r="G112" i="17"/>
  <c r="L39" i="65"/>
  <c r="L79" i="65"/>
  <c r="H15" i="77"/>
  <c r="H40" i="77"/>
  <c r="H41" i="77" s="1"/>
  <c r="H49" i="77" s="1"/>
  <c r="H54" i="77" s="1"/>
  <c r="G4" i="65"/>
  <c r="F121" i="64"/>
  <c r="F37" i="76" s="1"/>
  <c r="J59" i="65"/>
  <c r="I29" i="65"/>
  <c r="W46" i="65"/>
  <c r="W86" i="65"/>
  <c r="W80" i="65"/>
  <c r="Y187" i="17"/>
  <c r="Y191" i="17" s="1"/>
  <c r="Y130" i="17"/>
  <c r="Y132" i="17" s="1"/>
  <c r="O112" i="17"/>
  <c r="O168" i="17"/>
  <c r="O114" i="17" s="1"/>
  <c r="O194" i="17"/>
  <c r="H113" i="17"/>
  <c r="H185" i="17"/>
  <c r="S130" i="17"/>
  <c r="S132" i="17" s="1"/>
  <c r="S136" i="17" s="1"/>
  <c r="S187" i="17"/>
  <c r="S191" i="17" s="1"/>
  <c r="P112" i="17"/>
  <c r="P168" i="17"/>
  <c r="P114" i="17" s="1"/>
  <c r="I185" i="17"/>
  <c r="I113" i="17"/>
  <c r="D6" i="74"/>
  <c r="D7" i="74" s="1" a="1"/>
  <c r="D7" i="74" s="1"/>
  <c r="G121" i="64"/>
  <c r="G37" i="76" s="1"/>
  <c r="H4" i="65"/>
  <c r="R107" i="17"/>
  <c r="R167" i="17"/>
  <c r="H146" i="17"/>
  <c r="R206" i="17"/>
  <c r="R151" i="17" s="1"/>
  <c r="M70" i="65"/>
  <c r="M49" i="65"/>
  <c r="E62" i="65" a="1"/>
  <c r="E62" i="65" s="1"/>
  <c r="E63" i="65" a="1"/>
  <c r="E63" i="65" s="1"/>
  <c r="V40" i="65"/>
  <c r="E4" i="17"/>
  <c r="E5" i="17" s="1" a="1"/>
  <c r="E5" i="17" s="1"/>
  <c r="E5" i="77"/>
  <c r="E37" i="77" s="1" a="1"/>
  <c r="J90" i="65"/>
  <c r="F108" i="17"/>
  <c r="I205" i="17"/>
  <c r="I150" i="17" s="1"/>
  <c r="I120" i="17"/>
  <c r="N70" i="65"/>
  <c r="N49" i="65"/>
  <c r="I18" i="65"/>
  <c r="I21" i="65"/>
  <c r="I19" i="65"/>
  <c r="I49" i="65"/>
  <c r="I70" i="65"/>
  <c r="Q112" i="17"/>
  <c r="Q194" i="17"/>
  <c r="Q168" i="17"/>
  <c r="Q114" i="17" s="1"/>
  <c r="J49" i="65"/>
  <c r="J70" i="65"/>
  <c r="O39" i="65"/>
  <c r="O79" i="65"/>
  <c r="C320" i="64"/>
  <c r="C319" i="64"/>
  <c r="J65" i="65"/>
  <c r="J111" i="65"/>
  <c r="B38" i="15"/>
  <c r="B39" i="15" s="1" a="1"/>
  <c r="B39" i="15" s="1"/>
  <c r="H129" i="17"/>
  <c r="H131" i="17" s="1"/>
  <c r="H135" i="17" s="1"/>
  <c r="H186" i="17"/>
  <c r="H190" i="17" s="1"/>
  <c r="J184" i="17"/>
  <c r="J119" i="17"/>
  <c r="P201" i="17"/>
  <c r="P145" i="17"/>
  <c r="Y202" i="17"/>
  <c r="Y146" i="17"/>
  <c r="K65" i="65"/>
  <c r="K111" i="65"/>
  <c r="L166" i="17"/>
  <c r="L106" i="17"/>
  <c r="I129" i="17"/>
  <c r="I131" i="17" s="1"/>
  <c r="I186" i="17"/>
  <c r="I190" i="17" s="1"/>
  <c r="K184" i="17"/>
  <c r="K119" i="17"/>
  <c r="D205" i="17"/>
  <c r="D150" i="17" s="1"/>
  <c r="D184" i="17"/>
  <c r="D120" i="17"/>
  <c r="F122" i="17"/>
  <c r="F184" i="17"/>
  <c r="R202" i="17"/>
  <c r="Q145" i="17"/>
  <c r="Q201" i="17"/>
  <c r="L65" i="65"/>
  <c r="L111" i="65"/>
  <c r="T147" i="17"/>
  <c r="N166" i="17"/>
  <c r="N106" i="17"/>
  <c r="Y167" i="17"/>
  <c r="F146" i="17"/>
  <c r="U202" i="17"/>
  <c r="W135" i="65"/>
  <c r="Z167" i="17"/>
  <c r="L118" i="17"/>
  <c r="L184" i="17"/>
  <c r="G205" i="17"/>
  <c r="G150" i="17" s="1"/>
  <c r="G120" i="17"/>
  <c r="F194" i="17"/>
  <c r="G146" i="17"/>
  <c r="S107" i="17"/>
  <c r="S167" i="17"/>
  <c r="J185" i="17"/>
  <c r="I146" i="17"/>
  <c r="Z130" i="17"/>
  <c r="Z132" i="17" s="1"/>
  <c r="Z136" i="17" s="1"/>
  <c r="D107" i="17"/>
  <c r="D166" i="17"/>
  <c r="T107" i="17"/>
  <c r="T167" i="17"/>
  <c r="O184" i="17"/>
  <c r="O118" i="17"/>
  <c r="J205" i="17"/>
  <c r="J150" i="17" s="1"/>
  <c r="J120" i="17"/>
  <c r="J79" i="65"/>
  <c r="J39" i="65"/>
  <c r="D40" i="77"/>
  <c r="D41" i="77" s="1"/>
  <c r="D49" i="77" s="1"/>
  <c r="D54" i="77" s="1"/>
  <c r="P70" i="65"/>
  <c r="O70" i="65"/>
  <c r="O49" i="65"/>
  <c r="J21" i="65"/>
  <c r="J18" i="65"/>
  <c r="J19" i="65"/>
  <c r="M40" i="65"/>
  <c r="V46" i="65"/>
  <c r="V86" i="65"/>
  <c r="P79" i="65"/>
  <c r="P39" i="65"/>
  <c r="C327" i="64"/>
  <c r="C329" i="64" s="1" a="1"/>
  <c r="C329" i="64" s="1"/>
  <c r="W39" i="65"/>
  <c r="W79" i="65"/>
  <c r="O201" i="17"/>
  <c r="N201" i="17"/>
  <c r="W202" i="17"/>
  <c r="G84" i="65"/>
  <c r="G44" i="65"/>
  <c r="J112" i="17"/>
  <c r="X202" i="17"/>
  <c r="X146" i="17"/>
  <c r="K166" i="17"/>
  <c r="K106" i="17"/>
  <c r="V195" i="17"/>
  <c r="V169" i="17"/>
  <c r="V115" i="17" s="1"/>
  <c r="Z202" i="17"/>
  <c r="Z146" i="17"/>
  <c r="G133" i="64"/>
  <c r="G49" i="76" s="1"/>
  <c r="C235" i="64"/>
  <c r="F11" i="21" s="1"/>
  <c r="E11" i="21"/>
  <c r="N145" i="17"/>
  <c r="M166" i="17"/>
  <c r="M106" i="17"/>
  <c r="X167" i="17"/>
  <c r="E146" i="17"/>
  <c r="S86" i="65"/>
  <c r="S46" i="65"/>
  <c r="U107" i="17"/>
  <c r="U167" i="17"/>
  <c r="K79" i="65"/>
  <c r="K39" i="65"/>
  <c r="F15" i="77"/>
  <c r="F40" i="77"/>
  <c r="F41" i="77" s="1"/>
  <c r="F49" i="77" s="1"/>
  <c r="F54" i="77" s="1"/>
  <c r="F4" i="65"/>
  <c r="E121" i="64"/>
  <c r="E37" i="76" s="1"/>
  <c r="V116" i="65"/>
  <c r="V126" i="65"/>
  <c r="V5" i="17" a="1"/>
  <c r="V5" i="17" s="1"/>
  <c r="E70" i="75" a="1"/>
  <c r="K21" i="65"/>
  <c r="K18" i="65"/>
  <c r="K19" i="65"/>
  <c r="E166" i="17"/>
  <c r="I59" i="65"/>
  <c r="H29" i="65"/>
  <c r="P138" i="65" a="1"/>
  <c r="P138" i="65" s="1"/>
  <c r="P139" i="65" a="1"/>
  <c r="P139" i="65" s="1"/>
  <c r="O138" i="65" a="1"/>
  <c r="O138" i="65" s="1"/>
  <c r="O139" i="65" a="1"/>
  <c r="O139" i="65" s="1"/>
  <c r="N139" i="65" a="1"/>
  <c r="N139" i="65" s="1"/>
  <c r="N138" i="65" a="1"/>
  <c r="N138" i="65" s="1"/>
  <c r="M139" i="65" a="1"/>
  <c r="M139" i="65" s="1"/>
  <c r="J138" i="65" a="1"/>
  <c r="J138" i="65" s="1"/>
  <c r="I138" i="65" a="1"/>
  <c r="I138" i="65" s="1"/>
  <c r="L139" i="65" a="1"/>
  <c r="L139" i="65" s="1"/>
  <c r="T138" i="65" a="1"/>
  <c r="T138" i="65" s="1"/>
  <c r="S138" i="65" a="1"/>
  <c r="S138" i="65" s="1"/>
  <c r="H138" i="65" a="1"/>
  <c r="H138" i="65" s="1"/>
  <c r="C328" i="64" a="1"/>
  <c r="C328" i="64" s="1"/>
  <c r="C330" i="64" s="1" a="1"/>
  <c r="C330" i="64" s="1"/>
  <c r="O31" i="65"/>
  <c r="O90" i="65"/>
  <c r="R116" i="65"/>
  <c r="M138" i="65" a="1"/>
  <c r="M138" i="65" s="1"/>
  <c r="U185" i="17"/>
  <c r="U119" i="17"/>
  <c r="D22" i="75" a="1"/>
  <c r="D22" i="75" s="1"/>
  <c r="S79" i="65"/>
  <c r="S39" i="65"/>
  <c r="D5" i="64" a="1"/>
  <c r="D5" i="64" s="1"/>
  <c r="I139" i="65" a="1"/>
  <c r="I139" i="65" s="1"/>
  <c r="D20" i="76" a="1"/>
  <c r="D20" i="76" s="1"/>
  <c r="K59" i="65"/>
  <c r="J29" i="65"/>
  <c r="T79" i="65"/>
  <c r="T39" i="65"/>
  <c r="L40" i="77"/>
  <c r="L41" i="77" s="1"/>
  <c r="L49" i="77" s="1"/>
  <c r="L54" i="77" s="1"/>
  <c r="M39" i="65"/>
  <c r="M79" i="65"/>
  <c r="P31" i="65"/>
  <c r="J139" i="65" a="1"/>
  <c r="J139" i="65" s="1"/>
  <c r="H166" i="17"/>
  <c r="W167" i="17"/>
  <c r="E118" i="17"/>
  <c r="E184" i="17"/>
  <c r="W185" i="17"/>
  <c r="W119" i="17"/>
  <c r="Y121" i="17"/>
  <c r="Y206" i="17"/>
  <c r="Y151" i="17" s="1"/>
  <c r="E47" i="74" a="1"/>
  <c r="E47" i="74" s="1"/>
  <c r="K36" i="77"/>
  <c r="N39" i="65"/>
  <c r="N79" i="65"/>
  <c r="D338" i="64" a="1"/>
  <c r="D337" i="64" a="1"/>
  <c r="T51" i="65"/>
  <c r="Q138" i="65" a="1"/>
  <c r="Q138" i="65" s="1"/>
  <c r="K139" i="65" a="1"/>
  <c r="K139" i="65" s="1"/>
  <c r="H84" i="65"/>
  <c r="H44" i="65"/>
  <c r="U85" i="65"/>
  <c r="U80" i="65"/>
  <c r="E128" i="75" a="1"/>
  <c r="E128" i="75" s="1"/>
  <c r="D32" i="64" a="1"/>
  <c r="D32" i="64" s="1"/>
  <c r="B19" i="15" a="1"/>
  <c r="E92" i="74" a="1"/>
  <c r="E92" i="74" s="1"/>
  <c r="C59" i="76" a="1"/>
  <c r="I15" i="77"/>
  <c r="I40" i="77"/>
  <c r="I41" i="77" s="1"/>
  <c r="I49" i="77" s="1"/>
  <c r="I54" i="77" s="1"/>
  <c r="N29" i="65"/>
  <c r="O59" i="65"/>
  <c r="N59" i="65"/>
  <c r="X185" i="17"/>
  <c r="D5" i="75" a="1"/>
  <c r="D5" i="75" s="1"/>
  <c r="K49" i="65"/>
  <c r="K70" i="65"/>
  <c r="D46" i="64"/>
  <c r="D47" i="64" s="1"/>
  <c r="Q79" i="65"/>
  <c r="Q39" i="65"/>
  <c r="G184" i="17"/>
  <c r="L70" i="65"/>
  <c r="L49" i="65"/>
  <c r="V85" i="65"/>
  <c r="V45" i="65"/>
  <c r="Q31" i="65"/>
  <c r="J201" i="17"/>
  <c r="D336" i="64"/>
  <c r="O116" i="65"/>
  <c r="O126" i="65"/>
  <c r="J72" i="65"/>
  <c r="W45" i="65"/>
  <c r="W85" i="65"/>
  <c r="R31" i="65"/>
  <c r="U135" i="65"/>
  <c r="K29" i="65"/>
  <c r="Q126" i="65"/>
  <c r="I166" i="17"/>
  <c r="P184" i="17"/>
  <c r="P194" i="17" s="1"/>
  <c r="K205" i="17"/>
  <c r="K150" i="17" s="1"/>
  <c r="K120" i="17"/>
  <c r="M32" i="77"/>
  <c r="M36" i="77" s="1"/>
  <c r="M40" i="77"/>
  <c r="M41" i="77" s="1"/>
  <c r="M49" i="77" s="1"/>
  <c r="M54" i="77" s="1"/>
  <c r="D22" i="76"/>
  <c r="D19" i="76" s="1" a="1"/>
  <c r="D19" i="76" s="1"/>
  <c r="F84" i="65"/>
  <c r="F44" i="65"/>
  <c r="U46" i="65"/>
  <c r="U86" i="65"/>
  <c r="H49" i="65"/>
  <c r="H70" i="65"/>
  <c r="R79" i="65"/>
  <c r="R39" i="65"/>
  <c r="D300" i="64" a="1"/>
  <c r="Q63" i="64"/>
  <c r="M47" i="64"/>
  <c r="F21" i="65"/>
  <c r="C228" i="64"/>
  <c r="L90" i="65"/>
  <c r="G19" i="65"/>
  <c r="G18" i="65"/>
  <c r="V39" i="65"/>
  <c r="U116" i="65"/>
  <c r="H19" i="65"/>
  <c r="H18" i="65"/>
  <c r="U126" i="65"/>
  <c r="G48" i="76" l="1"/>
  <c r="C172" i="64" a="1"/>
  <c r="C172" i="64" s="1"/>
  <c r="C171" i="64" a="1"/>
  <c r="C171" i="64" s="1"/>
  <c r="P6" i="65"/>
  <c r="M90" i="65"/>
  <c r="J86" i="65"/>
  <c r="T126" i="65"/>
  <c r="M116" i="65"/>
  <c r="T90" i="65"/>
  <c r="I80" i="65"/>
  <c r="O46" i="65"/>
  <c r="Q85" i="65"/>
  <c r="J85" i="65"/>
  <c r="H85" i="65"/>
  <c r="L116" i="65"/>
  <c r="S40" i="65"/>
  <c r="S31" i="65"/>
  <c r="P126" i="65"/>
  <c r="K135" i="65"/>
  <c r="I126" i="65"/>
  <c r="T85" i="65"/>
  <c r="R80" i="65"/>
  <c r="Q80" i="65"/>
  <c r="J80" i="65"/>
  <c r="N116" i="65"/>
  <c r="T46" i="65"/>
  <c r="I85" i="65"/>
  <c r="R45" i="65"/>
  <c r="L86" i="65"/>
  <c r="Q86" i="65"/>
  <c r="R40" i="65"/>
  <c r="O51" i="65"/>
  <c r="P90" i="65"/>
  <c r="T80" i="65"/>
  <c r="P80" i="65"/>
  <c r="P85" i="65"/>
  <c r="M51" i="65"/>
  <c r="N90" i="65"/>
  <c r="N80" i="65"/>
  <c r="R46" i="65"/>
  <c r="O45" i="65"/>
  <c r="O80" i="65"/>
  <c r="S45" i="65"/>
  <c r="K90" i="65"/>
  <c r="M80" i="65"/>
  <c r="L45" i="65"/>
  <c r="K85" i="65"/>
  <c r="K80" i="65"/>
  <c r="K86" i="65"/>
  <c r="S80" i="65"/>
  <c r="L80" i="65"/>
  <c r="I31" i="65"/>
  <c r="Q135" i="65"/>
  <c r="N45" i="65"/>
  <c r="N85" i="65"/>
  <c r="S90" i="65"/>
  <c r="H60" i="76"/>
  <c r="G60" i="76"/>
  <c r="F60" i="76"/>
  <c r="E60" i="76"/>
  <c r="D60" i="76"/>
  <c r="R135" i="65"/>
  <c r="D338" i="64"/>
  <c r="J339" i="64"/>
  <c r="I339" i="64"/>
  <c r="H339" i="64"/>
  <c r="G339" i="64"/>
  <c r="F339" i="64"/>
  <c r="N86" i="65"/>
  <c r="M46" i="65"/>
  <c r="D337" i="64"/>
  <c r="D340" i="64" s="1"/>
  <c r="F340" i="64"/>
  <c r="I340" i="64"/>
  <c r="H340" i="64"/>
  <c r="G340" i="64"/>
  <c r="L135" i="65"/>
  <c r="M85" i="65"/>
  <c r="M45" i="65"/>
  <c r="E340" i="64"/>
  <c r="T135" i="65"/>
  <c r="S135" i="65"/>
  <c r="E93" i="74" a="1"/>
  <c r="E93" i="74" s="1"/>
  <c r="E108" i="74" a="1"/>
  <c r="E108" i="74" s="1"/>
  <c r="E22" i="17" a="1"/>
  <c r="E122" i="74" a="1"/>
  <c r="E122" i="74" s="1"/>
  <c r="O135" i="65"/>
  <c r="E35" i="74" a="1"/>
  <c r="E35" i="74" s="1"/>
  <c r="E130" i="74" a="1"/>
  <c r="E130" i="74" s="1"/>
  <c r="E97" i="74" a="1"/>
  <c r="E97" i="74" s="1"/>
  <c r="E14" i="17" a="1"/>
  <c r="E14" i="17" s="1"/>
  <c r="M135" i="65"/>
  <c r="E18" i="77" a="1"/>
  <c r="E18" i="77" s="1"/>
  <c r="E27" i="17" a="1"/>
  <c r="E66" i="74" a="1"/>
  <c r="E66" i="74" s="1"/>
  <c r="G19" i="74"/>
  <c r="G17" i="64" s="1"/>
  <c r="G23" i="74"/>
  <c r="G21" i="64" s="1"/>
  <c r="H64" i="65" s="1"/>
  <c r="G20" i="74"/>
  <c r="G18" i="64" s="1"/>
  <c r="H135" i="65" s="1"/>
  <c r="G17" i="74"/>
  <c r="G15" i="64" s="1"/>
  <c r="G21" i="74"/>
  <c r="G19" i="64" s="1"/>
  <c r="G22" i="74"/>
  <c r="G20" i="64" s="1"/>
  <c r="E6" i="77" a="1"/>
  <c r="E6" i="77" s="1"/>
  <c r="E23" i="17" a="1"/>
  <c r="N135" i="65"/>
  <c r="E13" i="17" a="1"/>
  <c r="E13" i="17" s="1"/>
  <c r="E84" i="74" a="1"/>
  <c r="E84" i="74" s="1"/>
  <c r="E20" i="17" a="1"/>
  <c r="D21" i="76" a="1"/>
  <c r="D21" i="76" s="1"/>
  <c r="E18" i="17" a="1"/>
  <c r="E19" i="17" a="1"/>
  <c r="E11" i="17" a="1"/>
  <c r="P135" i="65"/>
  <c r="E8" i="17" a="1"/>
  <c r="E6" i="17" a="1"/>
  <c r="I135" i="65"/>
  <c r="E24" i="17" a="1"/>
  <c r="J135" i="65"/>
  <c r="E26" i="17" a="1"/>
  <c r="E115" i="74" a="1"/>
  <c r="E115" i="74" s="1"/>
  <c r="E21" i="17" a="1"/>
  <c r="E7" i="17" a="1"/>
  <c r="E37" i="77"/>
  <c r="E64" i="77" s="1" a="1"/>
  <c r="E64" i="77" s="1"/>
  <c r="E79" i="77" a="1"/>
  <c r="E79" i="77" s="1"/>
  <c r="C82" i="76" a="1"/>
  <c r="C82" i="76" s="1"/>
  <c r="C61" i="76" a="1"/>
  <c r="C61" i="76" s="1"/>
  <c r="C67" i="76" a="1"/>
  <c r="C67" i="76" s="1"/>
  <c r="C65" i="76" a="1"/>
  <c r="C65" i="76" s="1"/>
  <c r="C69" i="76" a="1"/>
  <c r="C69" i="76" s="1"/>
  <c r="C78" i="76" a="1"/>
  <c r="C78" i="76" s="1"/>
  <c r="C76" i="76" a="1"/>
  <c r="C76" i="76" s="1"/>
  <c r="C63" i="76" a="1"/>
  <c r="C63" i="76" s="1"/>
  <c r="C74" i="76" a="1"/>
  <c r="C74" i="76" s="1"/>
  <c r="C80" i="76" a="1"/>
  <c r="C80" i="76" s="1"/>
  <c r="C71" i="76" a="1"/>
  <c r="C71" i="76" s="1"/>
  <c r="C246" i="64"/>
  <c r="C247" i="64"/>
  <c r="E70" i="75"/>
  <c r="E166" i="75" s="1" a="1"/>
  <c r="E166" i="75" s="1"/>
  <c r="P139" i="17"/>
  <c r="P195" i="17"/>
  <c r="G25" i="74"/>
  <c r="G23" i="64" s="1"/>
  <c r="G26" i="74"/>
  <c r="G24" i="64" s="1"/>
  <c r="G24" i="74"/>
  <c r="G22" i="64" s="1"/>
  <c r="G28" i="74"/>
  <c r="G26" i="64" s="1"/>
  <c r="G27" i="74"/>
  <c r="G25" i="64" s="1"/>
  <c r="D301" i="64" a="1"/>
  <c r="D300" i="64"/>
  <c r="C59" i="76"/>
  <c r="C60" i="76" s="1"/>
  <c r="B19" i="15"/>
  <c r="M84" i="65"/>
  <c r="M44" i="65"/>
  <c r="V196" i="17"/>
  <c r="V140" i="17"/>
  <c r="O146" i="17"/>
  <c r="S169" i="17"/>
  <c r="S115" i="17" s="1"/>
  <c r="S195" i="17"/>
  <c r="S113" i="17"/>
  <c r="N112" i="17"/>
  <c r="N194" i="17"/>
  <c r="N168" i="17"/>
  <c r="N114" i="17" s="1"/>
  <c r="W195" i="17"/>
  <c r="W169" i="17"/>
  <c r="W115" i="17" s="1"/>
  <c r="W113" i="17"/>
  <c r="W84" i="65"/>
  <c r="W44" i="65"/>
  <c r="J44" i="65"/>
  <c r="J84" i="65"/>
  <c r="I135" i="17"/>
  <c r="Q84" i="65"/>
  <c r="Q44" i="65"/>
  <c r="H194" i="17"/>
  <c r="H112" i="17"/>
  <c r="H168" i="17"/>
  <c r="H114" i="17" s="1"/>
  <c r="X113" i="17"/>
  <c r="X195" i="17"/>
  <c r="X169" i="17"/>
  <c r="X115" i="17" s="1"/>
  <c r="K194" i="17"/>
  <c r="K112" i="17"/>
  <c r="K168" i="17"/>
  <c r="K114" i="17" s="1"/>
  <c r="D18" i="74"/>
  <c r="L84" i="65"/>
  <c r="L44" i="65"/>
  <c r="T84" i="65"/>
  <c r="T44" i="65"/>
  <c r="U187" i="17"/>
  <c r="U191" i="17" s="1"/>
  <c r="U130" i="17"/>
  <c r="U132" i="17" s="1"/>
  <c r="U136" i="17" s="1"/>
  <c r="X147" i="17"/>
  <c r="D11" i="21"/>
  <c r="Q146" i="17"/>
  <c r="D129" i="17"/>
  <c r="D131" i="17" s="1"/>
  <c r="D135" i="17" s="1"/>
  <c r="D186" i="17"/>
  <c r="D190" i="17" s="1"/>
  <c r="J186" i="17"/>
  <c r="J190" i="17" s="1"/>
  <c r="J129" i="17"/>
  <c r="J131" i="17" s="1"/>
  <c r="J135" i="17" s="1"/>
  <c r="Q195" i="17"/>
  <c r="Q139" i="17"/>
  <c r="O195" i="17"/>
  <c r="O139" i="17"/>
  <c r="C318" i="64" a="1"/>
  <c r="C318" i="64" s="1"/>
  <c r="C321" i="64" s="1"/>
  <c r="E19" i="21" s="1"/>
  <c r="D19" i="21" s="1"/>
  <c r="P84" i="65"/>
  <c r="P44" i="65"/>
  <c r="K44" i="65"/>
  <c r="K84" i="65"/>
  <c r="J194" i="17"/>
  <c r="O129" i="17"/>
  <c r="O131" i="17" s="1"/>
  <c r="O135" i="17" s="1"/>
  <c r="O186" i="17"/>
  <c r="O190" i="17" s="1"/>
  <c r="L186" i="17"/>
  <c r="L190" i="17" s="1"/>
  <c r="L129" i="17"/>
  <c r="L131" i="17" s="1"/>
  <c r="L135" i="17" s="1"/>
  <c r="O84" i="65"/>
  <c r="O44" i="65"/>
  <c r="F18" i="75"/>
  <c r="G19" i="75"/>
  <c r="W147" i="17"/>
  <c r="Y169" i="17"/>
  <c r="Y115" i="17" s="1"/>
  <c r="Y195" i="17"/>
  <c r="Y113" i="17"/>
  <c r="K186" i="17"/>
  <c r="K190" i="17" s="1"/>
  <c r="K129" i="17"/>
  <c r="K131" i="17" s="1"/>
  <c r="K135" i="17" s="1"/>
  <c r="G129" i="17"/>
  <c r="G131" i="17" s="1"/>
  <c r="G135" i="17" s="1"/>
  <c r="G186" i="17"/>
  <c r="G190" i="17" s="1"/>
  <c r="C229" i="64"/>
  <c r="C231" i="64"/>
  <c r="F10" i="21" s="1"/>
  <c r="C230" i="64"/>
  <c r="E10" i="21" s="1"/>
  <c r="D10" i="21" s="1"/>
  <c r="L168" i="17"/>
  <c r="L114" i="17" s="1"/>
  <c r="L112" i="17"/>
  <c r="L194" i="17"/>
  <c r="Y136" i="17"/>
  <c r="G194" i="17"/>
  <c r="I44" i="65"/>
  <c r="I84" i="65"/>
  <c r="R44" i="65"/>
  <c r="R84" i="65"/>
  <c r="P186" i="17"/>
  <c r="P190" i="17" s="1"/>
  <c r="P129" i="17"/>
  <c r="P131" i="17" s="1"/>
  <c r="P135" i="17" s="1"/>
  <c r="X130" i="17"/>
  <c r="X132" i="17" s="1"/>
  <c r="X136" i="17" s="1"/>
  <c r="X187" i="17"/>
  <c r="X191" i="17" s="1"/>
  <c r="N84" i="65"/>
  <c r="N44" i="65"/>
  <c r="S44" i="65"/>
  <c r="S84" i="65"/>
  <c r="I194" i="17"/>
  <c r="I112" i="17"/>
  <c r="I168" i="17"/>
  <c r="I114" i="17" s="1"/>
  <c r="U195" i="17"/>
  <c r="U113" i="17"/>
  <c r="U169" i="17"/>
  <c r="U115" i="17" s="1"/>
  <c r="T195" i="17"/>
  <c r="T113" i="17"/>
  <c r="T169" i="17"/>
  <c r="T115" i="17" s="1"/>
  <c r="R147" i="17"/>
  <c r="Y147" i="17"/>
  <c r="E10" i="17" a="1"/>
  <c r="E9" i="17" a="1"/>
  <c r="E25" i="17" a="1"/>
  <c r="U147" i="17"/>
  <c r="Z147" i="17"/>
  <c r="W187" i="17"/>
  <c r="W191" i="17" s="1"/>
  <c r="W130" i="17"/>
  <c r="W132" i="17" s="1"/>
  <c r="W136" i="17" s="1"/>
  <c r="J146" i="17"/>
  <c r="E129" i="17"/>
  <c r="E131" i="17" s="1"/>
  <c r="E135" i="17" s="1"/>
  <c r="E186" i="17"/>
  <c r="E190" i="17" s="1"/>
  <c r="N146" i="17"/>
  <c r="Z113" i="17"/>
  <c r="Z195" i="17"/>
  <c r="Z169" i="17"/>
  <c r="Z115" i="17" s="1"/>
  <c r="F129" i="17"/>
  <c r="F131" i="17" s="1"/>
  <c r="F135" i="17" s="1"/>
  <c r="F186" i="17"/>
  <c r="F190" i="17" s="1"/>
  <c r="R195" i="17"/>
  <c r="R113" i="17"/>
  <c r="R169" i="17"/>
  <c r="R115" i="17" s="1"/>
  <c r="E168" i="17"/>
  <c r="E114" i="17" s="1"/>
  <c r="E194" i="17"/>
  <c r="E112" i="17"/>
  <c r="M194" i="17"/>
  <c r="M168" i="17"/>
  <c r="M114" i="17" s="1"/>
  <c r="M112" i="17"/>
  <c r="F195" i="17"/>
  <c r="F139" i="17"/>
  <c r="D112" i="17"/>
  <c r="D194" i="17"/>
  <c r="D168" i="17"/>
  <c r="D114" i="17" s="1"/>
  <c r="P146" i="17"/>
  <c r="E24" i="17" l="1"/>
  <c r="E26" i="74"/>
  <c r="F26" i="74"/>
  <c r="F24" i="64"/>
  <c r="E24" i="64"/>
  <c r="E23" i="17"/>
  <c r="E23" i="64"/>
  <c r="F23" i="64"/>
  <c r="F25" i="74"/>
  <c r="E25" i="74"/>
  <c r="D301" i="64"/>
  <c r="E302" i="64" s="1"/>
  <c r="H302" i="64"/>
  <c r="G302" i="64"/>
  <c r="F302" i="64"/>
  <c r="I302" i="64"/>
  <c r="E13" i="64"/>
  <c r="E117" i="64" s="1"/>
  <c r="E33" i="76" s="1"/>
  <c r="F15" i="74"/>
  <c r="E8" i="17"/>
  <c r="D10" i="74" s="1"/>
  <c r="F10" i="74"/>
  <c r="F8" i="64"/>
  <c r="F110" i="64" s="1"/>
  <c r="F26" i="76" s="1"/>
  <c r="E10" i="74"/>
  <c r="E8" i="64"/>
  <c r="E110" i="64" s="1"/>
  <c r="E26" i="76" s="1"/>
  <c r="E14" i="64"/>
  <c r="F14" i="64"/>
  <c r="F129" i="64" s="1"/>
  <c r="F16" i="74"/>
  <c r="E18" i="17"/>
  <c r="D18" i="64" s="1"/>
  <c r="E18" i="64"/>
  <c r="F18" i="64"/>
  <c r="E20" i="74"/>
  <c r="F20" i="74"/>
  <c r="E27" i="17"/>
  <c r="D29" i="74" s="1"/>
  <c r="E29" i="74"/>
  <c r="E27" i="64"/>
  <c r="E127" i="64" s="1"/>
  <c r="E43" i="76" s="1"/>
  <c r="F29" i="74"/>
  <c r="G29" i="74" s="1"/>
  <c r="G16" i="74" s="1"/>
  <c r="G14" i="64" s="1"/>
  <c r="F27" i="64"/>
  <c r="F127" i="64" s="1"/>
  <c r="F43" i="76" s="1"/>
  <c r="E9" i="17"/>
  <c r="E9" i="64"/>
  <c r="E111" i="64" s="1"/>
  <c r="E27" i="76" s="1"/>
  <c r="F9" i="64"/>
  <c r="F111" i="64" s="1"/>
  <c r="F27" i="76" s="1"/>
  <c r="F11" i="74"/>
  <c r="E11" i="74"/>
  <c r="E10" i="17"/>
  <c r="D10" i="64" s="1"/>
  <c r="D112" i="64" s="1"/>
  <c r="D28" i="76" s="1"/>
  <c r="F12" i="74"/>
  <c r="E12" i="74"/>
  <c r="E10" i="64"/>
  <c r="E112" i="64" s="1"/>
  <c r="E28" i="76" s="1"/>
  <c r="F10" i="64"/>
  <c r="F112" i="64" s="1"/>
  <c r="F28" i="76" s="1"/>
  <c r="F13" i="64"/>
  <c r="F117" i="64" s="1"/>
  <c r="F33" i="76" s="1"/>
  <c r="E22" i="17"/>
  <c r="D22" i="64" s="1"/>
  <c r="C75" i="76" s="1" a="1"/>
  <c r="C75" i="76" s="1"/>
  <c r="E24" i="74"/>
  <c r="F24" i="74"/>
  <c r="F22" i="64"/>
  <c r="E22" i="64"/>
  <c r="E6" i="17"/>
  <c r="D6" i="64" s="1"/>
  <c r="D108" i="64" s="1"/>
  <c r="D24" i="76" s="1"/>
  <c r="F6" i="64"/>
  <c r="F108" i="64" s="1"/>
  <c r="F24" i="76" s="1"/>
  <c r="E6" i="64"/>
  <c r="E108" i="64" s="1"/>
  <c r="E24" i="76" s="1"/>
  <c r="E8" i="74"/>
  <c r="F8" i="74"/>
  <c r="E15" i="74"/>
  <c r="E11" i="17"/>
  <c r="D13" i="74" s="1"/>
  <c r="E11" i="64"/>
  <c r="E113" i="64" s="1"/>
  <c r="E29" i="76" s="1"/>
  <c r="F11" i="64"/>
  <c r="F113" i="64" s="1"/>
  <c r="F29" i="76" s="1"/>
  <c r="F13" i="74"/>
  <c r="E13" i="74"/>
  <c r="E19" i="17"/>
  <c r="D19" i="64" s="1"/>
  <c r="F21" i="74"/>
  <c r="E19" i="64"/>
  <c r="E21" i="74"/>
  <c r="F19" i="64"/>
  <c r="H72" i="65" s="1"/>
  <c r="E16" i="74"/>
  <c r="E7" i="17"/>
  <c r="D7" i="64" s="1"/>
  <c r="D109" i="64" s="1"/>
  <c r="D25" i="76" s="1"/>
  <c r="E7" i="64"/>
  <c r="E109" i="64" s="1"/>
  <c r="E25" i="76" s="1"/>
  <c r="F9" i="74"/>
  <c r="F7" i="64"/>
  <c r="F109" i="64" s="1"/>
  <c r="F25" i="76" s="1"/>
  <c r="E9" i="74"/>
  <c r="E20" i="17"/>
  <c r="D20" i="64" s="1"/>
  <c r="F20" i="64"/>
  <c r="F22" i="74"/>
  <c r="E22" i="74"/>
  <c r="E20" i="64"/>
  <c r="E25" i="17"/>
  <c r="D27" i="74" s="1"/>
  <c r="E25" i="64"/>
  <c r="E27" i="74"/>
  <c r="F27" i="74"/>
  <c r="F25" i="64"/>
  <c r="E21" i="17"/>
  <c r="E21" i="64"/>
  <c r="F21" i="64"/>
  <c r="E23" i="74"/>
  <c r="F23" i="74"/>
  <c r="E26" i="17"/>
  <c r="D26" i="64" s="1"/>
  <c r="E26" i="64"/>
  <c r="F26" i="64"/>
  <c r="E28" i="74"/>
  <c r="F28" i="74"/>
  <c r="D24" i="74"/>
  <c r="D14" i="64"/>
  <c r="D140" i="64" s="1"/>
  <c r="D16" i="74"/>
  <c r="H40" i="65"/>
  <c r="H80" i="65"/>
  <c r="D21" i="64"/>
  <c r="D23" i="74"/>
  <c r="D13" i="64"/>
  <c r="D15" i="74"/>
  <c r="D8" i="64"/>
  <c r="D110" i="64" s="1"/>
  <c r="D26" i="76" s="1"/>
  <c r="D23" i="64"/>
  <c r="C77" i="76" s="1" a="1"/>
  <c r="C77" i="76" s="1"/>
  <c r="D25" i="74"/>
  <c r="D24" i="64"/>
  <c r="D26" i="74"/>
  <c r="D21" i="74"/>
  <c r="D27" i="64"/>
  <c r="D127" i="64" s="1"/>
  <c r="E71" i="75" a="1"/>
  <c r="E71" i="75" s="1"/>
  <c r="E151" i="75" a="1"/>
  <c r="E151" i="75" s="1"/>
  <c r="E120" i="75" a="1"/>
  <c r="E120" i="75" s="1"/>
  <c r="E158" i="75" a="1"/>
  <c r="E158" i="75" s="1"/>
  <c r="H65" i="65"/>
  <c r="H31" i="65"/>
  <c r="H111" i="65"/>
  <c r="H90" i="65"/>
  <c r="E133" i="75" a="1"/>
  <c r="E133" i="75" s="1"/>
  <c r="C203" i="64" a="1"/>
  <c r="C203" i="64" s="1"/>
  <c r="H51" i="65"/>
  <c r="C202" i="64" a="1"/>
  <c r="C202" i="64" s="1"/>
  <c r="H126" i="65"/>
  <c r="E107" i="75" a="1"/>
  <c r="E107" i="75" s="1"/>
  <c r="H6" i="65"/>
  <c r="H116" i="65"/>
  <c r="E83" i="75" a="1"/>
  <c r="E83" i="75" s="1"/>
  <c r="E102" i="75" a="1"/>
  <c r="E102" i="75" s="1"/>
  <c r="E104" i="75" a="1"/>
  <c r="E104" i="75" s="1"/>
  <c r="E129" i="75" a="1"/>
  <c r="E129" i="75" s="1"/>
  <c r="E144" i="75" a="1"/>
  <c r="E144" i="75" s="1"/>
  <c r="E129" i="64"/>
  <c r="E45" i="76" s="1"/>
  <c r="E141" i="64"/>
  <c r="E145" i="64" s="1"/>
  <c r="E144" i="64" s="1"/>
  <c r="E140" i="64"/>
  <c r="D9" i="64"/>
  <c r="D111" i="64" s="1"/>
  <c r="D27" i="76" s="1"/>
  <c r="D11" i="74"/>
  <c r="D12" i="74"/>
  <c r="N139" i="17"/>
  <c r="N195" i="17"/>
  <c r="P140" i="17"/>
  <c r="P203" i="17"/>
  <c r="E160" i="75" a="1"/>
  <c r="E160" i="75" s="1"/>
  <c r="T196" i="17"/>
  <c r="T140" i="17"/>
  <c r="E93" i="77" a="1"/>
  <c r="E93" i="77" s="1"/>
  <c r="U196" i="17"/>
  <c r="U140" i="17"/>
  <c r="G18" i="75"/>
  <c r="H19" i="75"/>
  <c r="Q203" i="17"/>
  <c r="Q140" i="17"/>
  <c r="W196" i="17"/>
  <c r="W140" i="17"/>
  <c r="E55" i="77" a="1"/>
  <c r="E55" i="77" s="1"/>
  <c r="E139" i="17"/>
  <c r="E17" i="17" s="1" a="1"/>
  <c r="E195" i="17"/>
  <c r="S140" i="17"/>
  <c r="S196" i="17"/>
  <c r="R196" i="17"/>
  <c r="R140" i="17"/>
  <c r="L139" i="17"/>
  <c r="L195" i="17"/>
  <c r="C248" i="64"/>
  <c r="D195" i="17"/>
  <c r="D139" i="17"/>
  <c r="Y196" i="17"/>
  <c r="Y140" i="17"/>
  <c r="V141" i="17"/>
  <c r="V204" i="17"/>
  <c r="Z140" i="17"/>
  <c r="Z196" i="17"/>
  <c r="K139" i="17"/>
  <c r="K195" i="17"/>
  <c r="E86" i="77" a="1"/>
  <c r="E86" i="77" s="1"/>
  <c r="X140" i="17"/>
  <c r="X196" i="17"/>
  <c r="G13" i="74"/>
  <c r="G11" i="64" s="1"/>
  <c r="G113" i="64" s="1"/>
  <c r="G29" i="76" s="1"/>
  <c r="G27" i="64"/>
  <c r="G127" i="64" s="1"/>
  <c r="G43" i="76" s="1"/>
  <c r="G10" i="74"/>
  <c r="G8" i="64" s="1"/>
  <c r="G110" i="64" s="1"/>
  <c r="G26" i="76" s="1"/>
  <c r="G15" i="74"/>
  <c r="G13" i="64" s="1"/>
  <c r="G117" i="64" s="1"/>
  <c r="G33" i="76" s="1"/>
  <c r="G12" i="74"/>
  <c r="G10" i="64" s="1"/>
  <c r="G112" i="64" s="1"/>
  <c r="G28" i="76" s="1"/>
  <c r="G9" i="74"/>
  <c r="G7" i="64" s="1"/>
  <c r="G109" i="64" s="1"/>
  <c r="G25" i="76" s="1"/>
  <c r="G14" i="74"/>
  <c r="G12" i="64" s="1"/>
  <c r="G114" i="64" s="1"/>
  <c r="G11" i="74"/>
  <c r="G9" i="64" s="1"/>
  <c r="G111" i="64" s="1"/>
  <c r="G27" i="76" s="1"/>
  <c r="G8" i="74"/>
  <c r="G6" i="64" s="1"/>
  <c r="G108" i="64" s="1"/>
  <c r="G24" i="76" s="1"/>
  <c r="E95" i="77" a="1"/>
  <c r="E95" i="77" s="1"/>
  <c r="F140" i="17"/>
  <c r="F203" i="17"/>
  <c r="O203" i="17"/>
  <c r="O140" i="17"/>
  <c r="B20" i="15" a="1"/>
  <c r="B20" i="15" s="1"/>
  <c r="E101" i="77" a="1"/>
  <c r="E101" i="77" s="1"/>
  <c r="E68" i="77" a="1"/>
  <c r="E68" i="77" s="1"/>
  <c r="M195" i="17"/>
  <c r="M139" i="17"/>
  <c r="E12" i="17" a="1"/>
  <c r="H139" i="17"/>
  <c r="H195" i="17"/>
  <c r="I195" i="17"/>
  <c r="I139" i="17"/>
  <c r="G195" i="17"/>
  <c r="G139" i="17"/>
  <c r="J139" i="17"/>
  <c r="J195" i="17"/>
  <c r="C83" i="76" l="1" a="1"/>
  <c r="C83" i="76" s="1"/>
  <c r="D9" i="74"/>
  <c r="D25" i="64"/>
  <c r="C81" i="76" s="1" a="1"/>
  <c r="C81" i="76" s="1"/>
  <c r="D11" i="64"/>
  <c r="D113" i="64" s="1"/>
  <c r="D29" i="76" s="1"/>
  <c r="F111" i="65"/>
  <c r="F65" i="65"/>
  <c r="F63" i="65" s="1" a="1"/>
  <c r="F63" i="65" s="1"/>
  <c r="F91" i="65" a="1"/>
  <c r="F91" i="65" s="1"/>
  <c r="F92" i="65" a="1"/>
  <c r="F92" i="65" s="1"/>
  <c r="F33" i="65" a="1"/>
  <c r="F33" i="65" s="1"/>
  <c r="F32" i="65" a="1"/>
  <c r="F32" i="65" s="1"/>
  <c r="D20" i="74"/>
  <c r="G139" i="65" a="1"/>
  <c r="G139" i="65" s="1"/>
  <c r="G138" i="65" a="1"/>
  <c r="G138" i="65" s="1"/>
  <c r="G135" i="65" s="1"/>
  <c r="F139" i="65" a="1"/>
  <c r="F139" i="65" s="1"/>
  <c r="F138" i="65" a="1"/>
  <c r="F138" i="65" s="1"/>
  <c r="F135" i="65" s="1"/>
  <c r="D22" i="74"/>
  <c r="C79" i="76" a="1"/>
  <c r="C79" i="76" s="1"/>
  <c r="G65" i="65"/>
  <c r="G63" i="65" s="1" a="1"/>
  <c r="G63" i="65" s="1"/>
  <c r="G32" i="65" a="1"/>
  <c r="G32" i="65" s="1"/>
  <c r="G33" i="65" a="1"/>
  <c r="G33" i="65" s="1"/>
  <c r="G111" i="65"/>
  <c r="G91" i="65" a="1"/>
  <c r="G91" i="65" s="1"/>
  <c r="G92" i="65" a="1"/>
  <c r="G92" i="65" s="1"/>
  <c r="D28" i="74"/>
  <c r="E12" i="17"/>
  <c r="E15" i="17" s="1" a="1"/>
  <c r="E12" i="64"/>
  <c r="E114" i="64" s="1"/>
  <c r="E30" i="76" s="1"/>
  <c r="F12" i="64"/>
  <c r="F114" i="64" s="1"/>
  <c r="F14" i="74"/>
  <c r="E14" i="74"/>
  <c r="G74" i="65" a="1"/>
  <c r="G74" i="65" s="1"/>
  <c r="G72" i="65" s="1"/>
  <c r="G128" i="65" a="1"/>
  <c r="G128" i="65" s="1"/>
  <c r="G129" i="65" a="1"/>
  <c r="G129" i="65" s="1"/>
  <c r="C201" i="64" a="1"/>
  <c r="C201" i="64" s="1"/>
  <c r="C204" i="64" s="1"/>
  <c r="D14" i="76" s="1"/>
  <c r="C14" i="76" s="1"/>
  <c r="C200" i="64" a="1"/>
  <c r="C200" i="64" s="1"/>
  <c r="G54" i="65" a="1"/>
  <c r="G54" i="65" s="1"/>
  <c r="G53" i="65" a="1"/>
  <c r="G53" i="65" s="1"/>
  <c r="F141" i="64"/>
  <c r="F145" i="64" s="1"/>
  <c r="F144" i="64" s="1"/>
  <c r="F140" i="64"/>
  <c r="F142" i="64" s="1"/>
  <c r="F143" i="64" s="1"/>
  <c r="D8" i="74"/>
  <c r="E17" i="17"/>
  <c r="E17" i="64"/>
  <c r="F17" i="64"/>
  <c r="E19" i="74"/>
  <c r="F19" i="74"/>
  <c r="F54" i="65" a="1"/>
  <c r="F54" i="65" s="1"/>
  <c r="F128" i="65" a="1"/>
  <c r="F128" i="65" s="1"/>
  <c r="F129" i="65" a="1"/>
  <c r="F129" i="65" s="1"/>
  <c r="F53" i="65" a="1"/>
  <c r="F53" i="65" s="1"/>
  <c r="E142" i="64"/>
  <c r="E143" i="64" s="1"/>
  <c r="D43" i="76"/>
  <c r="D141" i="64"/>
  <c r="C378" i="64" a="1"/>
  <c r="C378" i="64" s="1"/>
  <c r="C377" i="64" a="1"/>
  <c r="C377" i="64" s="1"/>
  <c r="C66" i="76" a="1"/>
  <c r="C66" i="76" s="1"/>
  <c r="D187" i="64" a="1"/>
  <c r="F74" i="65" a="1"/>
  <c r="F74" i="65" s="1"/>
  <c r="F72" i="65" s="1"/>
  <c r="C68" i="76" a="1"/>
  <c r="C68" i="76" s="1"/>
  <c r="D188" i="64" a="1"/>
  <c r="E64" i="65"/>
  <c r="C72" i="76" a="1"/>
  <c r="C72" i="76" s="1"/>
  <c r="E111" i="65"/>
  <c r="E65" i="65"/>
  <c r="C70" i="76" a="1"/>
  <c r="C70" i="76" s="1"/>
  <c r="E90" i="65"/>
  <c r="E31" i="65"/>
  <c r="C179" i="64" a="1"/>
  <c r="C179" i="64" s="1"/>
  <c r="C181" i="64" s="1" a="1"/>
  <c r="C181" i="64" s="1"/>
  <c r="C213" i="64"/>
  <c r="C214" i="64" s="1"/>
  <c r="C178" i="64"/>
  <c r="C180" i="64" s="1" a="1"/>
  <c r="C180" i="64" s="1"/>
  <c r="C206" i="64"/>
  <c r="E14" i="76" s="1"/>
  <c r="G141" i="64"/>
  <c r="G145" i="64" s="1"/>
  <c r="G144" i="64" s="1"/>
  <c r="G129" i="64"/>
  <c r="G140" i="64"/>
  <c r="F130" i="64"/>
  <c r="F46" i="76" s="1"/>
  <c r="F45" i="76"/>
  <c r="G30" i="76"/>
  <c r="D14" i="74"/>
  <c r="D17" i="64"/>
  <c r="D19" i="74"/>
  <c r="J203" i="17"/>
  <c r="J140" i="17"/>
  <c r="P148" i="17"/>
  <c r="P208" i="17"/>
  <c r="P153" i="17" s="1"/>
  <c r="L140" i="17"/>
  <c r="L203" i="17"/>
  <c r="W141" i="17"/>
  <c r="W204" i="17"/>
  <c r="G203" i="17"/>
  <c r="G140" i="17"/>
  <c r="N140" i="17"/>
  <c r="N203" i="17"/>
  <c r="Q148" i="17"/>
  <c r="Q208" i="17"/>
  <c r="Q153" i="17" s="1"/>
  <c r="I203" i="17"/>
  <c r="I140" i="17"/>
  <c r="R204" i="17"/>
  <c r="R141" i="17"/>
  <c r="H18" i="75"/>
  <c r="I19" i="75"/>
  <c r="I18" i="75" s="1"/>
  <c r="H140" i="17"/>
  <c r="H203" i="17"/>
  <c r="K140" i="17"/>
  <c r="K203" i="17"/>
  <c r="O148" i="17"/>
  <c r="O208" i="17"/>
  <c r="O153" i="17" s="1"/>
  <c r="X204" i="17"/>
  <c r="X141" i="17"/>
  <c r="T141" i="17"/>
  <c r="T204" i="17"/>
  <c r="F148" i="17"/>
  <c r="F208" i="17"/>
  <c r="F153" i="17" s="1"/>
  <c r="D203" i="17"/>
  <c r="D140" i="17"/>
  <c r="Y141" i="17"/>
  <c r="Y204" i="17"/>
  <c r="E140" i="17"/>
  <c r="E203" i="17"/>
  <c r="S141" i="17"/>
  <c r="S204" i="17"/>
  <c r="Z141" i="17"/>
  <c r="Z204" i="17"/>
  <c r="V149" i="17"/>
  <c r="V209" i="17"/>
  <c r="V154" i="17" s="1"/>
  <c r="M203" i="17"/>
  <c r="M140" i="17"/>
  <c r="U141" i="17"/>
  <c r="U204" i="17"/>
  <c r="F62" i="65" l="1" a="1"/>
  <c r="F62" i="65" s="1"/>
  <c r="D66" i="65" s="1"/>
  <c r="G62" i="65" a="1"/>
  <c r="G62" i="65" s="1"/>
  <c r="G51" i="65"/>
  <c r="E15" i="17"/>
  <c r="E15" i="64"/>
  <c r="F15" i="64"/>
  <c r="F17" i="74"/>
  <c r="E17" i="74"/>
  <c r="E18" i="74" s="1"/>
  <c r="G41" i="65" a="1"/>
  <c r="G41" i="65" s="1"/>
  <c r="G81" i="65" a="1"/>
  <c r="G81" i="65" s="1"/>
  <c r="G42" i="65" a="1"/>
  <c r="G42" i="65" s="1"/>
  <c r="G82" i="65" a="1"/>
  <c r="G82" i="65" s="1"/>
  <c r="G90" i="65"/>
  <c r="G31" i="65"/>
  <c r="G64" i="65"/>
  <c r="F42" i="65" a="1"/>
  <c r="F42" i="65" s="1"/>
  <c r="F82" i="65" a="1"/>
  <c r="F82" i="65" s="1"/>
  <c r="F81" i="65" a="1"/>
  <c r="F81" i="65" s="1"/>
  <c r="F41" i="65" a="1"/>
  <c r="F41" i="65" s="1"/>
  <c r="D12" i="64"/>
  <c r="D114" i="64" s="1"/>
  <c r="F30" i="76"/>
  <c r="F116" i="64"/>
  <c r="G116" i="64"/>
  <c r="F90" i="65"/>
  <c r="F31" i="65"/>
  <c r="G116" i="65"/>
  <c r="G126" i="65"/>
  <c r="F116" i="65"/>
  <c r="F126" i="65"/>
  <c r="D141" i="65"/>
  <c r="D142" i="65"/>
  <c r="F64" i="65"/>
  <c r="D67" i="65"/>
  <c r="G142" i="64"/>
  <c r="G143" i="64" s="1"/>
  <c r="D187" i="64"/>
  <c r="D190" i="64" s="1"/>
  <c r="E190" i="64"/>
  <c r="G190" i="64"/>
  <c r="F190" i="64"/>
  <c r="F51" i="65"/>
  <c r="D188" i="64"/>
  <c r="E189" i="64" a="1"/>
  <c r="E189" i="64" s="1"/>
  <c r="D76" i="65"/>
  <c r="D75" i="65"/>
  <c r="C381" i="64" a="1"/>
  <c r="C381" i="64" s="1"/>
  <c r="E93" i="76" s="1"/>
  <c r="C379" i="64" a="1"/>
  <c r="C379" i="64" s="1"/>
  <c r="D93" i="76" s="1"/>
  <c r="C93" i="76" s="1"/>
  <c r="G118" i="64"/>
  <c r="G32" i="76"/>
  <c r="G45" i="76"/>
  <c r="G130" i="64"/>
  <c r="G46" i="76" s="1"/>
  <c r="I148" i="17"/>
  <c r="I208" i="17"/>
  <c r="I153" i="17" s="1"/>
  <c r="T149" i="17"/>
  <c r="T209" i="17"/>
  <c r="T154" i="17" s="1"/>
  <c r="M148" i="17"/>
  <c r="M208" i="17"/>
  <c r="M153" i="17" s="1"/>
  <c r="N148" i="17"/>
  <c r="N208" i="17"/>
  <c r="N153" i="17" s="1"/>
  <c r="X149" i="17"/>
  <c r="X209" i="17"/>
  <c r="X154" i="17" s="1"/>
  <c r="D15" i="64"/>
  <c r="E16" i="17" a="1"/>
  <c r="D17" i="74"/>
  <c r="D208" i="17"/>
  <c r="D153" i="17" s="1"/>
  <c r="D148" i="17"/>
  <c r="R149" i="17"/>
  <c r="R209" i="17"/>
  <c r="R154" i="17" s="1"/>
  <c r="U149" i="17"/>
  <c r="U209" i="17"/>
  <c r="U154" i="17" s="1"/>
  <c r="Z149" i="17"/>
  <c r="Z209" i="17"/>
  <c r="Z154" i="17" s="1"/>
  <c r="G148" i="17"/>
  <c r="G208" i="17"/>
  <c r="G153" i="17" s="1"/>
  <c r="J148" i="17"/>
  <c r="J208" i="17"/>
  <c r="J153" i="17" s="1"/>
  <c r="S149" i="17"/>
  <c r="S209" i="17"/>
  <c r="S154" i="17" s="1"/>
  <c r="K208" i="17"/>
  <c r="K153" i="17" s="1"/>
  <c r="K148" i="17"/>
  <c r="W149" i="17"/>
  <c r="W209" i="17"/>
  <c r="W154" i="17" s="1"/>
  <c r="E148" i="17"/>
  <c r="E208" i="17"/>
  <c r="E153" i="17" s="1"/>
  <c r="H148" i="17"/>
  <c r="H208" i="17"/>
  <c r="H153" i="17" s="1"/>
  <c r="L148" i="17"/>
  <c r="L208" i="17"/>
  <c r="L153" i="17" s="1"/>
  <c r="C218" i="64"/>
  <c r="C217" i="64"/>
  <c r="C64" i="76" a="1"/>
  <c r="C64" i="76" s="1"/>
  <c r="Y149" i="17"/>
  <c r="Y209" i="17"/>
  <c r="Y154" i="17" s="1"/>
  <c r="D30" i="76"/>
  <c r="E116" i="64"/>
  <c r="F40" i="65" l="1"/>
  <c r="G40" i="65"/>
  <c r="F80" i="65"/>
  <c r="F46" i="65"/>
  <c r="F86" i="65"/>
  <c r="E16" i="17"/>
  <c r="D16" i="64" s="1"/>
  <c r="F16" i="64"/>
  <c r="E16" i="64"/>
  <c r="G45" i="65"/>
  <c r="G80" i="65"/>
  <c r="G85" i="65"/>
  <c r="D121" i="65"/>
  <c r="D120" i="65"/>
  <c r="D35" i="65"/>
  <c r="D36" i="65"/>
  <c r="F18" i="74"/>
  <c r="G18" i="74" s="1"/>
  <c r="G16" i="64" s="1"/>
  <c r="D130" i="65"/>
  <c r="D131" i="65"/>
  <c r="G119" i="65" a="1"/>
  <c r="G119" i="65" s="1"/>
  <c r="G118" i="65" a="1"/>
  <c r="G118" i="65" s="1"/>
  <c r="G9" i="65" a="1"/>
  <c r="G9" i="65" s="1"/>
  <c r="G8" i="65" a="1"/>
  <c r="G8" i="65" s="1"/>
  <c r="G46" i="65"/>
  <c r="G86" i="65"/>
  <c r="F118" i="65" a="1"/>
  <c r="F118" i="65" s="1"/>
  <c r="F119" i="65" a="1"/>
  <c r="F119" i="65" s="1"/>
  <c r="F9" i="65" a="1"/>
  <c r="F9" i="65" s="1"/>
  <c r="F8" i="65" a="1"/>
  <c r="F8" i="65" s="1"/>
  <c r="F6" i="65" s="1"/>
  <c r="F85" i="65"/>
  <c r="F45" i="65"/>
  <c r="D56" i="65"/>
  <c r="D55" i="65"/>
  <c r="F32" i="76"/>
  <c r="F118" i="64"/>
  <c r="G34" i="76"/>
  <c r="G120" i="64"/>
  <c r="C93" i="64" a="1"/>
  <c r="C93" i="64" s="1"/>
  <c r="C94" i="64" a="1"/>
  <c r="C94" i="64" s="1"/>
  <c r="C97" i="64" a="1"/>
  <c r="C97" i="64" s="1"/>
  <c r="C95" i="64" a="1"/>
  <c r="C95" i="64" s="1"/>
  <c r="C62" i="76" a="1"/>
  <c r="C62" i="76" s="1"/>
  <c r="C96" i="64" a="1"/>
  <c r="C96" i="64" s="1"/>
  <c r="C98" i="64" a="1"/>
  <c r="C98" i="64" s="1"/>
  <c r="Q7" i="47"/>
  <c r="C221" i="64"/>
  <c r="C222" i="64" s="1"/>
  <c r="E32" i="76"/>
  <c r="E118" i="64"/>
  <c r="F120" i="64" l="1"/>
  <c r="F34" i="76"/>
  <c r="G6" i="65"/>
  <c r="D11" i="65" s="1"/>
  <c r="D12" i="65"/>
  <c r="C101" i="64" a="1"/>
  <c r="C101" i="64" s="1"/>
  <c r="E10" i="76" s="1"/>
  <c r="C99" i="64"/>
  <c r="D10" i="76" s="1"/>
  <c r="G122" i="64"/>
  <c r="G36" i="76"/>
  <c r="E34" i="76"/>
  <c r="E120" i="64"/>
  <c r="C352" i="64" a="1"/>
  <c r="C352" i="64" s="1"/>
  <c r="C331" i="64"/>
  <c r="C370" i="64"/>
  <c r="C293" i="64" a="1"/>
  <c r="C293" i="64" s="1"/>
  <c r="E17" i="21" s="1"/>
  <c r="D17" i="21" s="1"/>
  <c r="C260" i="64"/>
  <c r="C369" i="64"/>
  <c r="C307" i="64" a="1"/>
  <c r="C307" i="64" s="1"/>
  <c r="C192" i="64"/>
  <c r="C343" i="64"/>
  <c r="C283" i="64" a="1"/>
  <c r="C283" i="64" s="1"/>
  <c r="C284" i="64" s="1"/>
  <c r="F16" i="21" s="1"/>
  <c r="C191" i="64" a="1"/>
  <c r="C191" i="64" s="1"/>
  <c r="C342" i="64" a="1"/>
  <c r="C342" i="64" s="1"/>
  <c r="C306" i="64" a="1"/>
  <c r="C306" i="64" s="1"/>
  <c r="C280" i="64"/>
  <c r="C183" i="64"/>
  <c r="E12" i="76" s="1"/>
  <c r="B60" i="64"/>
  <c r="C288" i="64" a="1"/>
  <c r="C288" i="64" s="1"/>
  <c r="C261" i="64"/>
  <c r="D12" i="76"/>
  <c r="C12" i="76" s="1"/>
  <c r="C195" i="64"/>
  <c r="E13" i="76" s="1"/>
  <c r="C279" i="64" a="1"/>
  <c r="C279" i="64" s="1"/>
  <c r="C193" i="64" a="1"/>
  <c r="C193" i="64" s="1"/>
  <c r="E22" i="21"/>
  <c r="D22" i="21" s="1"/>
  <c r="C257" i="64"/>
  <c r="C356" i="64"/>
  <c r="C254" i="64" a="1"/>
  <c r="C254" i="64" s="1"/>
  <c r="C255" i="64" s="1"/>
  <c r="E14" i="21"/>
  <c r="B3" i="21"/>
  <c r="C354" i="64" a="1"/>
  <c r="C354" i="64" s="1"/>
  <c r="B35" i="75"/>
  <c r="C353" i="64" a="1"/>
  <c r="C353" i="64" s="1"/>
  <c r="C249" i="64"/>
  <c r="C346" i="64"/>
  <c r="F22" i="21" s="1"/>
  <c r="C308" i="64"/>
  <c r="C295" i="64" a="1"/>
  <c r="C295" i="64" s="1"/>
  <c r="C344" i="64" a="1"/>
  <c r="C344" i="64" s="1"/>
  <c r="C305" i="64" a="1"/>
  <c r="C305" i="64" s="1"/>
  <c r="C294" i="64" a="1"/>
  <c r="C294" i="64" s="1"/>
  <c r="C256" i="64"/>
  <c r="C304" i="64" a="1"/>
  <c r="C304" i="64" s="1"/>
  <c r="C333" i="64"/>
  <c r="F21" i="21" s="1"/>
  <c r="B42" i="75"/>
  <c r="C272" i="64"/>
  <c r="C275" i="64" s="1" a="1"/>
  <c r="C275" i="64" s="1"/>
  <c r="E21" i="21"/>
  <c r="D21" i="21" s="1"/>
  <c r="C262" i="64"/>
  <c r="E18" i="21"/>
  <c r="D18" i="21" s="1"/>
  <c r="B40" i="75"/>
  <c r="B65" i="64" s="1"/>
  <c r="C359" i="64"/>
  <c r="C289" i="64" a="1"/>
  <c r="C289" i="64" s="1"/>
  <c r="D13" i="76"/>
  <c r="C13" i="76" s="1"/>
  <c r="B39" i="75"/>
  <c r="B64" i="64" s="1"/>
  <c r="C113" i="65"/>
  <c r="C361" i="64"/>
  <c r="C290" i="64"/>
  <c r="C360" i="64"/>
  <c r="C310" i="64"/>
  <c r="F18" i="21" s="1"/>
  <c r="B41" i="75"/>
  <c r="B66" i="64" s="1"/>
  <c r="C250" i="64"/>
  <c r="F14" i="21" s="1"/>
  <c r="B5" i="76"/>
  <c r="B5" i="21"/>
  <c r="C10" i="76" l="1"/>
  <c r="C264" i="64"/>
  <c r="C265" i="64" s="1"/>
  <c r="C266" i="64" s="1"/>
  <c r="F36" i="76"/>
  <c r="F122" i="64"/>
  <c r="C363" i="64"/>
  <c r="G147" i="64"/>
  <c r="G125" i="64"/>
  <c r="G41" i="76" s="1"/>
  <c r="G38" i="76"/>
  <c r="G139" i="64"/>
  <c r="G146" i="64" s="1"/>
  <c r="C297" i="64"/>
  <c r="F17" i="21" s="1"/>
  <c r="C362" i="64"/>
  <c r="E16" i="21"/>
  <c r="D16" i="21" s="1"/>
  <c r="C277" i="64" a="1"/>
  <c r="C277" i="64" s="1"/>
  <c r="D14" i="21"/>
  <c r="C278" i="64" a="1"/>
  <c r="C278" i="64" s="1"/>
  <c r="C274" i="64" a="1"/>
  <c r="C274" i="64" s="1"/>
  <c r="E122" i="64"/>
  <c r="E36" i="76"/>
  <c r="C276" i="64" a="1"/>
  <c r="C276" i="64" s="1"/>
  <c r="C374" i="64" l="1"/>
  <c r="F25" i="21" s="1"/>
  <c r="C267" i="64"/>
  <c r="F15" i="21" s="1"/>
  <c r="F38" i="76"/>
  <c r="F147" i="64"/>
  <c r="F125" i="64"/>
  <c r="F41" i="76" s="1"/>
  <c r="F139" i="64"/>
  <c r="F146" i="64" s="1"/>
  <c r="G150" i="64"/>
  <c r="G148" i="64"/>
  <c r="G149" i="64" s="1"/>
  <c r="G151" i="64" s="1"/>
  <c r="C365" i="64"/>
  <c r="F23" i="21" s="1"/>
  <c r="E23" i="21"/>
  <c r="E38" i="76"/>
  <c r="E125" i="64"/>
  <c r="E139" i="64"/>
  <c r="E146" i="64" s="1"/>
  <c r="E123" i="64"/>
  <c r="F123" i="64" s="1"/>
  <c r="E147" i="64"/>
  <c r="E15" i="21"/>
  <c r="C373" i="64"/>
  <c r="F148" i="64" l="1"/>
  <c r="F149" i="64" s="1"/>
  <c r="F150" i="64"/>
  <c r="F126" i="64"/>
  <c r="F39" i="76"/>
  <c r="G123" i="64"/>
  <c r="G153" i="64"/>
  <c r="D25" i="21"/>
  <c r="D23" i="21"/>
  <c r="E150" i="64"/>
  <c r="E148" i="64"/>
  <c r="E126" i="64"/>
  <c r="E39" i="76"/>
  <c r="E41" i="76"/>
  <c r="C167" i="64" a="1"/>
  <c r="C167" i="64" s="1"/>
  <c r="D15" i="21"/>
  <c r="E25" i="21"/>
  <c r="F151" i="64" l="1"/>
  <c r="F153" i="64" s="1"/>
  <c r="H21" i="65"/>
  <c r="G159" i="64"/>
  <c r="G39" i="76"/>
  <c r="G126" i="64"/>
  <c r="F155" i="64"/>
  <c r="G15" i="65" s="1" a="1"/>
  <c r="G15" i="65" s="1"/>
  <c r="G16" i="65" s="1"/>
  <c r="F131" i="64"/>
  <c r="F47" i="76" s="1"/>
  <c r="F42" i="76"/>
  <c r="E42" i="76"/>
  <c r="E155" i="64"/>
  <c r="F15" i="65" s="1" a="1"/>
  <c r="F15" i="65" s="1"/>
  <c r="E151" i="64"/>
  <c r="E149" i="64"/>
  <c r="F159" i="64" l="1"/>
  <c r="G21" i="65"/>
  <c r="F16" i="65"/>
  <c r="G155" i="64"/>
  <c r="H16" i="65" s="1"/>
  <c r="G131" i="64"/>
  <c r="G42" i="76"/>
  <c r="E153" i="64"/>
  <c r="E152" i="64"/>
  <c r="E154" i="64" l="1"/>
  <c r="F152" i="64"/>
  <c r="G134" i="64"/>
  <c r="G50" i="76" s="1"/>
  <c r="G47" i="76"/>
  <c r="G135" i="64"/>
  <c r="F18" i="65"/>
  <c r="C162" i="64"/>
  <c r="C164" i="64"/>
  <c r="F19" i="65"/>
  <c r="D26" i="65" l="1"/>
  <c r="F154" i="64"/>
  <c r="G152" i="64"/>
  <c r="G154" i="64" s="1"/>
  <c r="G51" i="76"/>
  <c r="G136" i="64"/>
  <c r="G52" i="76" s="1"/>
  <c r="D25" i="65"/>
  <c r="G160" i="64" l="1"/>
  <c r="F160" i="64"/>
  <c r="C168" i="64" a="1"/>
  <c r="C168" i="64" s="1"/>
  <c r="C165" i="64"/>
  <c r="C169" i="64" a="1"/>
  <c r="C169" i="64" s="1"/>
  <c r="C163" i="64"/>
  <c r="C166" i="64" a="1"/>
  <c r="C166" i="64" s="1"/>
  <c r="C174" i="64" l="1"/>
  <c r="E11" i="76" s="1"/>
  <c r="C170" i="64"/>
  <c r="D11" i="76" s="1"/>
  <c r="C11" i="76" l="1"/>
  <c r="D15" i="76"/>
  <c r="C15" i="76" s="1"/>
  <c r="E15" i="7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 ref="A25" authorId="0" shapeId="0" xr:uid="{ECE0D042-D3FA-4CC9-B6A5-DC427E3AA938}">
      <text>
        <r>
          <rPr>
            <sz val="9"/>
            <color indexed="81"/>
            <rFont val="Tahoma"/>
            <family val="2"/>
          </rPr>
          <t>It remains unclear whether a statistical framework comparable to the defence exclusion will be used to 
identify eligible energy-related expenditure. It must currently be implemented as an add-hoc adjustment. 
https://www.europarl.europa.eu/RegData/etudes/BRIE/2026/784047/ECTI_BRI(2026)784047_EN.pdf</t>
        </r>
      </text>
    </comment>
    <comment ref="A40" authorId="0" shapeId="0" xr:uid="{0C6E688D-DA10-4450-8BDD-19A644B760CF}">
      <text>
        <r>
          <rPr>
            <sz val="9"/>
            <color indexed="81"/>
            <rFont val="Tahoma"/>
            <family val="2"/>
          </rPr>
          <t xml:space="preserve">Added in the Spring 2026 package, but no information yet about how this will appear in Eurostat or AMECO to my knowledge. Can automate if added to AMECO or Eurostat in the future, but for now needs to be manually entered. </t>
        </r>
      </text>
    </comment>
    <comment ref="A43" authorId="0" shapeId="0" xr:uid="{CDE2CFE8-6E45-4C4D-8C78-7D78042A8AC4}">
      <text>
        <r>
          <rPr>
            <sz val="9"/>
            <color indexed="81"/>
            <rFont val="Tahoma"/>
            <family val="2"/>
          </rPr>
          <t xml:space="preserve">At request of Latvia, an option to generalise for any future exempt spending categories. Must assume will follow the same rules and limits as energy spending. Sum of all such spending must be calculated exogenously and added into row 25 of escape clause parameters.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30" authorId="0" shapeId="0" xr:uid="{AB1C4410-2477-4F84-B0F9-243516341BD9}">
      <text>
        <r>
          <rPr>
            <sz val="9"/>
            <color indexed="81"/>
            <rFont val="Tahoma"/>
            <family val="2"/>
          </rPr>
          <t>=1-2-3-4-5-6</t>
        </r>
      </text>
    </comment>
    <comment ref="A34" authorId="0" shapeId="0" xr:uid="{90D7931A-EB7C-4033-8008-71C08D4E8BFA}">
      <text>
        <r>
          <rPr>
            <sz val="9"/>
            <color indexed="81"/>
            <rFont val="Tahoma"/>
            <family val="2"/>
          </rPr>
          <t>=8-9</t>
        </r>
      </text>
    </comment>
    <comment ref="A36" authorId="0" shapeId="0" xr:uid="{3A381CF5-01F9-42C6-9586-C4DD5EA4EA58}">
      <text>
        <r>
          <rPr>
            <sz val="9"/>
            <color indexed="81"/>
            <rFont val="Tahoma"/>
            <family val="2"/>
          </rPr>
          <t>=(10(t)/7(t-1))*100</t>
        </r>
      </text>
    </comment>
    <comment ref="A38" authorId="0" shapeId="0" xr:uid="{8274DF2A-52EA-471B-BFC0-C1E47508F096}">
      <text>
        <r>
          <rPr>
            <sz val="9"/>
            <color indexed="81"/>
            <rFont val="Tahoma"/>
            <family val="2"/>
          </rPr>
          <t xml:space="preserve">= (11-12) x 7(t-1)
</t>
        </r>
      </text>
    </comment>
    <comment ref="A41" authorId="0" shapeId="0" xr:uid="{B6A5AC9C-44A5-4FCA-BD6A-18F45A91D7DF}">
      <text>
        <r>
          <rPr>
            <sz val="9"/>
            <color indexed="81"/>
            <rFont val="Tahoma"/>
            <family val="2"/>
          </rPr>
          <t>=13/15</t>
        </r>
      </text>
    </comment>
    <comment ref="A42" authorId="0" shapeId="0" xr:uid="{0AEB6EC3-6CA3-44CE-A184-C73890D9CA0B}">
      <text>
        <r>
          <rPr>
            <b/>
            <sz val="9"/>
            <color indexed="81"/>
            <rFont val="Tahoma"/>
            <family val="2"/>
          </rPr>
          <t>=</t>
        </r>
        <r>
          <rPr>
            <sz val="9"/>
            <color indexed="81"/>
            <rFont val="Tahoma"/>
            <family val="2"/>
          </rPr>
          <t>14/15</t>
        </r>
      </text>
    </comment>
    <comment ref="A47" authorId="0" shapeId="0" xr:uid="{CB326755-9CCD-4A96-8A85-513D7B6B1B05}">
      <text>
        <r>
          <rPr>
            <sz val="9"/>
            <color indexed="81"/>
            <rFont val="Tahoma"/>
            <family val="2"/>
          </rPr>
          <t>CA16-2</t>
        </r>
      </text>
    </comment>
    <comment ref="A50" authorId="0" shapeId="0" xr:uid="{CDF1D6A1-44F7-4F7B-B26E-E7282E69F90A}">
      <text>
        <r>
          <rPr>
            <b/>
            <sz val="9"/>
            <color indexed="81"/>
            <rFont val="Tahoma"/>
            <family val="2"/>
          </rPr>
          <t>3-5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38"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 
Note: the EU's presentation does not give a recorded annual balance, which is necessary to determine with</t>
        </r>
      </text>
    </comment>
    <comment ref="B148"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92"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93"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209"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212"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213" authorId="0" shapeId="0" xr:uid="{5B2DF90B-D63D-4702-862E-184EC652A743}">
      <text>
        <r>
          <rPr>
            <sz val="9"/>
            <color indexed="81"/>
            <rFont val="Tahoma"/>
            <family val="2"/>
          </rPr>
          <t xml:space="preserve">TFEU Article 126(2) and Protocol No 12 Article 1. </t>
        </r>
      </text>
    </comment>
    <comment ref="B214"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16"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17"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18"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22"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24"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26" authorId="0" shapeId="0" xr:uid="{00501D52-8E39-4A32-B67C-E748FE246C23}">
      <text>
        <r>
          <rPr>
            <sz val="9"/>
            <color indexed="81"/>
            <rFont val="Tahoma"/>
            <family val="2"/>
          </rPr>
          <t>Commission Guidance (C/2024/3975, Section 2.5) and the Regulation (Article 13(a))</t>
        </r>
      </text>
    </comment>
    <comment ref="B227"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8"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43"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45"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52"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54"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57"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59"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0"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79"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82"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3"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83"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86"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89"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92"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99"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304"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305"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306" authorId="0" shapeId="0" xr:uid="{1C38568D-661F-40E5-9152-D4020F4DD7CD}">
      <text>
        <r>
          <rPr>
            <sz val="9"/>
            <color indexed="81"/>
            <rFont val="Tahoma"/>
            <family val="2"/>
          </rPr>
          <t>Is any one value greater than the average?</t>
        </r>
      </text>
    </comment>
    <comment ref="C306"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307"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312"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18"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19"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25" authorId="0" shapeId="0" xr:uid="{322B17D1-8B4B-40A5-A771-441C6119157E}">
      <text>
        <r>
          <rPr>
            <sz val="9"/>
            <color indexed="81"/>
            <rFont val="Tahoma"/>
            <family val="2"/>
          </rPr>
          <t>Art. 7 safeguard – minimum average annual reduction of debt and risk-based conditions.</t>
        </r>
      </text>
    </comment>
    <comment ref="B326"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35"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43"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44"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48"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49"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65"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68"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70"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72"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 ref="B376" authorId="0" shapeId="0" xr:uid="{0C55A7E4-CBB5-4D56-8DEA-E09DEB94C8A8}">
      <text>
        <r>
          <rPr>
            <sz val="9"/>
            <color indexed="81"/>
            <rFont val="Tahoma"/>
            <family val="2"/>
          </rPr>
          <t>Latvia's Fiscal Discipline Law (as amended December 2024) requires the general government structural balance to be no lower than -1.0% of GDP, and no lower than -1.5% from 2028 (of which 0.5% is ring-fenced for the Defence and Internal Security Fund) under the December 2025 amendment.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J2" authorId="0" shapeId="0" xr:uid="{A12DDD71-5F0B-4DC5-96D4-3CAB8010D956}">
      <text>
        <r>
          <rPr>
            <b/>
            <sz val="9"/>
            <color indexed="81"/>
            <rFont val="Tahoma"/>
            <family val="2"/>
          </rPr>
          <t>Scott Cameron:</t>
        </r>
        <r>
          <rPr>
            <sz val="9"/>
            <color indexed="81"/>
            <rFont val="Tahoma"/>
            <family val="2"/>
          </rPr>
          <t xml:space="preserve">
Patched with TRUE/FALSE/#NA to deal with new energy exceptions; to be merged with Boolean. </t>
        </r>
      </text>
    </commen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<sst xmlns="http://schemas.openxmlformats.org/spreadsheetml/2006/main" count="2141" uniqueCount="991">
  <si>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</si>
  <si>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</si>
  <si>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</si>
  <si>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</si>
  <si>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</si>
  <si>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</si>
  <si>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</si>
  <si>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</si>
  <si>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</si>
  <si>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</si>
  <si>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</si>
  <si>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</si>
  <si>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</si>
  <si>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</si>
  <si>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</si>
  <si>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</si>
  <si>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</si>
  <si>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</si>
  <si>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</si>
  <si>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</si>
  <si>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</si>
  <si>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</si>
  <si>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</si>
  <si>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</si>
  <si>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</si>
  <si>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</si>
  <si>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</si>
  <si>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</si>
  <si>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</si>
  <si>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</si>
  <si>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</si>
  <si>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</si>
  <si>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</si>
  <si>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</si>
  <si>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</si>
  <si>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</si>
  <si>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</si>
  <si>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</si>
  <si>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</si>
  <si>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</si>
  <si>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</si>
  <si>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</si>
  <si>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</si>
  <si>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</si>
  <si>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</si>
  <si>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</si>
  <si>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</si>
  <si>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</si>
  <si>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</si>
  <si>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</si>
  <si>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</si>
  <si>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</si>
  <si>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</si>
  <si>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</si>
  <si>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</si>
  <si>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</si>
  <si>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</si>
  <si>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</si>
  <si>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</si>
  <si>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</si>
  <si>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</si>
  <si>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</si>
  <si>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</si>
  <si>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</si>
  <si>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</si>
  <si>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</si>
  <si>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</si>
  <si>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</si>
  <si>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</si>
  <si>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</si>
  <si>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</si>
  <si>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</si>
  <si>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</si>
  <si>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</si>
  <si>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</si>
  <si>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</si>
  <si>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</si>
  <si>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</si>
  <si>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</si>
  <si>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</si>
  <si>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</si>
  <si>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</si>
  <si>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</si>
  <si>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</si>
  <si>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</si>
  <si>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</si>
  <si>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</si>
  <si>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</si>
  <si>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</si>
  <si>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</si>
  <si>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</si>
  <si>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</si>
  <si>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</si>
  <si>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</si>
  <si>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</si>
  <si>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</si>
  <si>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</si>
  <si>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</si>
  <si>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</si>
  <si>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</si>
  <si>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</si>
  <si>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</si>
  <si>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</si>
  <si>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</si>
  <si>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</si>
  <si>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</si>
  <si>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</si>
  <si>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</si>
  <si>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</si>
  <si>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</si>
  <si>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</si>
  <si>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</si>
  <si>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</si>
  <si>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</si>
  <si>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</si>
  <si>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</si>
  <si>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</si>
  <si>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</si>
  <si>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</si>
  <si>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</si>
  <si>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</si>
  <si>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</si>
  <si>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</si>
  <si>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</si>
  <si>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</si>
  <si>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</si>
  <si>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</si>
  <si>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</si>
  <si>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</si>
  <si>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</si>
  <si>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</si>
  <si>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</si>
  <si>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</si>
  <si>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</si>
  <si>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</si>
  <si>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</si>
  <si>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</si>
  <si>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</si>
  <si>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</si>
  <si>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</si>
  <si>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</si>
  <si>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</si>
  <si>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</si>
  <si>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</si>
  <si>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</si>
  <si>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</si>
  <si>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</si>
  <si>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</si>
  <si>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</si>
  <si>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</si>
  <si>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</si>
  <si>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</si>
  <si>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</si>
  <si>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</si>
  <si>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</si>
  <si>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</si>
  <si>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</si>
  <si>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</si>
  <si>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</si>
  <si>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</si>
  <si>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</si>
  <si>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</si>
  <si>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</si>
  <si>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</si>
  <si>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</si>
  <si>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</si>
  <si>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</si>
  <si>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</si>
  <si>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</si>
  <si>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</si>
  <si>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</si>
  <si>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</si>
  <si>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</si>
  <si>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</si>
  <si>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</si>
  <si>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</si>
  <si>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</si>
  <si>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</si>
  <si>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</si>
  <si>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</si>
  <si>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</si>
  <si>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</si>
  <si>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</si>
  <si>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</si>
  <si>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</si>
  <si>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</si>
  <si>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</si>
  <si>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</si>
  <si>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</si>
  <si>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</si>
  <si>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</si>
  <si>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</si>
  <si>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</si>
  <si>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</si>
  <si>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</si>
  <si>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</si>
  <si>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</si>
  <si>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</si>
  <si>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</si>
  <si>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</si>
  <si>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</si>
  <si>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</si>
  <si>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</si>
  <si>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</si>
  <si>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</si>
  <si>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</si>
  <si>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</si>
  <si>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</si>
  <si>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</si>
  <si>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</si>
  <si>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</si>
  <si>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</si>
  <si>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</si>
  <si>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</si>
  <si>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</si>
  <si>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</si>
  <si>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</si>
  <si>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</si>
  <si>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</si>
  <si>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</si>
  <si>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</si>
  <si>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</si>
  <si>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</si>
  <si>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</si>
  <si>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</si>
  <si>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</si>
  <si>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</si>
  <si>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</si>
  <si>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</si>
  <si>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</si>
  <si>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</si>
  <si>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</si>
  <si>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</si>
  <si>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</si>
  <si>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</si>
  <si>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</si>
  <si>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</si>
  <si>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</si>
  <si>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</si>
  <si>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</si>
  <si>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</si>
  <si>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</si>
  <si>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</si>
  <si>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</si>
  <si>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</si>
  <si>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</si>
  <si>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</si>
  <si>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</si>
  <si>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</si>
  <si>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</si>
  <si>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</si>
  <si>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</si>
  <si>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</si>
  <si>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</si>
  <si>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</si>
  <si>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</si>
  <si>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</si>
  <si>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</si>
  <si>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</si>
  <si>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</si>
  <si>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</si>
  <si>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</si>
  <si>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</si>
  <si>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</si>
  <si>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</si>
  <si>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</si>
  <si>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</si>
  <si>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</si>
  <si>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</si>
  <si>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</si>
  <si>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</si>
  <si>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</si>
  <si>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</si>
  <si>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</si>
  <si>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</si>
  <si>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</si>
  <si>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</si>
  <si>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</si>
  <si>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</si>
  <si>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</si>
  <si>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</si>
  <si>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</si>
  <si>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</si>
  <si>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</si>
  <si>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</si>
  <si>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</si>
  <si>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</si>
  <si>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</si>
  <si>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</si>
  <si>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</si>
  <si>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</si>
  <si>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</si>
  <si>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</si>
  <si>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</si>
  <si>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</si>
  <si>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</si>
  <si>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</si>
  <si>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</si>
  <si>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</si>
  <si>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</si>
  <si>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</si>
  <si>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</si>
  <si>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</si>
  <si>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</si>
  <si>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</si>
  <si>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</si>
  <si>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</si>
  <si>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</si>
  <si>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</si>
  <si>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</si>
  <si>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</si>
  <si>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</si>
  <si>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</si>
  <si>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</si>
  <si>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</si>
  <si>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</si>
  <si>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</si>
  <si>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</si>
  <si>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</si>
  <si>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</si>
  <si>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</si>
  <si>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</si>
  <si>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</si>
  <si>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</si>
  <si>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</si>
  <si>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</si>
  <si>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</si>
  <si>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</si>
  <si>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</si>
  <si>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</si>
  <si>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</si>
  <si>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</si>
  <si>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</si>
  <si>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</si>
  <si>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</si>
  <si>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</si>
  <si>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</si>
  <si>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</si>
  <si>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</si>
  <si>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</si>
  <si>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</si>
  <si>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</si>
  <si>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</si>
  <si>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</si>
  <si>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</si>
  <si>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</si>
  <si>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</si>
  <si>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</si>
  <si>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</si>
  <si>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</si>
  <si>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</si>
  <si>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</si>
  <si>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</si>
  <si>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</si>
  <si>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</si>
  <si>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</si>
  <si>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</si>
  <si>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</si>
  <si>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</si>
  <si>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</si>
  <si>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</si>
  <si>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</si>
  <si>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</si>
  <si>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</si>
  <si>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</si>
  <si>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</si>
  <si>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</si>
  <si>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</si>
  <si>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</si>
  <si>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</si>
  <si>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</si>
  <si>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</si>
  <si>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</si>
  <si>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</si>
  <si>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</si>
  <si>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</si>
  <si>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</si>
  <si>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</si>
  <si>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</si>
  <si>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</si>
  <si>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</si>
  <si>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</si>
  <si>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</si>
  <si>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</si>
  <si>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</si>
  <si>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</si>
  <si>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</si>
  <si>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</si>
  <si>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</si>
  <si>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</si>
  <si>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</si>
  <si>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</si>
  <si>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</si>
  <si>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</si>
  <si>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</si>
  <si>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</si>
  <si>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</si>
  <si>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</si>
  <si>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</si>
  <si>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</si>
  <si>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</si>
  <si>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</si>
  <si>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</si>
  <si>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</si>
  <si>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</si>
  <si>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</si>
  <si>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</si>
  <si>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</si>
  <si>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</si>
  <si>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</si>
  <si>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</si>
  <si>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</si>
  <si>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</si>
  <si>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</si>
  <si>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</si>
  <si>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</si>
  <si>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</si>
  <si>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</si>
  <si>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</si>
  <si>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</si>
  <si>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</si>
  <si>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</si>
  <si>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</si>
  <si>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</si>
  <si>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</si>
  <si>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</si>
  <si>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</si>
  <si>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</si>
  <si>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</si>
  <si>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</si>
  <si>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</si>
  <si>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</si>
  <si>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</si>
  <si>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</si>
  <si>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</si>
  <si>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</si>
  <si>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</si>
  <si>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</si>
  <si>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</si>
  <si>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</si>
  <si>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</si>
  <si>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</si>
  <si>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</si>
  <si>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</si>
  <si>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</si>
  <si>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</si>
  <si>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</si>
  <si>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</si>
  <si>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</si>
  <si>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</si>
  <si>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</si>
  <si>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</si>
  <si>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</si>
  <si>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</si>
  <si>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</si>
  <si>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</si>
  <si>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</si>
  <si>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</si>
  <si>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</si>
  <si>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</si>
  <si>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</si>
  <si>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</si>
  <si>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</si>
  <si>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</si>
  <si>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</si>
  <si>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</si>
  <si>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</si>
  <si>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</si>
  <si>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</si>
  <si>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</si>
  <si>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</si>
  <si>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</si>
  <si>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</si>
  <si>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</si>
  <si>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</si>
  <si>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</si>
  <si>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</si>
  <si>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</si>
  <si>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</si>
  <si>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</si>
  <si>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</si>
  <si>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</si>
  <si>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</si>
  <si>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</si>
  <si>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</si>
  <si>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</si>
  <si>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</si>
  <si>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</si>
  <si>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</si>
  <si>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</si>
  <si>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</si>
  <si>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</si>
  <si>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</si>
  <si>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</si>
  <si>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</si>
  <si>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</si>
  <si>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</si>
  <si>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</si>
  <si>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</si>
  <si>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</si>
  <si>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</si>
  <si>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</si>
  <si>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</si>
  <si>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</si>
  <si>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</si>
  <si>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</si>
  <si>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</si>
  <si>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</si>
  <si>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</si>
  <si>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</si>
  <si>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</si>
  <si>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</si>
  <si>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</si>
  <si>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</si>
  <si>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</si>
  <si>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</si>
  <si>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</si>
  <si>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</si>
  <si>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</si>
  <si>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</si>
  <si>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</si>
  <si>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</si>
  <si>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</si>
  <si>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</si>
  <si>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</si>
  <si>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</si>
  <si>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</si>
  <si>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</si>
  <si>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</si>
  <si>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</si>
  <si>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</si>
  <si>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</si>
  <si>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</si>
  <si>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</si>
  <si>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</si>
  <si>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</si>
  <si>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</si>
  <si>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</si>
  <si>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</si>
  <si>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</si>
  <si>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</si>
  <si>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</si>
  <si>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</si>
  <si>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</si>
  <si>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</si>
  <si>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</si>
  <si>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</si>
  <si>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</si>
  <si>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</si>
  <si>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</si>
  <si>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</si>
  <si>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</si>
  <si>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</si>
  <si>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</si>
  <si>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</si>
  <si>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</si>
  <si>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</si>
  <si>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</si>
  <si>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</si>
  <si>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</si>
  <si>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</si>
  <si>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</si>
  <si>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</si>
  <si>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</si>
  <si>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</si>
  <si>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</si>
  <si>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</si>
  <si>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</si>
  <si>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Recorded annual deviation (underspend)</t>
  </si>
  <si>
    <t>Recorded annual deviation (overspend)</t>
  </si>
  <si>
    <t>Figure 7</t>
  </si>
  <si>
    <t>Figure 8</t>
  </si>
  <si>
    <t>Figure 9</t>
  </si>
  <si>
    <t>Figures 10-13</t>
  </si>
  <si>
    <t>National Figure 1</t>
  </si>
  <si>
    <t xml:space="preserve">National structural balance rule </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</si>
  <si>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</si>
  <si>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</si>
  <si>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</si>
  <si>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</si>
  <si>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</si>
  <si>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</si>
  <si>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</si>
  <si>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</si>
  <si>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</si>
  <si>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</si>
  <si>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</si>
  <si>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</si>
  <si>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</si>
  <si>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</si>
  <si>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</si>
  <si>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</si>
  <si>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</si>
  <si>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</si>
  <si>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</si>
  <si>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</si>
  <si>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</si>
  <si>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</si>
  <si>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</si>
  <si>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</si>
  <si>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</si>
  <si>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</si>
  <si>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</si>
  <si>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</si>
  <si>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</si>
  <si>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</si>
  <si>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</si>
  <si>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</si>
  <si>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</si>
  <si>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</si>
  <si>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</si>
  <si>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</si>
  <si>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</si>
  <si>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</si>
  <si>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</si>
  <si>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</si>
  <si>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</si>
  <si>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</si>
  <si>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</si>
  <si>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</si>
  <si>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AMECO17: UOOMSR</t>
  </si>
  <si>
    <t>rate of change, %</t>
  </si>
  <si>
    <t>growth rate (%)</t>
  </si>
  <si>
    <t>level, bn NAC</t>
  </si>
  <si>
    <t>Escape clause reason</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</si>
  <si>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</si>
  <si>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</si>
  <si>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</si>
  <si>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</si>
  <si>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</si>
  <si>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</si>
  <si>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</si>
  <si>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</si>
  <si>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</si>
  <si>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</si>
  <si>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</si>
  <si>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</si>
  <si>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</si>
  <si>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</si>
  <si>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</si>
  <si>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</si>
  <si>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</si>
  <si>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</si>
  <si>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</si>
  <si>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</si>
  <si>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</si>
  <si>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</si>
  <si>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</si>
  <si>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</si>
  <si>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</si>
  <si>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</si>
  <si>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</si>
  <si>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</si>
  <si>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</si>
  <si>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</si>
  <si>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</si>
  <si>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</si>
  <si>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</si>
  <si>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</si>
  <si>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</si>
  <si>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</si>
  <si>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</si>
  <si>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</si>
  <si>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</si>
  <si>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</si>
  <si>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</si>
  <si>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</si>
  <si>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</si>
  <si>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</si>
  <si>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</si>
  <si>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</si>
  <si>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</si>
  <si>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</si>
  <si>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</si>
  <si>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</si>
  <si>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</si>
  <si>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</si>
  <si>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</si>
  <si>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</si>
  <si>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</si>
  <si>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</si>
  <si>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</si>
  <si>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</si>
  <si>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</si>
  <si>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</si>
  <si>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</si>
  <si>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</si>
  <si>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</si>
  <si>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</si>
  <si>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</si>
  <si>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</si>
  <si>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</si>
  <si>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</si>
  <si>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</si>
  <si>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</si>
  <si>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</si>
  <si>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</si>
  <si>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</si>
  <si>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</si>
  <si>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</si>
  <si>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</si>
  <si>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</si>
  <si>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</si>
  <si>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</si>
  <si>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</si>
  <si>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</si>
  <si>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</si>
  <si>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</si>
  <si>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</si>
  <si>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</si>
  <si>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</si>
  <si>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</si>
  <si>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</si>
  <si>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</si>
  <si>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</si>
  <si>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</si>
  <si>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</si>
  <si>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</si>
  <si>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</si>
  <si>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</si>
  <si>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</si>
  <si>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</si>
  <si>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</si>
  <si>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</si>
  <si>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</si>
  <si>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</si>
  <si>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</si>
  <si>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</si>
  <si>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</si>
  <si>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</si>
  <si>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</si>
  <si>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</si>
  <si>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</si>
  <si>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</si>
  <si>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</si>
  <si>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</si>
  <si>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</si>
  <si>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</si>
  <si>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</si>
  <si>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</si>
  <si>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</si>
  <si>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</si>
  <si>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</si>
  <si>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</si>
  <si>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</si>
  <si>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</si>
  <si>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</si>
  <si>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</si>
  <si>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</si>
  <si>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</si>
  <si>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</si>
  <si>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</si>
  <si>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</si>
  <si>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</si>
  <si>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</si>
  <si>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</si>
  <si>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</si>
  <si>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</si>
  <si>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</si>
  <si>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</si>
  <si>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</si>
  <si>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</si>
  <si>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</si>
  <si>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</si>
  <si>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</si>
  <si>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</si>
  <si>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</si>
  <si>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</si>
  <si>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</si>
  <si>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</si>
  <si>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</si>
  <si>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</si>
  <si>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</si>
  <si>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</si>
  <si>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</si>
  <si>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</si>
  <si>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</si>
  <si>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</si>
  <si>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</si>
  <si>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</si>
  <si>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</si>
  <si>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</si>
  <si>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</si>
  <si>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</si>
  <si>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</si>
  <si>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</si>
  <si>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</si>
  <si>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</si>
  <si>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</si>
  <si>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</si>
  <si>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</si>
  <si>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</si>
  <si>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</si>
  <si>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</si>
  <si>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</si>
  <si>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</si>
  <si>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</si>
  <si>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</si>
  <si>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</si>
  <si>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</si>
  <si>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</si>
  <si>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</si>
  <si>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</si>
  <si>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</si>
  <si>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</si>
  <si>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</si>
  <si>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</si>
  <si>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</si>
  <si>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</si>
  <si>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</si>
  <si>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</si>
  <si>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</si>
  <si>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</si>
  <si>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</si>
  <si>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</si>
  <si>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</si>
  <si>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</si>
  <si>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</si>
  <si>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</si>
  <si>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</si>
  <si>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</si>
  <si>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</si>
  <si>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</si>
  <si>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</si>
  <si>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</si>
  <si>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</si>
  <si>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</si>
  <si>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</si>
  <si>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</si>
  <si>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</si>
  <si>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</si>
  <si>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</si>
  <si>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</si>
  <si>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</si>
  <si>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</si>
  <si>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</si>
  <si>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</si>
  <si>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</si>
  <si>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</si>
  <si>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</si>
  <si>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</si>
  <si>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</si>
  <si>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</si>
  <si>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</si>
  <si>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</si>
  <si>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</si>
  <si>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</si>
  <si>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</si>
  <si>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</si>
  <si>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</si>
  <si>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</si>
  <si>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</si>
  <si>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</si>
  <si>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</si>
  <si>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</si>
  <si>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</si>
  <si>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</si>
  <si>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</si>
  <si>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</si>
  <si>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</si>
  <si>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</si>
  <si>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</si>
  <si>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</si>
  <si>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</si>
  <si>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</si>
  <si>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</si>
  <si>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</si>
  <si>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</si>
  <si>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</si>
  <si>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</si>
  <si>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</si>
  <si>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</si>
  <si>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</si>
  <si>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</si>
  <si>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</si>
  <si>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</si>
  <si>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</si>
  <si>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</si>
  <si>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</si>
  <si>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</si>
  <si>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</si>
  <si>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</si>
  <si>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</si>
  <si>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</si>
  <si>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</si>
  <si>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</si>
  <si>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</si>
  <si>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</si>
  <si>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</si>
  <si>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</si>
  <si>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</si>
  <si>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</si>
  <si>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</si>
  <si>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</si>
  <si>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</si>
  <si>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</si>
  <si>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</si>
  <si>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</si>
  <si>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</si>
  <si>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</si>
  <si>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</si>
  <si>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</si>
  <si>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</si>
  <si>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</si>
  <si>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</si>
  <si>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</si>
  <si>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</si>
  <si>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</si>
  <si>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</si>
  <si>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</si>
  <si>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</si>
  <si>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</si>
  <si>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</si>
  <si>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</si>
  <si>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Base year for max increase in defence expenditures, if applicable</t>
  </si>
  <si>
    <t>Absolute deviation cap</t>
  </si>
  <si>
    <t>General government defence expenditure in base year (% GDP)</t>
  </si>
  <si>
    <t>Recorded cumulated balance</t>
  </si>
  <si>
    <t>Cumulated balance (2026 APR majority presentation)</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</si>
  <si>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</si>
  <si>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</si>
  <si>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</si>
  <si>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</si>
  <si>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</si>
  <si>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</si>
  <si>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</si>
  <si>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</si>
  <si>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</si>
  <si>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</si>
  <si>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</si>
  <si>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</si>
  <si>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</si>
  <si>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</si>
  <si>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</si>
  <si>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</si>
  <si>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</si>
  <si>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</si>
  <si>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</si>
  <si>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v1.1.4 | 21 June 2026</t>
  </si>
  <si>
    <t>Enter alternative scenario to override outturn net expenditure growth components (bn NAC)</t>
  </si>
  <si>
    <t>Polish Fiscal Council</t>
  </si>
  <si>
    <t>7=1-2-3-4-5-6</t>
  </si>
  <si>
    <t>Net nationally financed primary expenditure (before discretionary revenue measures, DRM)</t>
  </si>
  <si>
    <t>7b</t>
  </si>
  <si>
    <t>p.m. Correction for breaks in time series</t>
  </si>
  <si>
    <t>Change in net nationally financed primary expenditure (before DRM)</t>
  </si>
  <si>
    <t>DRM excl. one-off revenue (incremental impact, excl. EU funded)</t>
  </si>
  <si>
    <t>10=8-9</t>
  </si>
  <si>
    <t>Outturn / forecast net expenditure growth (10(t)/7(t-1))*100</t>
  </si>
  <si>
    <t>13=(11-12) x 7(t-1)</t>
  </si>
  <si>
    <t>Annual deviation**</t>
  </si>
  <si>
    <t>Cumulated deviation**</t>
  </si>
  <si>
    <t>15=13/17</t>
  </si>
  <si>
    <t>16=14/17</t>
  </si>
  <si>
    <t>Annual balance**</t>
  </si>
  <si>
    <t>Cumulated balance**</t>
  </si>
  <si>
    <t>p.m. Nominal GDP</t>
  </si>
  <si>
    <t>Total defence expenditure (nationally financed)</t>
  </si>
  <si>
    <t>Flexibility from increases in defence expenditure</t>
  </si>
  <si>
    <t>Annual progress report 2026</t>
  </si>
  <si>
    <t>* The growth rate for 2024 is not a recommendation but serves to anchor the base, as the latest year with outturn data when setting the net expenditure path was 2023.</t>
  </si>
  <si>
    <t>** A positive (negative) value indicates that net expenditure is above (below) the recommended maximum growth rate (in panel B, taking into account the flexibility from the national escape clause)</t>
  </si>
  <si>
    <t>"Augmented" control account (breakdown required to assess the rules--I don’t see how they can be assessed using only the EU's presentation when defence or energy exclusions are in place)</t>
  </si>
  <si>
    <t>Change in net nationally financed primary expenditure (after DRM)</t>
  </si>
  <si>
    <t xml:space="preserve">Outturn / forecast net expenditure </t>
  </si>
  <si>
    <t>Recommended maximum net expenditure growth</t>
  </si>
  <si>
    <t>Annual balance</t>
  </si>
  <si>
    <t>Cumulated balance</t>
  </si>
  <si>
    <t>Control account balances</t>
  </si>
  <si>
    <t>Correction for breaks in time series</t>
  </si>
  <si>
    <t>Defence spending flexibility flag</t>
  </si>
  <si>
    <t>Latvia's Fiscal Discipline Law (as amended December 2024) requires the general government structural balance to be no lower than -1.0% of GDP, rising to -1.5% from 2028 (of which 0.5% is ring-fenced for the Defence and Internal Security Fund) under the December 2025 amendment.</t>
  </si>
  <si>
    <t>Annual change in net expenditure after DRMs</t>
  </si>
  <si>
    <t>Annual and cumulated devisations</t>
  </si>
  <si>
    <t>Recommended maximum net expenditure growth*</t>
  </si>
  <si>
    <t>Cumulated balance after overall flexibility (3-5)</t>
  </si>
  <si>
    <t>Cumulated balance after flexibility from defence expenditure (CA16-2)</t>
  </si>
  <si>
    <t>Augmented control account</t>
  </si>
  <si>
    <t xml:space="preserve"> </t>
  </si>
  <si>
    <t>Cumulated balance after flexibility from defence expenditure**</t>
  </si>
  <si>
    <t>Addendum: Latvia's domestic fiscal rule</t>
  </si>
  <si>
    <t>Is the general government structural balance no lower than -1.0% from 2025 to 2027?</t>
  </si>
  <si>
    <t>Is the general government structural balance no lower than -1.5% in 2028 and beyond?</t>
  </si>
  <si>
    <t xml:space="preserve">Natural-language output string: </t>
  </si>
  <si>
    <t xml:space="preserve">Is the planned general structural balance compliant with the domestic fiscal rule? </t>
  </si>
  <si>
    <r>
      <t>Compliance with the general government structural balance rule</t>
    </r>
    <r>
      <rPr>
        <vertAlign val="superscript"/>
        <sz val="11"/>
        <rFont val="Aptos Narrow"/>
        <family val="2"/>
      </rPr>
      <t>1</t>
    </r>
  </si>
  <si>
    <r>
      <rPr>
        <vertAlign val="superscript"/>
        <sz val="8"/>
        <color theme="1"/>
        <rFont val="Aptos Narrow"/>
        <family val="2"/>
      </rPr>
      <t>1</t>
    </r>
    <r>
      <rPr>
        <sz val="8"/>
        <color theme="1"/>
        <rFont val="Aptos Narrow"/>
        <family val="2"/>
      </rPr>
      <t xml:space="preserve"> In years 2028 and beyond, the FDC must scrutinise whether any excess between -1.0% and -1.5% are related to the Defence and Internal Security Fund</t>
    </r>
  </si>
  <si>
    <t>Addendum: Domestic fiscal rules</t>
  </si>
  <si>
    <t>Generalising to any future exempt spending</t>
  </si>
  <si>
    <t xml:space="preserve">Flag to use "other exempt spending" in place of exempt energy spending </t>
  </si>
  <si>
    <t>FISCO Version 1.1.5 - 24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</si>
</sst>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5"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
      <sz val="8"/>
      <color theme="1"/>
      <name val="Aptos Narrow"/>
      <family val="2"/>
    </font>
    <font>
      <vertAlign val="superscript"/>
      <sz val="11"/>
      <name val="Aptos Narrow"/>
      <family val="2"/>
    </font>
    <font>
      <vertAlign val="superscript"/>
      <sz val="8"/>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7">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style="thin">
        <color auto="1"/>
      </top>
      <bottom style="double">
        <color indexed="64"/>
      </bottom>
      <diagonal/>
    </border>
    <border>
      <left/>
      <right/>
      <top style="double">
        <color indexed="64"/>
      </top>
      <bottom style="thin">
        <color indexed="64"/>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300">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xf numFmtId="0" fontId="52" fillId="0" borderId="0" xfId="0" applyFont="1"/>
    <xf numFmtId="165" fontId="0" fillId="0" borderId="0" xfId="0" applyNumberFormat="1" applyAlignment="1">
      <alignment horizontal="right"/>
    </xf>
    <xf numFmtId="164" fontId="12" fillId="0" borderId="0" xfId="0" applyNumberFormat="1" applyFont="1" applyAlignment="1">
      <alignment horizontal="right"/>
    </xf>
    <xf numFmtId="0" fontId="0" fillId="0" borderId="7" xfId="0" applyBorder="1" applyAlignment="1">
      <alignment horizontal="right"/>
    </xf>
    <xf numFmtId="0" fontId="39" fillId="0" borderId="0" xfId="0" applyFont="1" applyAlignment="1">
      <alignment horizontal="left"/>
    </xf>
    <xf numFmtId="0" fontId="31" fillId="3" borderId="0" xfId="0" applyFont="1" applyFill="1" applyAlignment="1">
      <alignment horizontal="right" vertical="center"/>
    </xf>
    <xf numFmtId="0" fontId="15" fillId="0" borderId="15" xfId="0" applyFont="1" applyBorder="1" applyAlignment="1">
      <alignment horizontal="left" vertical="center"/>
    </xf>
    <xf numFmtId="0" fontId="27" fillId="0" borderId="15" xfId="0" applyFont="1" applyBorder="1" applyAlignment="1">
      <alignment horizontal="center" vertical="center"/>
    </xf>
    <xf numFmtId="0" fontId="16" fillId="0" borderId="15" xfId="0" applyFont="1" applyBorder="1" applyAlignment="1">
      <alignment vertical="center"/>
    </xf>
    <xf numFmtId="0" fontId="16" fillId="0" borderId="0" xfId="0" applyFont="1" applyAlignment="1">
      <alignment vertical="center"/>
    </xf>
    <xf numFmtId="0" fontId="15" fillId="0" borderId="16" xfId="0" applyFont="1" applyBorder="1" applyAlignment="1">
      <alignment horizontal="left" vertical="center"/>
    </xf>
    <xf numFmtId="0" fontId="27" fillId="0" borderId="16" xfId="0" applyFont="1" applyBorder="1" applyAlignment="1">
      <alignment horizontal="center" vertical="center"/>
    </xf>
    <xf numFmtId="0" fontId="0" fillId="0" borderId="16" xfId="0" applyBorder="1" applyAlignment="1">
      <alignment vertical="center"/>
    </xf>
    <xf numFmtId="0" fontId="16" fillId="0" borderId="16" xfId="0" applyFont="1" applyBorder="1" applyAlignment="1">
      <alignment vertical="center"/>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29">
    <dxf>
      <font>
        <color theme="0"/>
      </font>
    </dxf>
    <dxf>
      <font>
        <color theme="0"/>
      </font>
    </dxf>
    <dxf>
      <border>
        <top style="thin">
          <color auto="1"/>
        </top>
        <bottom style="thin">
          <color auto="1"/>
        </bottom>
        <vertical/>
        <horizontal/>
      </border>
    </dxf>
    <dxf>
      <border>
        <bottom style="thin">
          <color auto="1"/>
        </bottom>
        <vertical/>
        <horizontal/>
      </border>
    </dxf>
    <dxf>
      <font>
        <color theme="0"/>
      </font>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FF9999"/>
      <color rgb="FF800000"/>
      <color rgb="FF007635"/>
      <color rgb="FFEDEDED"/>
      <color rgb="FFDDEBF7"/>
      <color rgb="FF0033CC"/>
      <color rgb="FFFFCCCC"/>
      <color rgb="FF008000"/>
      <color rgb="FFD4EFC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2237720284964381"/>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-1.8432263611161073</c:v>
                </c:pt>
                <c:pt idx="1">
                  <c:v>-2.6239061316128445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-2.5692931218013437</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-2.6239061316128445</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-2.6239061316128445</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71675844439"/>
          <c:w val="0.86379423674188027"/>
          <c:h val="0.65282658295164087"/>
        </c:manualLayout>
      </c:layout>
      <c:barChart>
        <c:barDir val="col"/>
        <c:grouping val="clustered"/>
        <c:varyColors val="0"/>
        <c:ser>
          <c:idx val="0"/>
          <c:order val="0"/>
          <c:tx>
            <c:strRef>
              <c:f>'Chart data'!$C$39</c:f>
              <c:strCache>
                <c:ptCount val="1"/>
                <c:pt idx="0">
                  <c:v>Council-endorsed path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ayout>
        <c:manualLayout>
          <c:xMode val="edge"/>
          <c:yMode val="edge"/>
          <c:x val="0"/>
          <c:y val="0.10527404662652462"/>
          <c:w val="1"/>
          <c:h val="0.13433173794452163"/>
        </c:manualLayout>
      </c:layout>
      <c:overlay val="0"/>
      <c:spPr>
        <a:noFill/>
      </c:spPr>
      <c:txPr>
        <a:bodyPr/>
        <a:lstStyle/>
        <a:p>
          <a:pPr>
            <a:defRPr sz="900">
              <a:solidFill>
                <a:schemeClr val="tx1">
                  <a:lumMod val="65000"/>
                  <a:lumOff val="35000"/>
                </a:schemeClr>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18264219753311539"/>
          <c:w val="0.83900021030806848"/>
          <c:h val="0.6222100368599971"/>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9CBD-46D4-A5A4-D0A199CB72A4}"/>
            </c:ext>
          </c:extLst>
        </c:ser>
        <c:ser>
          <c:idx val="8"/>
          <c:order val="8"/>
          <c:tx>
            <c:strRef>
              <c:f>'Chart data'!$C$136</c:f>
              <c:strCache>
                <c:ptCount val="1"/>
                <c:pt idx="0">
                  <c:v>Blank helper series 1</c:v>
                </c:pt>
              </c:strCache>
            </c:strRef>
          </c:tx>
          <c:spPr>
            <a:solidFill>
              <a:schemeClr val="accent3">
                <a:lumMod val="60000"/>
              </a:schemeClr>
            </a:solidFill>
            <a:ln w="22225" cap="rnd">
              <a:solidFill>
                <a:srgbClr val="C00000"/>
              </a:solidFill>
              <a:prstDash val="dash"/>
              <a:round/>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9CBD-46D4-A5A4-D0A199CB72A4}"/>
            </c:ext>
          </c:extLst>
        </c:ser>
        <c:ser>
          <c:idx val="9"/>
          <c:order val="9"/>
          <c:tx>
            <c:strRef>
              <c:f>'Chart data'!$C$137</c:f>
              <c:strCache>
                <c:ptCount val="1"/>
                <c:pt idx="0">
                  <c:v>Blank helper series 2</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9CBD-46D4-A5A4-D0A199CB72A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#N/A</c:v>
                </c:pt>
                <c:pt idx="2" formatCode="General">
                  <c:v>-2.6</c:v>
                </c:pt>
                <c:pt idx="3" formatCode="General">
                  <c:v>#N/A</c:v>
                </c:pt>
                <c:pt idx="4" formatCode="General">
                  <c:v>#N/A</c:v>
                </c:pt>
              </c:numCache>
            </c:numRef>
          </c:val>
          <c:extLst>
            <c:ext xmlns:c16="http://schemas.microsoft.com/office/drawing/2014/chart" uri="{C3380CC4-5D6E-409C-BE32-E72D297353CC}">
              <c16:uniqueId val="{00000004-9CBD-46D4-A5A4-D0A199CB72A4}"/>
            </c:ext>
          </c:extLst>
        </c:ser>
        <c:ser>
          <c:idx val="2"/>
          <c:order val="2"/>
          <c:tx>
            <c:strRef>
              <c:f>'Chart data'!$C$138</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9CBD-46D4-A5A4-D0A199CB72A4}"/>
            </c:ext>
          </c:extLst>
        </c:ser>
        <c:ser>
          <c:idx val="3"/>
          <c:order val="3"/>
          <c:tx>
            <c:strRef>
              <c:f>'Chart data'!$C$139</c:f>
              <c:strCache>
                <c:ptCount val="1"/>
                <c:pt idx="0">
                  <c:v>Observed (Breach)</c:v>
                </c:pt>
              </c:strCache>
            </c:strRef>
          </c:tx>
          <c:spPr>
            <a:solidFill>
              <a:srgbClr val="C00000">
                <a:alpha val="49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-1.3087</c:v>
                </c:pt>
                <c:pt idx="1">
                  <c:v>-2.5189499999999998</c:v>
                </c:pt>
                <c:pt idx="2">
                  <c:v>#N/A</c:v>
                </c:pt>
                <c:pt idx="3">
                  <c:v>#N/A</c:v>
                </c:pt>
                <c:pt idx="4">
                  <c:v>#N/A</c:v>
                </c:pt>
              </c:numCache>
            </c:numRef>
          </c:val>
          <c:extLst>
            <c:ext xmlns:c16="http://schemas.microsoft.com/office/drawing/2014/chart" uri="{C3380CC4-5D6E-409C-BE32-E72D297353CC}">
              <c16:uniqueId val="{00000006-9CBD-46D4-A5A4-D0A199CB72A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7-9CBD-46D4-A5A4-D0A199CB72A4}"/>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-2.7</c:v>
                </c:pt>
              </c:numCache>
            </c:numRef>
          </c:val>
          <c:smooth val="0"/>
          <c:extLst>
            <c:ext xmlns:c16="http://schemas.microsoft.com/office/drawing/2014/chart" uri="{C3380CC4-5D6E-409C-BE32-E72D297353CC}">
              <c16:uniqueId val="{00000008-9CBD-46D4-A5A4-D0A199CB72A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-2.7</c:v>
                </c:pt>
              </c:numCache>
            </c:numRef>
          </c:val>
          <c:smooth val="0"/>
          <c:extLst>
            <c:ext xmlns:c16="http://schemas.microsoft.com/office/drawing/2014/chart" uri="{C3380CC4-5D6E-409C-BE32-E72D297353CC}">
              <c16:uniqueId val="{00000009-9CBD-46D4-A5A4-D0A199CB72A4}"/>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A-9CBD-46D4-A5A4-D0A199CB72A4}"/>
            </c:ext>
          </c:extLst>
        </c:ser>
        <c:ser>
          <c:idx val="10"/>
          <c:order val="10"/>
          <c:tx>
            <c:strRef>
              <c:f>'Chart data'!$C$140</c:f>
              <c:strCache>
                <c:ptCount val="1"/>
                <c:pt idx="0">
                  <c:v>Maximum structural deficit</c:v>
                </c:pt>
              </c:strCache>
            </c:strRef>
          </c:tx>
          <c:spPr>
            <a:ln w="19050" cap="rnd">
              <a:noFill/>
              <a:prstDash val="dash"/>
              <a:round/>
            </a:ln>
            <a:effectLst/>
          </c:spPr>
          <c:marker>
            <c:symbol val="dash"/>
            <c:size val="27"/>
            <c:spPr>
              <a:solidFill>
                <a:srgbClr val="C00000"/>
              </a:solidFill>
              <a:ln w="9525">
                <a:noFill/>
              </a:ln>
              <a:effectLst/>
            </c:spPr>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-1.5</c:v>
                </c:pt>
              </c:numCache>
            </c:numRef>
          </c:val>
          <c:smooth val="0"/>
          <c:extLst>
            <c:ext xmlns:c16="http://schemas.microsoft.com/office/drawing/2014/chart" uri="{C3380CC4-5D6E-409C-BE32-E72D297353CC}">
              <c16:uniqueId val="{0000000B-9CBD-46D4-A5A4-D0A199CB72A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4.3544649098728357E-2"/>
          <c:y val="0.78879876026860851"/>
          <c:w val="0.92863325371540006"/>
          <c:h val="0.192478762592591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238123</xdr:rowOff>
    </xdr:from>
    <xdr:to>
      <xdr:col>20</xdr:col>
      <xdr:colOff>323850</xdr:colOff>
      <xdr:row>37</xdr:row>
      <xdr:rowOff>152399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3"/>
          <a:ext cx="7229476" cy="66294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 If</a:t>
          </a:r>
          <a:r>
            <a:rPr lang="en-GB" baseline="0">
              <a:latin typeface="Aptos" panose="020B0004020202020204" pitchFamily="34" charset="0"/>
            </a:rPr>
            <a:t> assessing an exemption for eligible energy spending, set the energy flexibility flag to TRUE in each applicable year and enter the amount of energy spending as a % of GDP in the cell below. If assessing a more general case of other exempt spending, set the flag in "Addendum: Other exempt spending flag" to TRUE. </a:t>
          </a:r>
          <a:endParaRPr lang="en-GB">
            <a:latin typeface="Aptos" panose="020B0004020202020204" pitchFamily="34" charset="0"/>
          </a:endParaRP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(f)</a:t>
          </a:r>
          <a:r>
            <a:rPr lang="en-GB" baseline="0">
              <a:latin typeface="Aptos" panose="020B0004020202020204" pitchFamily="34" charset="0"/>
            </a:rPr>
            <a:t> Enter any corrections for breaks in time series (will be deprecated if the Commission adds to the Eurostat/AMECO databases). </a:t>
          </a:r>
          <a:endParaRPr lang="en-GB">
            <a:latin typeface="Aptos" panose="020B0004020202020204" pitchFamily="34" charset="0"/>
          </a:endParaRP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3</xdr:col>
      <xdr:colOff>0</xdr:colOff>
      <xdr:row>8</xdr:row>
      <xdr:rowOff>0</xdr:rowOff>
    </xdr:from>
    <xdr:to>
      <xdr:col>8</xdr:col>
      <xdr:colOff>352425</xdr:colOff>
      <xdr:row>12</xdr:row>
      <xdr:rowOff>66675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5715000" y="16287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3</xdr:col>
      <xdr:colOff>0</xdr:colOff>
      <xdr:row>2</xdr:row>
      <xdr:rowOff>161925</xdr:rowOff>
    </xdr:from>
    <xdr:to>
      <xdr:col>8</xdr:col>
      <xdr:colOff>352425</xdr:colOff>
      <xdr:row>7</xdr:row>
      <xdr:rowOff>0</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5715000" y="704850"/>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639175" y="2344812"/>
          <a:ext cx="3219548" cy="5145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639175" y="3200250"/>
          <a:ext cx="3219548" cy="32344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639175" y="3647925"/>
          <a:ext cx="3219548" cy="323439"/>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639175" y="46767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409575</xdr:colOff>
      <xdr:row>34</xdr:row>
      <xdr:rowOff>161925</xdr:rowOff>
    </xdr:from>
    <xdr:to>
      <xdr:col>21</xdr:col>
      <xdr:colOff>628650</xdr:colOff>
      <xdr:row>48</xdr:row>
      <xdr:rowOff>47625</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18</xdr:row>
      <xdr:rowOff>0</xdr:rowOff>
    </xdr:from>
    <xdr:to>
      <xdr:col>22</xdr:col>
      <xdr:colOff>0</xdr:colOff>
      <xdr:row>33</xdr:row>
      <xdr:rowOff>123825</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49</xdr:row>
      <xdr:rowOff>104775</xdr:rowOff>
    </xdr:from>
    <xdr:to>
      <xdr:col>14</xdr:col>
      <xdr:colOff>695325</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619125</xdr:colOff>
      <xdr:row>67</xdr:row>
      <xdr:rowOff>57150</xdr:rowOff>
    </xdr:from>
    <xdr:to>
      <xdr:col>15</xdr:col>
      <xdr:colOff>66675</xdr:colOff>
      <xdr:row>82</xdr:row>
      <xdr:rowOff>47625</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704850</xdr:colOff>
      <xdr:row>34</xdr:row>
      <xdr:rowOff>142595</xdr:rowOff>
    </xdr:from>
    <xdr:to>
      <xdr:col>14</xdr:col>
      <xdr:colOff>512672</xdr:colOff>
      <xdr:row>47</xdr:row>
      <xdr:rowOff>142875</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276225</xdr:colOff>
      <xdr:row>49</xdr:row>
      <xdr:rowOff>76199</xdr:rowOff>
    </xdr:from>
    <xdr:to>
      <xdr:col>22</xdr:col>
      <xdr:colOff>47625</xdr:colOff>
      <xdr:row>64</xdr:row>
      <xdr:rowOff>152399</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17</xdr:row>
      <xdr:rowOff>228600</xdr:rowOff>
    </xdr:from>
    <xdr:to>
      <xdr:col>14</xdr:col>
      <xdr:colOff>514350</xdr:colOff>
      <xdr:row>32</xdr:row>
      <xdr:rowOff>114300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485775</xdr:colOff>
      <xdr:row>94</xdr:row>
      <xdr:rowOff>190224</xdr:rowOff>
    </xdr:from>
    <xdr:to>
      <xdr:col>2</xdr:col>
      <xdr:colOff>68917</xdr:colOff>
      <xdr:row>115</xdr:row>
      <xdr:rowOff>28574</xdr:rowOff>
    </xdr:to>
    <xdr:graphicFrame macro="">
      <xdr:nvGraphicFramePr>
        <xdr:cNvPr id="6" name="Chart 5">
          <a:extLst>
            <a:ext uri="{FF2B5EF4-FFF2-40B4-BE49-F238E27FC236}">
              <a16:creationId xmlns:a16="http://schemas.microsoft.com/office/drawing/2014/main" id="{2C5DA460-A37A-4DCC-B44A-DE4FB8B1E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0.61246</cdr:x>
      <cdr:y>0.36819</cdr:y>
    </cdr:from>
    <cdr:to>
      <cdr:x>0.87403</cdr:x>
      <cdr:y>0.44826</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58512" y="1041584"/>
          <a:ext cx="1220812" cy="22651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0.5867</cdr:x>
      <cdr:y>0.32548</cdr:y>
    </cdr:from>
    <cdr:to>
      <cdr:x>0.9145</cdr:x>
      <cdr:y>0.40609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38279" y="920767"/>
          <a:ext cx="1529925" cy="22803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0.00325</cdr:x>
      <cdr:y>0.84637</cdr:y>
    </cdr:from>
    <cdr:to>
      <cdr:x>0.91814</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4946" y="2483009"/>
          <a:ext cx="4209021" cy="4506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 Figures do not account for the energy security exemption introduced in the Spring 2026 package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43"/>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3" t="s">
        <v>19</v>
      </c>
    </row>
    <row r="3" spans="1:11" ht="13.5" customHeight="1" x14ac:dyDescent="0.4">
      <c r="A3" s="157" t="s">
        <v>305</v>
      </c>
      <c r="B3" s="283" t="s">
        <v>433</v>
      </c>
    </row>
    <row r="5" spans="1:11" ht="18" x14ac:dyDescent="0.55000000000000004">
      <c r="A5" s="50" t="s">
        <v>729</v>
      </c>
      <c r="K5" s="38"/>
    </row>
    <row r="6" spans="1:11" ht="13.5" customHeight="1" x14ac:dyDescent="0.4">
      <c r="A6" s="157" t="s">
        <v>728</v>
      </c>
      <c r="B6" s="284" t="s">
        <v>727</v>
      </c>
      <c r="K6" s="38"/>
    </row>
    <row r="7" spans="1:11" ht="13.5" customHeight="1" x14ac:dyDescent="0.4">
      <c r="A7" s="159" t="s">
        <v>730</v>
      </c>
      <c r="B7" s="285" t="s">
        <v>959</v>
      </c>
      <c r="K7" s="38"/>
    </row>
    <row r="8" spans="1:11" ht="13.5" customHeight="1" x14ac:dyDescent="0.4">
      <c r="A8" s="159"/>
      <c r="B8" s="5"/>
      <c r="K8" s="38"/>
    </row>
    <row r="9" spans="1:11" ht="13.5" customHeight="1" x14ac:dyDescent="0.55000000000000004">
      <c r="A9" s="50" t="s">
        <v>722</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721</v>
      </c>
      <c r="B16" s="264">
        <v>45464</v>
      </c>
      <c r="K16" s="38"/>
    </row>
    <row r="17" spans="1:11" x14ac:dyDescent="0.4">
      <c r="K17" s="38"/>
    </row>
    <row r="18" spans="1:11" ht="18" x14ac:dyDescent="0.55000000000000004">
      <c r="A18" s="50" t="s">
        <v>725</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4">
      <c r="A21" s="85" t="s">
        <v>808</v>
      </c>
      <c r="B21" s="87" t="b">
        <v>0</v>
      </c>
      <c r="C21" s="87" t="b">
        <v>1</v>
      </c>
      <c r="D21" s="87" t="b">
        <v>1</v>
      </c>
      <c r="E21" s="87" t="b">
        <v>1</v>
      </c>
      <c r="F21" s="87" t="b">
        <v>1</v>
      </c>
      <c r="G21" s="87" t="b">
        <v>0</v>
      </c>
      <c r="H21" s="87" t="b">
        <v>0</v>
      </c>
      <c r="I21" s="71" t="b">
        <v>0</v>
      </c>
      <c r="J21" s="71" t="b">
        <v>0</v>
      </c>
    </row>
    <row r="22" spans="1:11" ht="13.5" customHeight="1" x14ac:dyDescent="0.4">
      <c r="A22" t="s">
        <v>686</v>
      </c>
      <c r="B22" s="87" t="e">
        <v>#N/A</v>
      </c>
      <c r="C22" s="87" t="s">
        <v>724</v>
      </c>
      <c r="D22" s="87" t="s">
        <v>724</v>
      </c>
      <c r="E22" s="87" t="s">
        <v>724</v>
      </c>
      <c r="F22" s="87" t="s">
        <v>724</v>
      </c>
      <c r="G22" s="87" t="e">
        <v>#N/A</v>
      </c>
      <c r="H22" s="87" t="e">
        <v>#N/A</v>
      </c>
      <c r="I22" s="71" t="e">
        <v>#N/A</v>
      </c>
      <c r="J22" s="71" t="e">
        <v>#N/A</v>
      </c>
    </row>
    <row r="23" spans="1:11" ht="13.5" customHeight="1" x14ac:dyDescent="0.4">
      <c r="A23" t="s">
        <v>970</v>
      </c>
      <c r="B23" s="87" t="e">
        <v>#N/A</v>
      </c>
      <c r="C23" s="87" t="b">
        <v>1</v>
      </c>
      <c r="D23" s="87" t="b">
        <v>1</v>
      </c>
      <c r="E23" s="87" t="b">
        <v>1</v>
      </c>
      <c r="F23" s="87" t="b">
        <v>1</v>
      </c>
      <c r="G23" s="87" t="e">
        <v>#N/A</v>
      </c>
      <c r="H23" s="87" t="e">
        <v>#N/A</v>
      </c>
      <c r="I23" s="71" t="e">
        <v>#N/A</v>
      </c>
      <c r="J23" s="71" t="e">
        <v>#N/A</v>
      </c>
    </row>
    <row r="24" spans="1:11" ht="13.5" customHeight="1" x14ac:dyDescent="0.4">
      <c r="A24" t="str">
        <f>IF(Other_exempt_spending_flag,"Other exempt spending flag","Energy flexibility flag")</f>
        <v>Energy flexibility flag</v>
      </c>
      <c r="B24" s="87" t="e">
        <v>#N/A</v>
      </c>
      <c r="C24" s="87" t="b">
        <v>0</v>
      </c>
      <c r="D24" s="87" t="b">
        <v>0</v>
      </c>
      <c r="E24" s="87" t="b">
        <v>0</v>
      </c>
      <c r="F24" s="87" t="b">
        <v>0</v>
      </c>
      <c r="G24" s="87" t="e">
        <v>#N/A</v>
      </c>
      <c r="H24" s="87" t="e">
        <v>#N/A</v>
      </c>
      <c r="I24" s="71" t="e">
        <v>#N/A</v>
      </c>
      <c r="J24" s="71" t="e">
        <v>#N/A</v>
      </c>
    </row>
    <row r="25" spans="1:11" ht="13.5" customHeight="1" x14ac:dyDescent="0.4">
      <c r="A25" t="str">
        <f>IF(Other_exempt_spending_flag,"Other exempt spending measures (%GDP)","Eligible energy security measures (%GDP)")</f>
        <v>Eligible energy security measures (%GDP)</v>
      </c>
      <c r="B25" s="87" t="e">
        <v>#N/A</v>
      </c>
      <c r="C25" s="87" t="e">
        <v>#N/A</v>
      </c>
      <c r="D25" s="288" t="e">
        <v>#N/A</v>
      </c>
      <c r="E25" s="288" t="e">
        <v>#N/A</v>
      </c>
      <c r="F25" s="288" t="e">
        <v>#N/A</v>
      </c>
      <c r="G25" s="87" t="e">
        <v>#N/A</v>
      </c>
      <c r="H25" s="87" t="e">
        <v>#N/A</v>
      </c>
      <c r="I25" s="71" t="e">
        <v>#N/A</v>
      </c>
      <c r="J25" s="71" t="e">
        <v>#N/A</v>
      </c>
    </row>
    <row r="26" spans="1:11" ht="13.5" customHeight="1" x14ac:dyDescent="0.4">
      <c r="A26" s="86" t="s">
        <v>927</v>
      </c>
      <c r="B26" s="289" t="e">
        <v>#N/A</v>
      </c>
      <c r="C26" s="288">
        <v>1.5</v>
      </c>
      <c r="D26" s="288">
        <v>1.5</v>
      </c>
      <c r="E26" s="288">
        <v>1.5</v>
      </c>
      <c r="F26" s="288">
        <v>1.5</v>
      </c>
      <c r="G26" s="87" t="e">
        <v>#N/A</v>
      </c>
      <c r="H26" s="87" t="e">
        <v>#N/A</v>
      </c>
      <c r="I26" s="71" t="e">
        <v>#N/A</v>
      </c>
      <c r="J26" s="71" t="e">
        <v>#N/A</v>
      </c>
    </row>
    <row r="27" spans="1:11" ht="13.5" customHeight="1" x14ac:dyDescent="0.4">
      <c r="B27" s="87"/>
      <c r="C27" s="87"/>
      <c r="D27" s="87"/>
      <c r="E27" s="87"/>
      <c r="F27" s="87"/>
      <c r="G27" s="87"/>
      <c r="H27" s="87"/>
      <c r="I27" s="71"/>
      <c r="J27" s="71"/>
    </row>
    <row r="28" spans="1:11" ht="13.5" customHeight="1" x14ac:dyDescent="0.4">
      <c r="A28" t="s">
        <v>914</v>
      </c>
      <c r="B28" s="265">
        <v>2021</v>
      </c>
      <c r="J28" s="71"/>
    </row>
    <row r="29" spans="1:11" ht="13.5" customHeight="1" x14ac:dyDescent="0.4">
      <c r="A29" t="s">
        <v>916</v>
      </c>
      <c r="B29" s="265">
        <v>2.5</v>
      </c>
      <c r="J29" s="71"/>
    </row>
    <row r="30" spans="1:11" ht="13.5" customHeight="1" x14ac:dyDescent="0.4"/>
    <row r="31" spans="1:11" ht="13.5" customHeight="1" x14ac:dyDescent="0.55000000000000004">
      <c r="A31" s="50" t="s">
        <v>723</v>
      </c>
    </row>
    <row r="32" spans="1:11" ht="13.5" customHeight="1" x14ac:dyDescent="0.4">
      <c r="A32" s="157" t="s">
        <v>367</v>
      </c>
      <c r="B32" s="52" t="b">
        <v>0</v>
      </c>
    </row>
    <row r="33" spans="1:10" ht="13.5" customHeight="1" x14ac:dyDescent="0.4">
      <c r="A33" s="157" t="s">
        <v>370</v>
      </c>
      <c r="B33" s="52" t="e">
        <v>#N/A</v>
      </c>
    </row>
    <row r="34" spans="1:10" ht="13.5" customHeight="1" x14ac:dyDescent="0.4">
      <c r="A34" s="157" t="s">
        <v>366</v>
      </c>
      <c r="B34" s="52" t="b">
        <v>0</v>
      </c>
    </row>
    <row r="35" spans="1:10" ht="13.5" customHeight="1" x14ac:dyDescent="0.4">
      <c r="A35" s="157" t="s">
        <v>369</v>
      </c>
      <c r="B35" s="52" t="e">
        <v>#N/A</v>
      </c>
    </row>
    <row r="36" spans="1:10" ht="13.5" customHeight="1" x14ac:dyDescent="0.4"/>
    <row r="37" spans="1:10" ht="18" x14ac:dyDescent="0.55000000000000004">
      <c r="A37" s="50" t="s">
        <v>969</v>
      </c>
    </row>
    <row r="38" spans="1:10" x14ac:dyDescent="0.4">
      <c r="A38" s="85"/>
      <c r="B38" s="44" cm="1">
        <f t="array" ref="B38:F38">_xlfn.SEQUENCE(1, MTP_EndYear-MTP_BaseYear, MTP_BaseYear+1)</f>
        <v>2024</v>
      </c>
      <c r="C38" s="44">
        <v>2025</v>
      </c>
      <c r="D38" s="44">
        <v>2026</v>
      </c>
      <c r="E38" s="44">
        <v>2027</v>
      </c>
      <c r="F38" s="44">
        <v>2028</v>
      </c>
    </row>
    <row r="39" spans="1:10" x14ac:dyDescent="0.4">
      <c r="A39" s="86"/>
      <c r="B39" s="43" t="str" cm="1">
        <f t="array" ref="B39:F39">CHOOSE(SIGN(_xlfn.ANCHORARRAY(B38) - MTP_YearT) + 2, "T-1", "T", "T+" &amp; (_xlfn.ANCHORARRAY(B38) - MTP_YearT))</f>
        <v>T</v>
      </c>
      <c r="C39" s="43" t="str">
        <v>T+1</v>
      </c>
      <c r="D39" s="47" t="str">
        <v>T+2</v>
      </c>
      <c r="E39" s="47" t="str">
        <v>T+3</v>
      </c>
      <c r="F39" s="47" t="str">
        <v>T+4</v>
      </c>
      <c r="G39" s="47"/>
      <c r="H39" s="47"/>
      <c r="J39" s="47"/>
    </row>
    <row r="40" spans="1:10" x14ac:dyDescent="0.4">
      <c r="A40" s="86" t="s">
        <v>944</v>
      </c>
      <c r="B40" s="288">
        <v>0</v>
      </c>
      <c r="C40" s="288">
        <v>0</v>
      </c>
      <c r="D40" s="288">
        <v>0</v>
      </c>
      <c r="E40" s="288">
        <v>0</v>
      </c>
      <c r="F40" s="288">
        <v>0</v>
      </c>
      <c r="G40" s="288"/>
      <c r="H40" s="288"/>
      <c r="I40" s="288"/>
      <c r="J40" s="288"/>
    </row>
    <row r="42" spans="1:10" ht="18" x14ac:dyDescent="0.55000000000000004">
      <c r="A42" s="50" t="s">
        <v>988</v>
      </c>
    </row>
    <row r="43" spans="1:10" x14ac:dyDescent="0.4">
      <c r="A43" t="s">
        <v>989</v>
      </c>
      <c r="B43" s="52" t="b">
        <v>0</v>
      </c>
    </row>
  </sheetData>
  <dataConsolidate/>
  <phoneticPr fontId="43" type="noConversion"/>
  <conditionalFormatting sqref="B19:H19">
    <cfRule type="expression" dxfId="228" priority="16">
      <formula>B19&lt;&gt;""</formula>
    </cfRule>
  </conditionalFormatting>
  <conditionalFormatting sqref="B20:H20">
    <cfRule type="expression" dxfId="227" priority="15">
      <formula>B19&lt;&gt;""</formula>
    </cfRule>
  </conditionalFormatting>
  <conditionalFormatting sqref="B21:H25">
    <cfRule type="expression" dxfId="226" priority="14">
      <formula>B$19&lt;&gt;""</formula>
    </cfRule>
  </conditionalFormatting>
  <conditionalFormatting sqref="C26:H26">
    <cfRule type="expression" dxfId="225" priority="13">
      <formula>C19&lt;&gt;""</formula>
    </cfRule>
  </conditionalFormatting>
  <conditionalFormatting sqref="B38:H38">
    <cfRule type="expression" dxfId="224" priority="5">
      <formula>B38&lt;&gt;""</formula>
    </cfRule>
  </conditionalFormatting>
  <conditionalFormatting sqref="B39:H39">
    <cfRule type="expression" dxfId="223" priority="4">
      <formula>B38&lt;&gt;""</formula>
    </cfRule>
  </conditionalFormatting>
  <conditionalFormatting sqref="B40:J40">
    <cfRule type="expression" dxfId="222" priority="2">
      <formula>B38&lt;&gt;""</formula>
    </cfRule>
  </conditionalFormatting>
  <pageMargins left="0.7" right="0.7" top="0.75" bottom="0.75" header="0.3" footer="0.3"/>
  <pageSetup paperSize="9" scale="58"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B32 B34 B21:H21 B14:B15 B43</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B33 B35</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B33 B11</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 type="list" allowBlank="1" showInputMessage="1" showErrorMessage="1" xr:uid="{6B3991E8-9E7F-4EEC-B66C-A1A9D743878C}">
          <x14:formula1>
            <xm:f>Validation!$M$3:$M$50</xm:f>
          </x14:formula1>
          <xm:sqref>B3</xm:sqref>
        </x14:dataValidation>
        <x14:dataValidation type="list" allowBlank="1" showInputMessage="1" showErrorMessage="1" xr:uid="{3F12D024-054C-4D62-943C-A89535AB37F5}">
          <x14:formula1>
            <xm:f>Validation!$J$3:$J$5</xm:f>
          </x14:formula1>
          <xm:sqref>B23:J24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799</v>
      </c>
      <c r="E2" s="183">
        <v>2025</v>
      </c>
    </row>
    <row r="3" spans="1:34" ht="15.75" x14ac:dyDescent="0.5">
      <c r="B3" s="149"/>
      <c r="R3" s="79" t="s">
        <v>939</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912</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0.73429999999999995</v>
      </c>
      <c r="F9" s="141">
        <v>0.75549999999999995</v>
      </c>
      <c r="G9" s="181">
        <v>1.2509999999999999</v>
      </c>
      <c r="H9" s="181"/>
      <c r="I9" s="181"/>
      <c r="J9" s="181"/>
      <c r="K9" s="181"/>
      <c r="L9" s="181"/>
      <c r="M9" s="181"/>
      <c r="N9" s="181"/>
      <c r="O9" s="181"/>
      <c r="P9" s="181"/>
      <c r="Q9" s="181"/>
      <c r="R9" s="257" t="b">
        <v>0</v>
      </c>
      <c r="S9" s="256" t="s">
        <v>592</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1" t="b">
        <v>0</v>
      </c>
      <c r="S10" s="262" t="s">
        <v>594</v>
      </c>
      <c r="T10" s="263"/>
      <c r="U10" s="263"/>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592</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594</v>
      </c>
      <c r="C14" s="44" t="s">
        <v>6</v>
      </c>
      <c r="D14" s="44"/>
      <c r="E14" s="141" cm="1">
        <f t="array" ref="E14:G14">IF(R10,
INDEX(10:10,COLUMN(V1)+_xlfn.SEQUENCE(1,COLUMNS(_xlfn.ANCHORARRAY(E4)))-1),INDEX(92:92,_xlfn.XMATCH(INDEX(_xlfn.ANCHORARRAY(E4),1,1),33:33,0)+_xlfn.SEQUENCE(1,COLUMNS(_xlfn.ANCHORARRAY(E4)))-1)/1000)</f>
        <v>1.0249299999999999</v>
      </c>
      <c r="F14" s="141">
        <v>1.10371</v>
      </c>
      <c r="G14" s="181">
        <v>1.36114</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622</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622</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599</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599</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599</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599</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599</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621</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621</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621</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621</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595</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591</v>
      </c>
      <c r="C27" s="147" t="s">
        <v>623</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812</v>
      </c>
      <c r="B29" s="8"/>
      <c r="C29" s="8"/>
    </row>
    <row r="30" spans="1:34" outlineLevel="1" x14ac:dyDescent="0.4">
      <c r="A30" s="150" t="s">
        <v>15</v>
      </c>
      <c r="B30" s="151" t="str">
        <f>Country</f>
        <v>Latvia</v>
      </c>
      <c r="C30" s="8"/>
    </row>
    <row r="31" spans="1:34" outlineLevel="1" x14ac:dyDescent="0.4">
      <c r="A31" s="150" t="s">
        <v>815</v>
      </c>
      <c r="B31" s="254">
        <v>46284.665868055556</v>
      </c>
      <c r="C31" s="8"/>
    </row>
    <row r="32" spans="1:34" outlineLevel="1" x14ac:dyDescent="0.4">
      <c r="A32" s="150" t="s">
        <v>677</v>
      </c>
      <c r="B32" s="150" t="s">
        <v>678</v>
      </c>
    </row>
    <row r="33" spans="1:169" outlineLevel="1" x14ac:dyDescent="0.4">
      <c r="A33" s="150" t="s">
        <v>26</v>
      </c>
      <c r="B33" s="150" t="s">
        <v>16</v>
      </c>
      <c r="C33" t="s">
        <v>658</v>
      </c>
      <c r="D33" cm="1">
        <f t="array" ref="D33:G33">_xlfn.SEQUENCE(1, OutturnThrough-MTP_BaseYear+2, MTP_BaseYear-1)</f>
        <v>2022</v>
      </c>
      <c r="E33">
        <v>2023</v>
      </c>
      <c r="F33">
        <v>2024</v>
      </c>
      <c r="G33">
        <v>2025</v>
      </c>
    </row>
    <row r="34" spans="1:169" outlineLevel="1" x14ac:dyDescent="0.4">
      <c r="A34" t="s">
        <v>176</v>
      </c>
      <c r="B34" t="s">
        <v>90</v>
      </c>
      <c r="C34" t="s">
        <v>654</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654</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654</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654</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654</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654</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654</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654</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654</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654</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611</v>
      </c>
      <c r="B44" t="s">
        <v>155</v>
      </c>
      <c r="C44" t="s">
        <v>654</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654</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654</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654</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659</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659</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659</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659</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659</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659</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659</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659</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659</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659</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615</v>
      </c>
      <c r="B58" t="s">
        <v>617</v>
      </c>
      <c r="C58" t="s">
        <v>659</v>
      </c>
      <c r="D58" s="9">
        <v>219.8</v>
      </c>
      <c r="E58" s="9">
        <v>394.5</v>
      </c>
      <c r="F58">
        <v>445</v>
      </c>
      <c r="G58">
        <v>444.6</v>
      </c>
    </row>
    <row r="59" spans="1:169" outlineLevel="1" x14ac:dyDescent="0.4">
      <c r="A59" t="s">
        <v>107</v>
      </c>
      <c r="B59" t="s">
        <v>106</v>
      </c>
      <c r="C59" t="s">
        <v>659</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659</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659</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616</v>
      </c>
      <c r="B62" t="s">
        <v>618</v>
      </c>
      <c r="C62" t="s">
        <v>659</v>
      </c>
      <c r="D62" s="9">
        <v>208.7</v>
      </c>
      <c r="E62" s="9">
        <v>339.8</v>
      </c>
      <c r="F62">
        <v>310.5</v>
      </c>
      <c r="G62">
        <v>806.4</v>
      </c>
    </row>
    <row r="63" spans="1:169" outlineLevel="1" x14ac:dyDescent="0.4">
      <c r="A63" t="s">
        <v>653</v>
      </c>
      <c r="B63" t="s">
        <v>109</v>
      </c>
      <c r="C63" t="s">
        <v>659</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659</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659</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659</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659</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659</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659</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659</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659</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659</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659</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659</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659</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659</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659</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659</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610</v>
      </c>
      <c r="C79" t="s">
        <v>659</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659</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661</v>
      </c>
      <c r="B81" t="s">
        <v>169</v>
      </c>
      <c r="C81" t="s">
        <v>659</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662</v>
      </c>
      <c r="B82" t="s">
        <v>170</v>
      </c>
      <c r="C82" t="s">
        <v>659</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663</v>
      </c>
      <c r="B83" t="s">
        <v>149</v>
      </c>
      <c r="C83" t="s">
        <v>659</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611</v>
      </c>
      <c r="B84" t="s">
        <v>612</v>
      </c>
      <c r="C84" t="s">
        <v>659</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659</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659</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659</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660</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665</v>
      </c>
      <c r="B89" t="s">
        <v>295</v>
      </c>
      <c r="C89" t="s">
        <v>657</v>
      </c>
      <c r="D89" s="9">
        <v>31849.74</v>
      </c>
      <c r="E89" s="9">
        <v>31549.83</v>
      </c>
      <c r="F89" s="9">
        <v>31538.14</v>
      </c>
      <c r="G89" s="9">
        <v>32212.39</v>
      </c>
      <c r="H89" s="9"/>
      <c r="I89" s="9"/>
      <c r="J89" s="9"/>
      <c r="K89" s="9"/>
      <c r="L89" s="9"/>
      <c r="M89" s="9"/>
      <c r="N89" s="9"/>
      <c r="O89" s="9"/>
      <c r="P89" s="9"/>
      <c r="Q89" s="9"/>
    </row>
    <row r="90" spans="1:169" outlineLevel="1" x14ac:dyDescent="0.4">
      <c r="A90" t="s">
        <v>666</v>
      </c>
      <c r="B90" t="s">
        <v>294</v>
      </c>
      <c r="C90" t="s">
        <v>657</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667</v>
      </c>
      <c r="B91" t="s">
        <v>600</v>
      </c>
      <c r="C91" t="s">
        <v>655</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668</v>
      </c>
      <c r="B92" t="s">
        <v>601</v>
      </c>
      <c r="C92" t="s">
        <v>655</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669</v>
      </c>
      <c r="B93" t="s">
        <v>602</v>
      </c>
      <c r="C93" t="s">
        <v>655</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670</v>
      </c>
      <c r="B94" t="s">
        <v>626</v>
      </c>
      <c r="C94" t="s">
        <v>655</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671</v>
      </c>
      <c r="B95" t="s">
        <v>603</v>
      </c>
      <c r="C95" t="s">
        <v>655</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672</v>
      </c>
      <c r="B96" t="s">
        <v>605</v>
      </c>
      <c r="C96" t="s">
        <v>655</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673</v>
      </c>
      <c r="B97" t="s">
        <v>604</v>
      </c>
      <c r="C97" t="s">
        <v>655</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664</v>
      </c>
      <c r="B98" t="s">
        <v>675</v>
      </c>
      <c r="C98" t="s">
        <v>656</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674</v>
      </c>
      <c r="B99" t="s">
        <v>676</v>
      </c>
      <c r="C99" t="s">
        <v>656</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613</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607</v>
      </c>
      <c r="C132" t="s">
        <v>805</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804</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806</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608</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609</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614</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807</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620</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606</v>
      </c>
      <c r="C187" t="s">
        <v>805</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804</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806</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596</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608</v>
      </c>
      <c r="R197" s="1"/>
      <c r="S197" s="1"/>
      <c r="T197" s="1"/>
      <c r="U197" s="1"/>
      <c r="V197" s="1"/>
      <c r="W197" s="1"/>
      <c r="X197" s="1"/>
      <c r="Y197" s="1"/>
      <c r="Z197" s="1"/>
    </row>
    <row r="198" spans="1:26" outlineLevel="1" x14ac:dyDescent="0.4">
      <c r="A198" s="1">
        <v>34</v>
      </c>
      <c r="B198" t="s">
        <v>3</v>
      </c>
      <c r="C198" t="s">
        <v>609</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21" priority="14">
      <formula>ISNUMBER(D$33)</formula>
    </cfRule>
  </conditionalFormatting>
  <conditionalFormatting sqref="E4:Q4 V4:AC4">
    <cfRule type="expression" dxfId="220" priority="13">
      <formula>ISNUMBER(E4)</formula>
    </cfRule>
  </conditionalFormatting>
  <conditionalFormatting sqref="F5:Q5 W5:AC5">
    <cfRule type="expression" dxfId="219" priority="12">
      <formula>F4&lt;&gt;""</formula>
    </cfRule>
  </conditionalFormatting>
  <conditionalFormatting sqref="E27:Q27">
    <cfRule type="expression" dxfId="218" priority="11">
      <formula>ISNUMBER(E4)</formula>
    </cfRule>
  </conditionalFormatting>
  <conditionalFormatting sqref="AT49:AU49 AT58:AU58 AT62:AU62 AT84:AU84 AT88:AU90 AT45:AU47">
    <cfRule type="expression" dxfId="217" priority="139">
      <formula>ISNUMBER(#REF!)</formula>
    </cfRule>
  </conditionalFormatting>
  <conditionalFormatting sqref="F103:Q105 F117:Q168 F170:Q210">
    <cfRule type="expression" dxfId="216" priority="5">
      <formula>NOT(ISNUMBER(F$103))</formula>
    </cfRule>
  </conditionalFormatting>
  <conditionalFormatting sqref="E5">
    <cfRule type="expression" dxfId="215" priority="4">
      <formula>ISNUMBER(E4)</formula>
    </cfRule>
  </conditionalFormatting>
  <conditionalFormatting sqref="V5">
    <cfRule type="expression" dxfId="214" priority="3">
      <formula>ISNUMBER(V4)</formula>
    </cfRule>
  </conditionalFormatting>
  <conditionalFormatting sqref="R35:Z100">
    <cfRule type="expression" dxfId="213" priority="1027">
      <formula>ISNUMBER(R$34)</formula>
    </cfRule>
  </conditionalFormatting>
  <conditionalFormatting sqref="R28:Z28">
    <cfRule type="expression" dxfId="212" priority="1029">
      <formula>ISNUMBER(R4)</formula>
    </cfRule>
  </conditionalFormatting>
  <conditionalFormatting sqref="R104:Z106 R118:Z169 R171:Z211">
    <cfRule type="expression" dxfId="211" priority="1031">
      <formula>NOT(ISNUMBER(R$104))</formula>
    </cfRule>
  </conditionalFormatting>
  <conditionalFormatting sqref="V6:AD9">
    <cfRule type="expression" dxfId="210" priority="2">
      <formula>ISNUMBER(V$4)</formula>
    </cfRule>
  </conditionalFormatting>
  <conditionalFormatting sqref="V10:AC10">
    <cfRule type="expression" dxfId="20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929</v>
      </c>
    </row>
    <row r="2" spans="2:16" ht="13.5" customHeight="1" x14ac:dyDescent="0.4"/>
    <row r="3" spans="2:16" ht="13.5" customHeight="1" x14ac:dyDescent="0.4">
      <c r="B3" s="169"/>
      <c r="C3" s="157"/>
      <c r="F3" s="184" t="s">
        <v>810</v>
      </c>
      <c r="G3" s="168">
        <v>2026</v>
      </c>
    </row>
    <row r="4" spans="2:16" ht="13.5" customHeight="1" x14ac:dyDescent="0.4">
      <c r="B4" s="169"/>
      <c r="C4" s="157"/>
    </row>
    <row r="5" spans="2:16" ht="18" x14ac:dyDescent="0.55000000000000004">
      <c r="B5" s="50" t="str">
        <f>ScenarioName</f>
        <v>Annual progress report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798</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795</v>
      </c>
      <c r="P7" s="179" t="s">
        <v>797</v>
      </c>
    </row>
    <row r="8" spans="2:16" x14ac:dyDescent="0.4">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20.588509988199995</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796</v>
      </c>
      <c r="P8" s="179" t="s">
        <v>797</v>
      </c>
    </row>
    <row r="9" spans="2:16" x14ac:dyDescent="0.4">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0.59346037659999995</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786</v>
      </c>
      <c r="P9" s="179">
        <v>2023</v>
      </c>
    </row>
    <row r="10" spans="2:16" x14ac:dyDescent="0.4">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9.130159639999998E-3</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790</v>
      </c>
      <c r="P10" s="179" t="s">
        <v>791</v>
      </c>
    </row>
    <row r="11" spans="2:16" x14ac:dyDescent="0.4">
      <c r="B11" s="59" t="s">
        <v>277</v>
      </c>
      <c r="C11" s="44" t="s">
        <v>6</v>
      </c>
      <c r="D11" s="167">
        <f>IF(ISNUMBER(D$6),IF(AND(D$6&gt;=MTP_BaseYear,D$6&lt;=OutturnThrough),'Step 2 - Update outturn data'!E9,INDEX($D$60:$J$60,MATCH(D$6,$D$34:$J$34,0))/100*D$29),"")</f>
        <v>0.73429999999999995</v>
      </c>
      <c r="E11" s="167">
        <f>IF(ISNUMBER(E$6),IF(AND(E$6&gt;=MTP_BaseYear,E$6&lt;=OutturnThrough),'Step 2 - Update outturn data'!F9,INDEX($D$60:$J$60,MATCH(E$6,$D$34:$J$34,0))/100*E$29),"")</f>
        <v>0.75549999999999995</v>
      </c>
      <c r="F11" s="167">
        <f>IF(ISNUMBER(F$6),IF(AND(F$6&gt;=MTP_BaseYear,F$6&lt;=OutturnThrough),'Step 2 - Update outturn data'!G9,INDEX($D$60:$J$60,MATCH(F$6,$D$34:$J$34,0))/100*F$29),"")</f>
        <v>1.2509999999999999</v>
      </c>
      <c r="G11" s="167">
        <f>IF(ISNUMBER(G$6),IF(AND(G$6&gt;=MTP_BaseYear,G$6&lt;=OutturnThrough),'Step 2 - Update outturn data'!H9,INDEX($D$60:$J$60,MATCH(G$6,$D$34:$J$34,0))/100*G$29),"")</f>
        <v>0.91301596399999985</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789</v>
      </c>
      <c r="P11" s="179" t="s">
        <v>792</v>
      </c>
    </row>
    <row r="12" spans="2:16" x14ac:dyDescent="0.4">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0.22825399099999996</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794</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793</v>
      </c>
      <c r="P13" s="179">
        <v>60</v>
      </c>
    </row>
    <row r="14" spans="2:16" x14ac:dyDescent="0.4">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18.853779656599993</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592</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-9.1301596399999976E-2</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809</v>
      </c>
    </row>
    <row r="16" spans="2:16" x14ac:dyDescent="0.4">
      <c r="B16" s="59" t="s">
        <v>594</v>
      </c>
      <c r="C16" s="44" t="s">
        <v>6</v>
      </c>
      <c r="D16" s="167">
        <f>IF(ISNUMBER(D$6),IF(AND(D$6&gt;=MTP_BaseYear,D$6&lt;=OutturnThrough),'Step 2 - Update outturn data'!E14,INDEX($D$87:$J$87,MATCH(D$6,$D$34:$J$34,0))/100*D$29),"")</f>
        <v>1.0249299999999999</v>
      </c>
      <c r="E16" s="167">
        <f>IF(ISNUMBER(E$6),IF(AND(E$6&gt;=MTP_BaseYear,E$6&lt;=OutturnThrough),'Step 2 - Update outturn data'!F14,INDEX($D$87:$J$87,MATCH(E$6,$D$34:$J$34,0))/100*E$29),"")</f>
        <v>1.10371</v>
      </c>
      <c r="F16" s="167">
        <f>IF(ISNUMBER(F$6),IF(AND(F$6&gt;=MTP_BaseYear,F$6&lt;=OutturnThrough),'Step 2 - Update outturn data'!G14,INDEX($D$87:$J$87,MATCH(F$6,$D$34:$J$34,0))/100*F$29),"")</f>
        <v>1.36114</v>
      </c>
      <c r="G16" s="167">
        <f>IF(ISNUMBER(G$6),IF(AND(G$6&gt;=MTP_BaseYear,G$6&lt;=OutturnThrough),'Step 2 - Update outturn data'!H14,INDEX($D$87:$J$87,MATCH(G$6,$D$34:$J$34,0))/100*G$29),"")</f>
        <v>1.8716827261999993</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622</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5.3</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622</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15.873329279722892</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599</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599</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-2.6</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599</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-1.3</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599</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47.9</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599</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0.9</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621</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2.6</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621</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3.3</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621</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6.1</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621</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595</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-1</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623</v>
      </c>
      <c r="D29" s="277">
        <f>IF(ISNUMBER(D$6),IF(AND(D$6&gt;=MTP_BaseYear,D$6&lt;=OutturnThrough),'Step 2 - Update outturn data'!E27,C29*(1+INDEX($D$96:$J$96,MATCH(D$6,$D$92:$J$92,0))/100)),"")</f>
        <v>39.5642</v>
      </c>
      <c r="E29" s="277">
        <f>IF(ISNUMBER(E$6),IF(AND(E$6&gt;=MTP_BaseYear,E$6&lt;=OutturnThrough),'Step 2 - Update outturn data'!F27,D29*(1+INDEX($D$96:$J$96,MATCH(E$6,$D$92:$J$92,0))/100)),"")</f>
        <v>40.652300000000004</v>
      </c>
      <c r="F29" s="277">
        <f>IF(ISNUMBER(F$6),IF(AND(F$6&gt;=MTP_BaseYear,F$6&lt;=OutturnThrough),'Step 2 - Update outturn data'!G27,E29*(1+INDEX($D$96:$J$96,MATCH(F$6,$D$92:$J$92,0))/100)),"")</f>
        <v>43.026199999999996</v>
      </c>
      <c r="G29" s="277">
        <f>IF(ISNUMBER(G$6),IF(AND(G$6&gt;=MTP_BaseYear,G$6&lt;=OutturnThrough),'Step 2 - Update outturn data'!H27,F29*(1+INDEX($D$96:$J$96,MATCH(G$6,$D$92:$J$92,0))/100)),"")</f>
        <v>45.65079819999999</v>
      </c>
      <c r="H29" s="277" t="str">
        <f>IF(ISNUMBER(H$6),IF(AND(H$6&gt;=MTP_BaseYear,H$6&lt;=OutturnThrough),'Step 2 - Update outturn data'!I27,G29*(1+INDEX($D$96:$J$96,MATCH(H$6,$D$92:$J$92,0))/100)),"")</f>
        <v/>
      </c>
      <c r="I29" s="277" t="str">
        <f>IF(ISNUMBER(I$6),IF(AND(I$6&gt;=MTP_BaseYear,I$6&lt;=OutturnThrough),'Step 2 - Update outturn data'!#REF!,H29*(1+INDEX($D$96:$J$96,MATCH(I$6,$D$92:$J$92,0))/100)),"")</f>
        <v/>
      </c>
      <c r="J29" s="277"/>
      <c r="K29" s="37"/>
      <c r="L29" s="37"/>
      <c r="M29" s="37"/>
      <c r="N29" s="37"/>
    </row>
    <row r="33" spans="1:11" ht="23.25" x14ac:dyDescent="0.7">
      <c r="A33" s="13" t="s">
        <v>787</v>
      </c>
    </row>
    <row r="34" spans="1:11" x14ac:dyDescent="0.4">
      <c r="A34" s="235"/>
      <c r="B34" s="235"/>
      <c r="C34" s="235"/>
      <c r="D34" s="235">
        <f>P9</f>
        <v>2023</v>
      </c>
      <c r="E34" s="271" cm="1">
        <f t="array" ref="E34:H34">_xlfn.SEQUENCE(1, AssessmentEnd-P9+1, P9)</f>
        <v>2023</v>
      </c>
      <c r="F34" s="271">
        <v>2024</v>
      </c>
      <c r="G34" s="271">
        <v>2025</v>
      </c>
      <c r="H34" s="271">
        <v>2026</v>
      </c>
      <c r="I34" s="271"/>
      <c r="J34" s="271"/>
      <c r="K34" s="271"/>
    </row>
    <row r="35" spans="1:11" x14ac:dyDescent="0.4">
      <c r="A35" s="212"/>
      <c r="B35" s="212" t="s">
        <v>30</v>
      </c>
      <c r="C35" s="212" t="s">
        <v>31</v>
      </c>
      <c r="D35" s="235" t="s">
        <v>6</v>
      </c>
      <c r="E35" s="271" t="str" cm="1">
        <f t="array" ref="E35:H35">IF(ISNUMBER(_xlfn.ANCHORARRAY(E$34)),"% of GDP","")</f>
        <v>% of GDP</v>
      </c>
      <c r="F35" s="271" t="str">
        <v>% of GDP</v>
      </c>
      <c r="G35" s="271" t="str">
        <v>% of GDP</v>
      </c>
      <c r="H35" s="271" t="str">
        <v>% of GDP</v>
      </c>
      <c r="I35" s="271"/>
      <c r="J35" s="271"/>
      <c r="K35" s="271"/>
    </row>
    <row r="36" spans="1:11" x14ac:dyDescent="0.4">
      <c r="A36" s="212">
        <v>1</v>
      </c>
      <c r="B36" s="242" t="s">
        <v>32</v>
      </c>
      <c r="C36" s="242" t="s">
        <v>72</v>
      </c>
      <c r="D36" s="4">
        <v>5.6</v>
      </c>
      <c r="E36" s="4">
        <v>14.1</v>
      </c>
      <c r="F36" s="4">
        <v>14.4</v>
      </c>
      <c r="G36" s="4">
        <v>14.2</v>
      </c>
      <c r="H36" s="4">
        <v>14.2</v>
      </c>
      <c r="I36" s="4"/>
      <c r="J36" s="4"/>
    </row>
    <row r="37" spans="1:11" x14ac:dyDescent="0.4">
      <c r="A37" s="212">
        <v>2</v>
      </c>
      <c r="B37" s="242" t="s">
        <v>33</v>
      </c>
      <c r="C37" s="242" t="s">
        <v>73</v>
      </c>
      <c r="D37" s="4">
        <v>3.1</v>
      </c>
      <c r="E37" s="4">
        <v>7.9</v>
      </c>
      <c r="F37" s="4">
        <v>9.1999999999999993</v>
      </c>
      <c r="G37" s="4">
        <v>8.5</v>
      </c>
      <c r="H37" s="4">
        <v>8.4</v>
      </c>
      <c r="I37" s="4"/>
      <c r="J37" s="4"/>
    </row>
    <row r="38" spans="1:11" x14ac:dyDescent="0.4">
      <c r="A38" s="212">
        <v>3</v>
      </c>
      <c r="B38" s="242" t="s">
        <v>34</v>
      </c>
      <c r="C38" s="242" t="s">
        <v>74</v>
      </c>
      <c r="D38" s="4">
        <v>4.3</v>
      </c>
      <c r="E38" s="4">
        <v>10.8</v>
      </c>
      <c r="F38" s="4">
        <v>11.5</v>
      </c>
      <c r="G38" s="4">
        <v>11.7</v>
      </c>
      <c r="H38" s="4">
        <v>11.8</v>
      </c>
      <c r="I38" s="4"/>
      <c r="J38" s="4"/>
    </row>
    <row r="39" spans="1:11" x14ac:dyDescent="0.4">
      <c r="A39" s="212">
        <v>4</v>
      </c>
      <c r="B39" s="242" t="s">
        <v>36</v>
      </c>
      <c r="C39" s="242" t="s">
        <v>75</v>
      </c>
      <c r="D39" s="4">
        <v>2.9</v>
      </c>
      <c r="E39" s="4">
        <v>7.4</v>
      </c>
      <c r="F39" s="4">
        <v>7.5</v>
      </c>
      <c r="G39" s="4">
        <v>7</v>
      </c>
      <c r="H39" s="4">
        <v>6.1</v>
      </c>
      <c r="I39" s="4"/>
      <c r="J39" s="4"/>
    </row>
    <row r="40" spans="1:11" x14ac:dyDescent="0.4">
      <c r="A40" s="212">
        <v>5</v>
      </c>
      <c r="B40" s="242" t="s">
        <v>37</v>
      </c>
      <c r="C40" s="242" t="s">
        <v>76</v>
      </c>
      <c r="D40" s="4">
        <v>0</v>
      </c>
      <c r="E40" s="4">
        <v>0</v>
      </c>
      <c r="F40" s="4">
        <v>0</v>
      </c>
      <c r="G40" s="4">
        <v>0</v>
      </c>
      <c r="H40" s="4">
        <v>0</v>
      </c>
      <c r="I40" s="4"/>
      <c r="J40" s="4"/>
    </row>
    <row r="41" spans="1:11" x14ac:dyDescent="0.4">
      <c r="A41" s="212">
        <v>6</v>
      </c>
      <c r="B41" s="242" t="s">
        <v>38</v>
      </c>
      <c r="C41" s="242" t="s">
        <v>77</v>
      </c>
      <c r="D41" s="4">
        <v>0.3</v>
      </c>
      <c r="E41" s="4">
        <v>0.9</v>
      </c>
      <c r="F41" s="4">
        <v>0.9</v>
      </c>
      <c r="G41" s="4">
        <v>1.4</v>
      </c>
      <c r="H41" s="4">
        <v>1.5</v>
      </c>
      <c r="I41" s="4"/>
      <c r="J41" s="4"/>
    </row>
    <row r="42" spans="1:11" x14ac:dyDescent="0.4">
      <c r="A42" s="212">
        <v>7</v>
      </c>
      <c r="B42" s="242" t="s">
        <v>39</v>
      </c>
      <c r="C42" s="242" t="s">
        <v>78</v>
      </c>
      <c r="D42" s="242">
        <v>16.3</v>
      </c>
      <c r="E42" s="242">
        <v>41.1</v>
      </c>
      <c r="F42" s="242">
        <v>43.5</v>
      </c>
      <c r="G42" s="242">
        <v>43</v>
      </c>
      <c r="H42" s="242">
        <v>42.1</v>
      </c>
      <c r="I42" s="242"/>
      <c r="J42" s="242"/>
    </row>
    <row r="43" spans="1:11" x14ac:dyDescent="0.4">
      <c r="A43" s="212">
        <v>8</v>
      </c>
      <c r="B43" s="242" t="s">
        <v>40</v>
      </c>
      <c r="C43" s="242" t="s">
        <v>79</v>
      </c>
      <c r="D43" s="4">
        <v>0.7</v>
      </c>
      <c r="E43" s="4">
        <v>1.9</v>
      </c>
      <c r="F43" s="4">
        <v>1.9</v>
      </c>
      <c r="G43" s="4">
        <v>1.9</v>
      </c>
      <c r="H43" s="4">
        <v>2</v>
      </c>
      <c r="I43" s="4"/>
      <c r="J43" s="4"/>
    </row>
    <row r="44" spans="1:11" x14ac:dyDescent="0.4">
      <c r="A44" s="212">
        <v>9</v>
      </c>
      <c r="B44" s="242" t="s">
        <v>41</v>
      </c>
      <c r="C44" s="242"/>
      <c r="D44" s="242">
        <v>15.5</v>
      </c>
      <c r="E44" s="242">
        <v>39.200000000000003</v>
      </c>
      <c r="F44" s="242">
        <v>41.6</v>
      </c>
      <c r="G44" s="242">
        <v>41.1</v>
      </c>
      <c r="H44" s="242">
        <v>40.1</v>
      </c>
      <c r="I44" s="242"/>
      <c r="J44" s="242"/>
    </row>
    <row r="45" spans="1:11" x14ac:dyDescent="0.4">
      <c r="A45" s="212">
        <v>10</v>
      </c>
      <c r="B45" s="242" t="s">
        <v>42</v>
      </c>
      <c r="C45" s="242"/>
      <c r="D45" s="4">
        <v>0.1</v>
      </c>
      <c r="E45" s="4">
        <v>-0.2</v>
      </c>
      <c r="F45" s="4">
        <v>0.6</v>
      </c>
      <c r="G45" s="4">
        <v>0.1</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1" t="str" cm="1">
        <f t="array" ref="E47:H47">IF(ISNUMBER(_xlfn.ANCHORARRAY(E$34)),"% of GDP","")</f>
        <v>% of GDP</v>
      </c>
      <c r="F47" s="271" t="str">
        <v>% of GDP</v>
      </c>
      <c r="G47" s="271" t="str">
        <v>% of GDP</v>
      </c>
      <c r="H47" s="271" t="str">
        <v>% of GDP</v>
      </c>
      <c r="I47" s="271"/>
      <c r="J47" s="271"/>
      <c r="K47" s="271"/>
    </row>
    <row r="48" spans="1:11" x14ac:dyDescent="0.4">
      <c r="A48" s="212">
        <v>12</v>
      </c>
      <c r="B48" s="225" t="s">
        <v>44</v>
      </c>
      <c r="C48" s="225" t="s">
        <v>5</v>
      </c>
      <c r="D48" s="4">
        <v>4.8</v>
      </c>
      <c r="E48" s="4">
        <v>12.1</v>
      </c>
      <c r="F48" s="4">
        <v>13.1</v>
      </c>
      <c r="G48" s="4">
        <v>13.1</v>
      </c>
      <c r="H48" s="4">
        <v>12.8</v>
      </c>
      <c r="I48" s="4"/>
      <c r="J48" s="4"/>
    </row>
    <row r="49" spans="1:10" x14ac:dyDescent="0.4">
      <c r="A49" s="212">
        <v>13</v>
      </c>
      <c r="B49" s="225" t="s">
        <v>45</v>
      </c>
      <c r="C49" s="225" t="s">
        <v>80</v>
      </c>
      <c r="D49" s="4">
        <v>2.5</v>
      </c>
      <c r="E49" s="4">
        <v>6.3</v>
      </c>
      <c r="F49" s="4">
        <v>6.1</v>
      </c>
      <c r="G49" s="4">
        <v>6.3</v>
      </c>
      <c r="H49" s="4">
        <v>6.2</v>
      </c>
      <c r="I49" s="4"/>
      <c r="J49" s="4"/>
    </row>
    <row r="50" spans="1:10" x14ac:dyDescent="0.4">
      <c r="A50" s="212">
        <v>14</v>
      </c>
      <c r="B50" s="225" t="s">
        <v>46</v>
      </c>
      <c r="C50" s="225" t="s">
        <v>28</v>
      </c>
      <c r="D50" s="4">
        <v>0.3</v>
      </c>
      <c r="E50" s="4">
        <v>0.7</v>
      </c>
      <c r="F50" s="4">
        <v>1.1000000000000001</v>
      </c>
      <c r="G50" s="4">
        <v>1.2</v>
      </c>
      <c r="H50" s="4">
        <v>1.3</v>
      </c>
      <c r="I50" s="4"/>
      <c r="J50" s="4"/>
    </row>
    <row r="51" spans="1:10" x14ac:dyDescent="0.4">
      <c r="A51" s="212">
        <v>15</v>
      </c>
      <c r="B51" s="225" t="s">
        <v>47</v>
      </c>
      <c r="C51" s="225" t="s">
        <v>81</v>
      </c>
      <c r="D51" s="4">
        <v>4.7</v>
      </c>
      <c r="E51" s="4">
        <v>11.9</v>
      </c>
      <c r="F51" s="4">
        <v>12.5</v>
      </c>
      <c r="G51" s="4">
        <v>12.8</v>
      </c>
      <c r="H51" s="4">
        <v>13.2</v>
      </c>
      <c r="I51" s="4"/>
      <c r="J51" s="4"/>
    </row>
    <row r="52" spans="1:10" x14ac:dyDescent="0.4">
      <c r="A52" s="212">
        <v>16</v>
      </c>
      <c r="B52" s="225" t="s">
        <v>48</v>
      </c>
      <c r="C52" s="225" t="s">
        <v>82</v>
      </c>
      <c r="D52" s="4">
        <v>0.8</v>
      </c>
      <c r="E52" s="4">
        <v>2.1</v>
      </c>
      <c r="F52" s="4">
        <v>2.1</v>
      </c>
      <c r="G52" s="4">
        <v>2</v>
      </c>
      <c r="H52" s="4">
        <v>2.2000000000000002</v>
      </c>
      <c r="I52" s="4"/>
      <c r="J52" s="4"/>
    </row>
    <row r="53" spans="1:10" x14ac:dyDescent="0.4">
      <c r="A53" s="212">
        <v>17</v>
      </c>
      <c r="B53" s="225" t="s">
        <v>49</v>
      </c>
      <c r="C53" s="225" t="s">
        <v>83</v>
      </c>
      <c r="D53" s="4">
        <v>0.6</v>
      </c>
      <c r="E53" s="4">
        <v>1.6</v>
      </c>
      <c r="F53" s="4">
        <v>0.9</v>
      </c>
      <c r="G53" s="4">
        <v>0.8</v>
      </c>
      <c r="H53" s="4">
        <v>0.8</v>
      </c>
      <c r="I53" s="4"/>
      <c r="J53" s="4"/>
    </row>
    <row r="54" spans="1:10" x14ac:dyDescent="0.4">
      <c r="A54" s="212">
        <v>18</v>
      </c>
      <c r="B54" s="225" t="s">
        <v>50</v>
      </c>
      <c r="C54" s="225" t="s">
        <v>84</v>
      </c>
      <c r="D54" s="4">
        <v>1.1000000000000001</v>
      </c>
      <c r="E54" s="4">
        <v>2.7</v>
      </c>
      <c r="F54" s="4">
        <v>2.4</v>
      </c>
      <c r="G54" s="4">
        <v>2.7</v>
      </c>
      <c r="H54" s="4">
        <v>1.6</v>
      </c>
      <c r="I54" s="4"/>
      <c r="J54" s="4"/>
    </row>
    <row r="55" spans="1:10" x14ac:dyDescent="0.4">
      <c r="A55" s="212">
        <v>19</v>
      </c>
      <c r="B55" s="225" t="s">
        <v>10</v>
      </c>
      <c r="C55" s="225" t="s">
        <v>4</v>
      </c>
      <c r="D55" s="4">
        <v>2.2000000000000002</v>
      </c>
      <c r="E55" s="4">
        <v>5.6</v>
      </c>
      <c r="F55" s="4">
        <v>6.3</v>
      </c>
      <c r="G55" s="4">
        <v>6.1</v>
      </c>
      <c r="H55" s="4">
        <v>6.5</v>
      </c>
      <c r="I55" s="4"/>
      <c r="J55" s="4"/>
    </row>
    <row r="56" spans="1:10" x14ac:dyDescent="0.4">
      <c r="A56" s="212">
        <v>20</v>
      </c>
      <c r="B56" s="225" t="s">
        <v>51</v>
      </c>
      <c r="C56" s="225"/>
      <c r="D56" s="4">
        <v>1.9</v>
      </c>
      <c r="E56" s="4">
        <v>4.8</v>
      </c>
      <c r="F56" s="4">
        <v>5.5</v>
      </c>
      <c r="G56" s="4">
        <v>4.9000000000000004</v>
      </c>
      <c r="H56" s="4">
        <v>5.3</v>
      </c>
      <c r="I56" s="4"/>
      <c r="J56" s="4"/>
    </row>
    <row r="57" spans="1:10" x14ac:dyDescent="0.4">
      <c r="A57" s="212">
        <v>21</v>
      </c>
      <c r="B57" s="225" t="s">
        <v>52</v>
      </c>
      <c r="C57" s="225" t="s">
        <v>85</v>
      </c>
      <c r="D57" s="4">
        <v>0.1</v>
      </c>
      <c r="E57" s="4">
        <v>0.2</v>
      </c>
      <c r="F57" s="4">
        <v>0.3</v>
      </c>
      <c r="G57" s="4">
        <v>0.3</v>
      </c>
      <c r="H57" s="4">
        <v>0.2</v>
      </c>
      <c r="I57" s="4"/>
      <c r="J57" s="4"/>
    </row>
    <row r="58" spans="1:10" x14ac:dyDescent="0.4">
      <c r="A58" s="212">
        <v>22</v>
      </c>
      <c r="B58" s="225" t="s">
        <v>53</v>
      </c>
      <c r="C58" s="225" t="s">
        <v>86</v>
      </c>
      <c r="D58" s="4">
        <v>0.1</v>
      </c>
      <c r="E58" s="4">
        <v>0.1</v>
      </c>
      <c r="F58" s="4">
        <v>0.4</v>
      </c>
      <c r="G58" s="4">
        <v>0</v>
      </c>
      <c r="H58" s="4">
        <v>0.3</v>
      </c>
      <c r="I58" s="4"/>
      <c r="J58" s="4"/>
    </row>
    <row r="59" spans="1:10" x14ac:dyDescent="0.4">
      <c r="A59" s="212">
        <v>23</v>
      </c>
      <c r="B59" s="225" t="s">
        <v>54</v>
      </c>
      <c r="C59" s="225" t="s">
        <v>87</v>
      </c>
      <c r="D59" s="242">
        <v>17.2</v>
      </c>
      <c r="E59" s="242">
        <v>43.4</v>
      </c>
      <c r="F59" s="242">
        <v>45.3</v>
      </c>
      <c r="G59" s="242">
        <v>45.3</v>
      </c>
      <c r="H59" s="242">
        <v>45.1</v>
      </c>
      <c r="I59" s="242"/>
      <c r="J59" s="242"/>
    </row>
    <row r="60" spans="1:10" x14ac:dyDescent="0.4">
      <c r="A60" s="212">
        <v>24</v>
      </c>
      <c r="B60" s="225" t="s">
        <v>55</v>
      </c>
      <c r="C60" s="225" t="s">
        <v>79</v>
      </c>
      <c r="D60" s="4">
        <v>0.7</v>
      </c>
      <c r="E60" s="4">
        <v>1.9</v>
      </c>
      <c r="F60" s="4">
        <v>1.9</v>
      </c>
      <c r="G60" s="4">
        <v>1.9</v>
      </c>
      <c r="H60" s="4">
        <v>2</v>
      </c>
      <c r="I60" s="4"/>
      <c r="J60" s="4"/>
    </row>
    <row r="61" spans="1:10" x14ac:dyDescent="0.4">
      <c r="A61" s="212">
        <v>25</v>
      </c>
      <c r="B61" s="225" t="s">
        <v>56</v>
      </c>
      <c r="C61" s="225"/>
      <c r="D61" s="242">
        <v>16.5</v>
      </c>
      <c r="E61" s="242">
        <v>41.6</v>
      </c>
      <c r="F61" s="242">
        <v>43.4</v>
      </c>
      <c r="G61" s="242">
        <v>43.4</v>
      </c>
      <c r="H61" s="242">
        <v>43.1</v>
      </c>
      <c r="I61" s="242"/>
      <c r="J61" s="242"/>
    </row>
    <row r="62" spans="1:10" x14ac:dyDescent="0.4">
      <c r="A62" s="212">
        <v>26</v>
      </c>
      <c r="B62" s="225" t="s">
        <v>736</v>
      </c>
      <c r="C62" s="225"/>
      <c r="D62" s="4">
        <v>0.2</v>
      </c>
      <c r="E62" s="4">
        <v>0.4</v>
      </c>
      <c r="F62" s="4">
        <v>0.3</v>
      </c>
      <c r="G62" s="4">
        <v>0.5</v>
      </c>
      <c r="H62" s="4">
        <v>0.5</v>
      </c>
      <c r="I62" s="4"/>
      <c r="J62" s="4"/>
    </row>
    <row r="63" spans="1:10" x14ac:dyDescent="0.4">
      <c r="A63" s="212">
        <v>27</v>
      </c>
      <c r="B63" s="225" t="s">
        <v>57</v>
      </c>
      <c r="C63" s="225"/>
      <c r="D63" s="4">
        <v>-0.01</v>
      </c>
      <c r="E63" s="4">
        <v>-0.02</v>
      </c>
      <c r="F63" s="4">
        <v>0.02</v>
      </c>
      <c r="G63" s="4">
        <v>0.03</v>
      </c>
      <c r="H63" s="4">
        <v>0.02</v>
      </c>
      <c r="I63" s="4"/>
      <c r="J63" s="4"/>
    </row>
    <row r="64" spans="1:10" x14ac:dyDescent="0.4">
      <c r="A64" s="212">
        <v>28</v>
      </c>
      <c r="B64" s="225" t="s">
        <v>58</v>
      </c>
      <c r="C64" s="225"/>
      <c r="D64" s="4">
        <v>0</v>
      </c>
      <c r="E64" s="4">
        <v>0</v>
      </c>
      <c r="F64" s="4">
        <v>0</v>
      </c>
      <c r="G64" s="4">
        <v>0</v>
      </c>
      <c r="H64" s="4">
        <v>0</v>
      </c>
      <c r="I64" s="4"/>
      <c r="J64" s="4"/>
    </row>
    <row r="65" spans="1:11" x14ac:dyDescent="0.4">
      <c r="A65" s="212">
        <v>29</v>
      </c>
      <c r="B65" s="225" t="s">
        <v>59</v>
      </c>
      <c r="C65" s="225"/>
      <c r="D65" s="242">
        <v>16</v>
      </c>
      <c r="E65" s="242">
        <v>40.5</v>
      </c>
      <c r="F65" s="242">
        <v>42</v>
      </c>
      <c r="G65" s="242">
        <v>41.8</v>
      </c>
      <c r="H65" s="242">
        <v>41.3</v>
      </c>
      <c r="I65" s="242"/>
      <c r="J65" s="242"/>
    </row>
    <row r="66" spans="1:11" x14ac:dyDescent="0.4">
      <c r="A66" s="212"/>
      <c r="B66" s="212" t="s">
        <v>35</v>
      </c>
      <c r="C66" s="212"/>
      <c r="D66" s="237"/>
      <c r="E66" s="271" t="str" cm="1">
        <f t="array" ref="E66:H66">IF(ISNUMBER(_xlfn.ANCHORARRAY(E$34)),"growth rate","")</f>
        <v>growth rate</v>
      </c>
      <c r="F66" s="271" t="str">
        <v>growth rate</v>
      </c>
      <c r="G66" s="271" t="str">
        <v>growth rate</v>
      </c>
      <c r="H66" s="271" t="str">
        <v>growth rate</v>
      </c>
      <c r="I66" s="271"/>
      <c r="J66" s="271"/>
      <c r="K66" s="271"/>
    </row>
    <row r="67" spans="1:11" ht="14.25" x14ac:dyDescent="0.45">
      <c r="A67" s="212">
        <v>30</v>
      </c>
      <c r="B67" s="225" t="s">
        <v>811</v>
      </c>
      <c r="C67" s="225" t="s">
        <v>737</v>
      </c>
      <c r="D67" s="244"/>
      <c r="E67" s="4"/>
      <c r="F67" s="4">
        <v>5.2</v>
      </c>
      <c r="G67" s="4">
        <v>5</v>
      </c>
      <c r="H67" s="4">
        <v>5.3</v>
      </c>
      <c r="I67" s="4"/>
      <c r="J67" s="4"/>
    </row>
    <row r="68" spans="1:11" x14ac:dyDescent="0.4">
      <c r="A68" s="212"/>
      <c r="B68" s="212" t="s">
        <v>60</v>
      </c>
      <c r="C68" s="212"/>
      <c r="D68" s="237" t="s">
        <v>6</v>
      </c>
      <c r="E68" s="271" t="s">
        <v>599</v>
      </c>
      <c r="F68" s="271" t="s">
        <v>599</v>
      </c>
      <c r="G68" s="271" t="s">
        <v>599</v>
      </c>
      <c r="H68" s="271" t="s">
        <v>599</v>
      </c>
      <c r="I68" s="271" t="s">
        <v>599</v>
      </c>
      <c r="J68" s="271" t="s">
        <v>599</v>
      </c>
      <c r="K68" s="271"/>
    </row>
    <row r="69" spans="1:11" x14ac:dyDescent="0.4">
      <c r="A69" s="212">
        <v>31</v>
      </c>
      <c r="B69" s="225" t="s">
        <v>61</v>
      </c>
      <c r="C69" s="225" t="s">
        <v>27</v>
      </c>
      <c r="D69" s="4">
        <v>-0.9</v>
      </c>
      <c r="E69" s="4">
        <v>-2.4</v>
      </c>
      <c r="F69" s="4">
        <v>-1.8</v>
      </c>
      <c r="G69" s="4">
        <v>-2.4</v>
      </c>
      <c r="H69" s="4">
        <v>-3</v>
      </c>
      <c r="I69" s="4"/>
      <c r="J69" s="4"/>
    </row>
    <row r="70" spans="1:11" x14ac:dyDescent="0.4">
      <c r="A70" s="212">
        <v>32</v>
      </c>
      <c r="B70" s="225" t="s">
        <v>62</v>
      </c>
      <c r="C70" s="225" t="s">
        <v>88</v>
      </c>
      <c r="D70" s="4">
        <v>-0.6</v>
      </c>
      <c r="E70" s="4">
        <v>-1.6</v>
      </c>
      <c r="F70" s="4">
        <v>-0.7</v>
      </c>
      <c r="G70" s="4">
        <v>-1.2</v>
      </c>
      <c r="H70" s="4">
        <v>-1.7</v>
      </c>
      <c r="I70" s="4"/>
      <c r="J70" s="4"/>
    </row>
    <row r="71" spans="1:11" x14ac:dyDescent="0.4">
      <c r="A71" s="212"/>
      <c r="B71" s="212" t="s">
        <v>63</v>
      </c>
      <c r="C71" s="212"/>
      <c r="D71" s="237"/>
      <c r="E71" s="271" t="s">
        <v>599</v>
      </c>
      <c r="F71" s="271" t="s">
        <v>599</v>
      </c>
      <c r="G71" s="271" t="s">
        <v>599</v>
      </c>
      <c r="H71" s="271" t="s">
        <v>599</v>
      </c>
      <c r="I71" s="271" t="s">
        <v>599</v>
      </c>
      <c r="J71" s="271" t="s">
        <v>599</v>
      </c>
      <c r="K71" s="271"/>
    </row>
    <row r="72" spans="1:11" ht="14.25" x14ac:dyDescent="0.45">
      <c r="A72" s="212">
        <v>33</v>
      </c>
      <c r="B72" s="225" t="s">
        <v>0</v>
      </c>
      <c r="C72" s="225"/>
      <c r="D72" s="244"/>
      <c r="E72" s="4">
        <v>-2.2000000000000002</v>
      </c>
      <c r="F72" s="4">
        <v>-1</v>
      </c>
      <c r="G72" s="4">
        <v>-1.7</v>
      </c>
      <c r="H72" s="4">
        <v>-2.6</v>
      </c>
      <c r="I72" s="4"/>
      <c r="J72" s="4"/>
    </row>
    <row r="73" spans="1:11" ht="14.25" x14ac:dyDescent="0.45">
      <c r="A73" s="212">
        <v>34</v>
      </c>
      <c r="B73" s="225" t="s">
        <v>3</v>
      </c>
      <c r="C73" s="225"/>
      <c r="D73" s="244"/>
      <c r="E73" s="4">
        <v>-1.5</v>
      </c>
      <c r="F73" s="4">
        <v>0.05</v>
      </c>
      <c r="G73" s="4">
        <v>-0.6</v>
      </c>
      <c r="H73" s="4">
        <v>-1.3</v>
      </c>
      <c r="I73" s="4"/>
      <c r="J73" s="4"/>
    </row>
    <row r="74" spans="1:11" x14ac:dyDescent="0.4">
      <c r="A74" s="212"/>
      <c r="B74" s="212" t="s">
        <v>20</v>
      </c>
      <c r="C74" s="212"/>
      <c r="D74" s="237" t="s">
        <v>6</v>
      </c>
      <c r="E74" s="271" t="s">
        <v>599</v>
      </c>
      <c r="F74" s="271" t="s">
        <v>599</v>
      </c>
      <c r="G74" s="271" t="s">
        <v>599</v>
      </c>
      <c r="H74" s="271" t="s">
        <v>599</v>
      </c>
      <c r="I74" s="271" t="s">
        <v>599</v>
      </c>
      <c r="J74" s="271" t="s">
        <v>599</v>
      </c>
      <c r="K74" s="271"/>
    </row>
    <row r="75" spans="1:11" x14ac:dyDescent="0.4">
      <c r="A75" s="212">
        <v>35</v>
      </c>
      <c r="B75" s="225" t="s">
        <v>1</v>
      </c>
      <c r="C75" s="225"/>
      <c r="D75" s="4">
        <v>17.600000000000001</v>
      </c>
      <c r="E75" s="4">
        <v>44.4</v>
      </c>
      <c r="F75" s="4">
        <v>46.2</v>
      </c>
      <c r="G75" s="4">
        <v>47</v>
      </c>
      <c r="H75" s="4">
        <v>47.9</v>
      </c>
      <c r="I75" s="4"/>
      <c r="J75" s="4"/>
    </row>
    <row r="76" spans="1:11" x14ac:dyDescent="0.4">
      <c r="A76" s="212">
        <v>36</v>
      </c>
      <c r="B76" s="225" t="s">
        <v>2</v>
      </c>
      <c r="C76" s="225"/>
      <c r="D76" s="4">
        <v>1.5</v>
      </c>
      <c r="E76" s="4">
        <v>-0.01</v>
      </c>
      <c r="F76" s="4">
        <v>1.8</v>
      </c>
      <c r="G76" s="4">
        <v>0.8</v>
      </c>
      <c r="H76" s="4">
        <v>0.9</v>
      </c>
      <c r="I76" s="4"/>
      <c r="J76" s="4"/>
    </row>
    <row r="77" spans="1:11" x14ac:dyDescent="0.4">
      <c r="A77" s="212">
        <v>37</v>
      </c>
      <c r="B77" s="225" t="s">
        <v>64</v>
      </c>
      <c r="C77" s="225"/>
      <c r="D77" s="280"/>
      <c r="E77" s="280"/>
      <c r="F77" s="280"/>
      <c r="G77" s="280"/>
      <c r="H77" s="280"/>
      <c r="I77" s="280"/>
      <c r="J77" s="280"/>
    </row>
    <row r="78" spans="1:11" ht="14.25" x14ac:dyDescent="0.45">
      <c r="A78" s="212">
        <v>38</v>
      </c>
      <c r="B78" s="240" t="s">
        <v>738</v>
      </c>
      <c r="C78" s="225"/>
      <c r="D78" s="244"/>
      <c r="E78" s="4">
        <v>1.6</v>
      </c>
      <c r="F78" s="4">
        <v>0.7</v>
      </c>
      <c r="G78" s="4">
        <v>1.2</v>
      </c>
      <c r="H78" s="4">
        <v>1.7</v>
      </c>
      <c r="I78" s="4"/>
      <c r="J78" s="4"/>
    </row>
    <row r="79" spans="1:11" ht="14.25" x14ac:dyDescent="0.45">
      <c r="A79" s="212">
        <v>39</v>
      </c>
      <c r="B79" s="240" t="s">
        <v>739</v>
      </c>
      <c r="C79" s="225"/>
      <c r="D79" s="244"/>
      <c r="E79" s="4">
        <v>-3.2</v>
      </c>
      <c r="F79" s="4">
        <v>-0.1</v>
      </c>
      <c r="G79" s="4">
        <v>-1.4</v>
      </c>
      <c r="H79" s="4">
        <v>-1.4</v>
      </c>
      <c r="I79" s="4"/>
      <c r="J79" s="4"/>
    </row>
    <row r="80" spans="1:11" ht="14.25" x14ac:dyDescent="0.45">
      <c r="A80" s="212">
        <v>40</v>
      </c>
      <c r="B80" s="241" t="s">
        <v>740</v>
      </c>
      <c r="C80" s="225"/>
      <c r="D80" s="244"/>
      <c r="E80" s="4">
        <v>0.7</v>
      </c>
      <c r="F80" s="4">
        <v>1.1000000000000001</v>
      </c>
      <c r="G80" s="4">
        <v>1.2</v>
      </c>
      <c r="H80" s="4">
        <v>1.3</v>
      </c>
      <c r="I80" s="4"/>
      <c r="J80" s="4"/>
    </row>
    <row r="81" spans="1:11" ht="14.25" x14ac:dyDescent="0.45">
      <c r="A81" s="212">
        <v>41</v>
      </c>
      <c r="B81" s="241" t="s">
        <v>741</v>
      </c>
      <c r="C81" s="225"/>
      <c r="D81" s="244"/>
      <c r="E81" s="4">
        <v>0.4</v>
      </c>
      <c r="F81" s="4">
        <v>0</v>
      </c>
      <c r="G81" s="4">
        <v>-0.9</v>
      </c>
      <c r="H81" s="4">
        <v>-1.2</v>
      </c>
      <c r="I81" s="4"/>
      <c r="J81" s="4"/>
    </row>
    <row r="82" spans="1:11" ht="14.25" x14ac:dyDescent="0.45">
      <c r="A82" s="212">
        <v>42</v>
      </c>
      <c r="B82" s="241" t="s">
        <v>742</v>
      </c>
      <c r="C82" s="225"/>
      <c r="D82" s="244"/>
      <c r="E82" s="4">
        <v>-4.3</v>
      </c>
      <c r="F82" s="4">
        <v>-1.2</v>
      </c>
      <c r="G82" s="4">
        <v>-1.6</v>
      </c>
      <c r="H82" s="4">
        <v>-1.5</v>
      </c>
      <c r="I82" s="4"/>
      <c r="J82" s="4"/>
    </row>
    <row r="83" spans="1:11" ht="14.25" x14ac:dyDescent="0.45">
      <c r="A83" s="212">
        <v>43</v>
      </c>
      <c r="B83" s="240" t="s">
        <v>743</v>
      </c>
      <c r="C83" s="225"/>
      <c r="D83" s="244"/>
      <c r="E83" s="4">
        <v>1.5</v>
      </c>
      <c r="F83" s="4">
        <v>1.2</v>
      </c>
      <c r="G83" s="4">
        <v>1</v>
      </c>
      <c r="H83" s="4">
        <v>0.6</v>
      </c>
      <c r="I83" s="4"/>
      <c r="J83" s="4"/>
    </row>
    <row r="84" spans="1:11" x14ac:dyDescent="0.4">
      <c r="A84" s="212"/>
      <c r="B84" s="212"/>
      <c r="C84" s="212"/>
      <c r="D84" s="237"/>
      <c r="E84" s="271" t="str" cm="1">
        <f t="array" ref="E84:H84">IF(ISNUMBER(_xlfn.ANCHORARRAY(E$34)),"%","")</f>
        <v>%</v>
      </c>
      <c r="F84" s="271" t="str">
        <v>%</v>
      </c>
      <c r="G84" s="271" t="str">
        <v>%</v>
      </c>
      <c r="H84" s="271" t="str">
        <v>%</v>
      </c>
      <c r="I84" s="271"/>
      <c r="J84" s="271"/>
      <c r="K84" s="271"/>
    </row>
    <row r="85" spans="1:11" ht="14.25" x14ac:dyDescent="0.45">
      <c r="A85" s="212">
        <v>44</v>
      </c>
      <c r="B85" s="225" t="s">
        <v>71</v>
      </c>
      <c r="C85" s="225"/>
      <c r="D85" s="244"/>
      <c r="E85" s="4">
        <v>1.8</v>
      </c>
      <c r="F85" s="4">
        <v>2.5</v>
      </c>
      <c r="G85" s="4">
        <v>2.7</v>
      </c>
      <c r="H85" s="4">
        <v>3</v>
      </c>
      <c r="I85" s="4"/>
      <c r="J85" s="4"/>
    </row>
    <row r="86" spans="1:11" x14ac:dyDescent="0.4">
      <c r="A86" s="212"/>
      <c r="B86" s="212"/>
      <c r="C86" s="212"/>
      <c r="D86" s="237" t="s">
        <v>6</v>
      </c>
      <c r="E86" s="271" t="s">
        <v>599</v>
      </c>
      <c r="F86" s="271" t="s">
        <v>599</v>
      </c>
      <c r="G86" s="271" t="s">
        <v>599</v>
      </c>
      <c r="H86" s="271" t="s">
        <v>599</v>
      </c>
      <c r="I86" s="271" t="s">
        <v>599</v>
      </c>
      <c r="J86" s="271" t="s">
        <v>599</v>
      </c>
      <c r="K86" s="271"/>
    </row>
    <row r="87" spans="1:11" x14ac:dyDescent="0.4">
      <c r="A87" s="212">
        <v>45</v>
      </c>
      <c r="B87" s="225" t="s">
        <v>744</v>
      </c>
      <c r="C87" s="225" t="s">
        <v>745</v>
      </c>
      <c r="D87" s="4">
        <v>1</v>
      </c>
      <c r="E87" s="4">
        <v>2.5</v>
      </c>
      <c r="F87" s="4">
        <v>2.6</v>
      </c>
      <c r="G87" s="4">
        <v>3</v>
      </c>
      <c r="H87" s="4">
        <v>4.0999999999999996</v>
      </c>
      <c r="I87" s="4"/>
      <c r="J87" s="4"/>
    </row>
    <row r="88" spans="1:11" x14ac:dyDescent="0.4">
      <c r="A88" s="212">
        <v>46</v>
      </c>
      <c r="B88" s="225" t="s">
        <v>746</v>
      </c>
      <c r="C88" s="225" t="s">
        <v>747</v>
      </c>
      <c r="D88" s="4">
        <v>0.3</v>
      </c>
      <c r="E88" s="4"/>
      <c r="F88" s="4"/>
      <c r="G88" s="4"/>
      <c r="H88" s="4"/>
      <c r="I88" s="4"/>
      <c r="J88" s="4"/>
    </row>
    <row r="89" spans="1:11" x14ac:dyDescent="0.4">
      <c r="E89" s="279"/>
      <c r="F89" s="279"/>
      <c r="G89" s="279"/>
      <c r="H89" s="279"/>
    </row>
    <row r="91" spans="1:11" ht="23.25" x14ac:dyDescent="0.7">
      <c r="A91" s="13" t="s">
        <v>788</v>
      </c>
    </row>
    <row r="92" spans="1:11" x14ac:dyDescent="0.4">
      <c r="A92" s="235"/>
      <c r="B92" s="235" t="s">
        <v>8</v>
      </c>
      <c r="C92" s="235" t="s">
        <v>31</v>
      </c>
      <c r="D92" s="235">
        <f>P9</f>
        <v>2023</v>
      </c>
      <c r="E92" s="271" cm="1">
        <f t="array" ref="E92:J92">_xlfn.SEQUENCE(1, MTP_EndYear-P9+1, P9)</f>
        <v>2023</v>
      </c>
      <c r="F92" s="271">
        <v>2024</v>
      </c>
      <c r="G92" s="271">
        <v>2025</v>
      </c>
      <c r="H92" s="271">
        <v>2026</v>
      </c>
      <c r="I92" s="271">
        <v>2027</v>
      </c>
      <c r="J92" s="271">
        <v>2028</v>
      </c>
      <c r="K92" s="271"/>
    </row>
    <row r="93" spans="1:11" x14ac:dyDescent="0.4">
      <c r="A93" s="212"/>
      <c r="B93" s="212"/>
      <c r="C93" s="212"/>
      <c r="D93" s="235" t="s">
        <v>6</v>
      </c>
      <c r="E93" s="271" t="str" cm="1">
        <f t="array" ref="E93:H93">IF(ISNUMBER(_xlfn.ANCHORARRAY(E$34)),"growth rate","")</f>
        <v>growth rate</v>
      </c>
      <c r="F93" s="271" t="str">
        <v>growth rate</v>
      </c>
      <c r="G93" s="271" t="str">
        <v>growth rate</v>
      </c>
      <c r="H93" s="271" t="str">
        <v>growth rate</v>
      </c>
      <c r="I93" s="271"/>
      <c r="J93" s="271"/>
      <c r="K93" s="271"/>
    </row>
    <row r="94" spans="1:11" ht="14.25" x14ac:dyDescent="0.45">
      <c r="A94" s="212">
        <v>1</v>
      </c>
      <c r="B94" s="225" t="s">
        <v>7</v>
      </c>
      <c r="C94" s="225" t="s">
        <v>748</v>
      </c>
      <c r="D94" s="246"/>
      <c r="E94">
        <v>-0.9</v>
      </c>
      <c r="F94">
        <v>-0.04</v>
      </c>
      <c r="G94">
        <v>2.1</v>
      </c>
      <c r="H94" s="4">
        <v>2.6</v>
      </c>
      <c r="I94" s="4"/>
      <c r="J94" s="4"/>
    </row>
    <row r="95" spans="1:11" ht="14.25" x14ac:dyDescent="0.45">
      <c r="A95" s="212">
        <v>2</v>
      </c>
      <c r="B95" s="225" t="s">
        <v>8</v>
      </c>
      <c r="C95" s="225"/>
      <c r="D95" s="246"/>
      <c r="E95">
        <v>10.7</v>
      </c>
      <c r="F95">
        <v>2.8</v>
      </c>
      <c r="G95">
        <v>3.6</v>
      </c>
      <c r="H95" s="4">
        <v>3.3</v>
      </c>
      <c r="I95" s="4"/>
      <c r="J95" s="4"/>
    </row>
    <row r="96" spans="1:11" x14ac:dyDescent="0.4">
      <c r="A96" s="212">
        <v>3</v>
      </c>
      <c r="B96" s="225" t="s">
        <v>9</v>
      </c>
      <c r="C96" s="225" t="s">
        <v>748</v>
      </c>
      <c r="D96" s="144">
        <v>39.6</v>
      </c>
      <c r="E96">
        <v>9.6</v>
      </c>
      <c r="F96">
        <v>2.8</v>
      </c>
      <c r="G96">
        <v>5.8</v>
      </c>
      <c r="H96" s="4">
        <v>6.1</v>
      </c>
      <c r="I96" s="4"/>
      <c r="J96" s="4"/>
    </row>
    <row r="97" spans="1:11" x14ac:dyDescent="0.4">
      <c r="A97" s="212"/>
      <c r="B97" s="212" t="s">
        <v>749</v>
      </c>
      <c r="C97" s="212"/>
      <c r="D97" s="235" t="s">
        <v>6</v>
      </c>
      <c r="E97" s="271" t="str" cm="1">
        <f t="array" ref="E97:H97">IF(ISNUMBER(_xlfn.ANCHORARRAY(E$34)),"growth rate","")</f>
        <v>growth rate</v>
      </c>
      <c r="F97" s="271" t="str">
        <v>growth rate</v>
      </c>
      <c r="G97" s="271" t="str">
        <v>growth rate</v>
      </c>
      <c r="H97" s="271" t="str">
        <v>growth rate</v>
      </c>
      <c r="I97" s="271"/>
      <c r="J97" s="271"/>
      <c r="K97" s="271"/>
    </row>
    <row r="98" spans="1:11" ht="14.25" x14ac:dyDescent="0.45">
      <c r="A98" s="212">
        <v>4</v>
      </c>
      <c r="B98" s="225" t="s">
        <v>750</v>
      </c>
      <c r="C98" s="225" t="s">
        <v>751</v>
      </c>
      <c r="D98" s="246"/>
      <c r="E98">
        <v>-0.9</v>
      </c>
      <c r="F98">
        <v>0.1</v>
      </c>
      <c r="G98">
        <v>0.8</v>
      </c>
      <c r="H98" s="4">
        <v>2.9</v>
      </c>
      <c r="I98" s="4"/>
      <c r="J98" s="4"/>
    </row>
    <row r="99" spans="1:11" ht="14.25" x14ac:dyDescent="0.45">
      <c r="A99" s="212">
        <v>5</v>
      </c>
      <c r="B99" s="225" t="s">
        <v>752</v>
      </c>
      <c r="C99" s="225" t="s">
        <v>751</v>
      </c>
      <c r="D99" s="246"/>
      <c r="E99">
        <v>2.5</v>
      </c>
      <c r="F99">
        <v>-0.4</v>
      </c>
      <c r="G99">
        <v>3.3</v>
      </c>
      <c r="H99" s="4">
        <v>1.5</v>
      </c>
      <c r="I99" s="4"/>
      <c r="J99" s="4"/>
    </row>
    <row r="100" spans="1:11" ht="14.25" x14ac:dyDescent="0.45">
      <c r="A100" s="212">
        <v>6</v>
      </c>
      <c r="B100" s="225" t="s">
        <v>10</v>
      </c>
      <c r="C100" s="225" t="s">
        <v>4</v>
      </c>
      <c r="D100" s="246"/>
      <c r="E100">
        <v>5</v>
      </c>
      <c r="F100">
        <v>7</v>
      </c>
      <c r="G100">
        <v>9.8000000000000007</v>
      </c>
      <c r="H100" s="4">
        <v>7.5</v>
      </c>
      <c r="I100" s="4"/>
      <c r="J100" s="4"/>
    </row>
    <row r="101" spans="1:11" ht="14.25" x14ac:dyDescent="0.45">
      <c r="A101" s="212">
        <v>7</v>
      </c>
      <c r="B101" s="225" t="s">
        <v>753</v>
      </c>
      <c r="C101" s="225" t="s">
        <v>754</v>
      </c>
      <c r="D101" s="246"/>
      <c r="E101" s="281"/>
      <c r="F101" s="281"/>
      <c r="G101" s="281"/>
      <c r="H101" s="282"/>
      <c r="I101" s="282"/>
      <c r="J101" s="282"/>
    </row>
    <row r="102" spans="1:11" ht="14.25" x14ac:dyDescent="0.45">
      <c r="A102" s="212">
        <v>8</v>
      </c>
      <c r="B102" s="225" t="s">
        <v>755</v>
      </c>
      <c r="C102" s="225" t="s">
        <v>756</v>
      </c>
      <c r="D102" s="246"/>
      <c r="E102">
        <v>-7</v>
      </c>
      <c r="F102">
        <v>0.1</v>
      </c>
      <c r="G102">
        <v>0.1</v>
      </c>
      <c r="H102" s="4">
        <v>3</v>
      </c>
      <c r="I102" s="4"/>
      <c r="J102" s="4"/>
    </row>
    <row r="103" spans="1:11" ht="14.25" x14ac:dyDescent="0.45">
      <c r="A103" s="212">
        <v>9</v>
      </c>
      <c r="B103" s="225" t="s">
        <v>757</v>
      </c>
      <c r="C103" s="225" t="s">
        <v>758</v>
      </c>
      <c r="D103" s="246"/>
      <c r="E103">
        <v>-5</v>
      </c>
      <c r="F103">
        <v>-1.8</v>
      </c>
      <c r="G103">
        <v>5.7</v>
      </c>
      <c r="H103" s="4">
        <v>4.8</v>
      </c>
      <c r="I103" s="4"/>
      <c r="J103" s="4"/>
    </row>
    <row r="104" spans="1:11" x14ac:dyDescent="0.4">
      <c r="A104" s="212"/>
      <c r="B104" s="225" t="s">
        <v>759</v>
      </c>
      <c r="C104" s="225"/>
      <c r="D104" s="242"/>
      <c r="E104" s="242"/>
      <c r="F104" s="242"/>
      <c r="G104" s="242"/>
      <c r="H104" s="242"/>
      <c r="I104" s="242"/>
      <c r="J104" s="242"/>
    </row>
    <row r="105" spans="1:11" ht="14.25" x14ac:dyDescent="0.45">
      <c r="A105" s="212">
        <v>10</v>
      </c>
      <c r="B105" s="243" t="s">
        <v>760</v>
      </c>
      <c r="C105" s="225"/>
      <c r="D105" s="246"/>
      <c r="E105">
        <v>1.1000000000000001</v>
      </c>
      <c r="F105">
        <v>-1.7</v>
      </c>
      <c r="G105">
        <v>3.3</v>
      </c>
      <c r="H105" s="4">
        <v>3.8</v>
      </c>
      <c r="I105" s="4"/>
      <c r="J105" s="4"/>
    </row>
    <row r="106" spans="1:11" ht="14.25" x14ac:dyDescent="0.45">
      <c r="A106" s="212">
        <v>11</v>
      </c>
      <c r="B106" s="243" t="s">
        <v>761</v>
      </c>
      <c r="C106" s="225" t="s">
        <v>754</v>
      </c>
      <c r="D106" s="246"/>
      <c r="E106">
        <v>-0.7</v>
      </c>
      <c r="F106">
        <v>0.4</v>
      </c>
      <c r="G106">
        <v>2.6</v>
      </c>
      <c r="H106" s="4">
        <v>0.3</v>
      </c>
      <c r="I106" s="4"/>
      <c r="J106" s="4"/>
    </row>
    <row r="107" spans="1:11" ht="14.25" x14ac:dyDescent="0.45">
      <c r="A107" s="212">
        <v>12</v>
      </c>
      <c r="B107" s="243" t="s">
        <v>762</v>
      </c>
      <c r="C107" s="225" t="s">
        <v>763</v>
      </c>
      <c r="D107" s="246"/>
      <c r="E107">
        <v>-1.3</v>
      </c>
      <c r="F107">
        <v>1.3</v>
      </c>
      <c r="G107">
        <v>-3.8</v>
      </c>
      <c r="H107" s="4">
        <v>-1.4</v>
      </c>
      <c r="I107" s="4"/>
      <c r="J107" s="4"/>
    </row>
    <row r="108" spans="1:11" x14ac:dyDescent="0.4">
      <c r="A108" s="212"/>
      <c r="B108" s="212" t="s">
        <v>764</v>
      </c>
      <c r="C108" s="212"/>
      <c r="D108" s="235"/>
      <c r="E108" s="271" t="str" cm="1">
        <f t="array" ref="E108:H108">IF(ISNUMBER(_xlfn.ANCHORARRAY(E$34)),"growth rate","")</f>
        <v>growth rate</v>
      </c>
      <c r="F108" s="271" t="str">
        <v>growth rate</v>
      </c>
      <c r="G108" s="271" t="str">
        <v>growth rate</v>
      </c>
      <c r="H108" s="271" t="str">
        <v>growth rate</v>
      </c>
      <c r="I108" s="271"/>
      <c r="J108" s="271"/>
      <c r="K108" s="271"/>
    </row>
    <row r="109" spans="1:11" ht="14.25" x14ac:dyDescent="0.45">
      <c r="A109" s="212">
        <v>13</v>
      </c>
      <c r="B109" s="225" t="s">
        <v>765</v>
      </c>
      <c r="C109" s="225"/>
      <c r="D109" s="246"/>
      <c r="E109">
        <v>7.8</v>
      </c>
      <c r="F109">
        <v>3.4</v>
      </c>
      <c r="G109">
        <v>3.6</v>
      </c>
      <c r="H109" s="4">
        <v>2.9</v>
      </c>
      <c r="I109" s="4"/>
      <c r="J109" s="4"/>
    </row>
    <row r="110" spans="1:11" ht="14.25" x14ac:dyDescent="0.45">
      <c r="A110" s="212">
        <v>14</v>
      </c>
      <c r="B110" s="240" t="s">
        <v>766</v>
      </c>
      <c r="C110" s="225"/>
      <c r="D110" s="246"/>
      <c r="E110">
        <v>9.1</v>
      </c>
      <c r="F110">
        <v>1.3</v>
      </c>
      <c r="G110">
        <v>3.6</v>
      </c>
      <c r="H110" s="4">
        <v>2.9</v>
      </c>
      <c r="I110" s="4"/>
      <c r="J110" s="4"/>
    </row>
    <row r="111" spans="1:11" ht="14.25" x14ac:dyDescent="0.45">
      <c r="A111" s="212">
        <v>15</v>
      </c>
      <c r="B111" s="225" t="s">
        <v>767</v>
      </c>
      <c r="C111" s="225"/>
      <c r="D111" s="246"/>
      <c r="E111">
        <v>8.5</v>
      </c>
      <c r="F111">
        <v>6.7</v>
      </c>
      <c r="G111">
        <v>4.3</v>
      </c>
      <c r="H111" s="4">
        <v>1.8</v>
      </c>
      <c r="I111" s="4"/>
      <c r="J111" s="4"/>
    </row>
    <row r="112" spans="1:11" ht="14.25" x14ac:dyDescent="0.45">
      <c r="A112" s="212">
        <v>16</v>
      </c>
      <c r="B112" s="225" t="s">
        <v>768</v>
      </c>
      <c r="C112" s="225"/>
      <c r="D112" s="246"/>
      <c r="E112">
        <v>7.7</v>
      </c>
      <c r="F112">
        <v>2.2999999999999998</v>
      </c>
      <c r="G112">
        <v>1.7</v>
      </c>
      <c r="H112" s="4">
        <v>3.4</v>
      </c>
      <c r="I112" s="4"/>
      <c r="J112" s="4"/>
    </row>
    <row r="113" spans="1:11" ht="14.25" x14ac:dyDescent="0.45">
      <c r="A113" s="212">
        <v>17</v>
      </c>
      <c r="B113" s="225" t="s">
        <v>769</v>
      </c>
      <c r="C113" s="225"/>
      <c r="D113" s="246"/>
      <c r="E113">
        <v>0.4</v>
      </c>
      <c r="F113">
        <v>0.9</v>
      </c>
      <c r="G113">
        <v>2</v>
      </c>
      <c r="H113" s="4">
        <v>3.5</v>
      </c>
      <c r="I113" s="4"/>
      <c r="J113" s="4"/>
    </row>
    <row r="114" spans="1:11" ht="14.25" x14ac:dyDescent="0.45">
      <c r="A114" s="212">
        <v>18</v>
      </c>
      <c r="B114" s="225" t="s">
        <v>770</v>
      </c>
      <c r="C114" s="225"/>
      <c r="D114" s="246"/>
      <c r="E114">
        <v>-2.4</v>
      </c>
      <c r="F114">
        <v>-0.2</v>
      </c>
      <c r="G114">
        <v>1.2</v>
      </c>
      <c r="H114" s="4">
        <v>2</v>
      </c>
      <c r="I114" s="4"/>
      <c r="J114" s="4"/>
    </row>
    <row r="115" spans="1:11" x14ac:dyDescent="0.4">
      <c r="A115" s="212"/>
      <c r="B115" s="212" t="s">
        <v>771</v>
      </c>
      <c r="C115" s="212" t="s">
        <v>26</v>
      </c>
      <c r="D115" s="235" t="s">
        <v>772</v>
      </c>
      <c r="E115" s="271" t="str" cm="1">
        <f t="array" ref="E115:H115">IF(ISNUMBER(_xlfn.ANCHORARRAY(E$34)),"growth rate","")</f>
        <v>growth rate</v>
      </c>
      <c r="F115" s="271" t="str">
        <v>growth rate</v>
      </c>
      <c r="G115" s="271" t="str">
        <v>growth rate</v>
      </c>
      <c r="H115" s="271" t="str">
        <v>growth rate</v>
      </c>
      <c r="I115" s="271"/>
      <c r="J115" s="271"/>
      <c r="K115" s="271"/>
    </row>
    <row r="116" spans="1:11" x14ac:dyDescent="0.4">
      <c r="A116" s="212">
        <v>19</v>
      </c>
      <c r="B116" s="225" t="s">
        <v>773</v>
      </c>
      <c r="C116" s="225"/>
      <c r="D116" s="144">
        <v>884.2</v>
      </c>
      <c r="E116" s="3">
        <v>-0.2</v>
      </c>
      <c r="F116">
        <v>-0.8</v>
      </c>
      <c r="G116" s="3">
        <v>0.6</v>
      </c>
      <c r="H116" s="64">
        <v>0</v>
      </c>
      <c r="I116" s="64"/>
      <c r="J116" s="64"/>
    </row>
    <row r="117" spans="1:11" x14ac:dyDescent="0.4">
      <c r="A117" s="212">
        <v>20</v>
      </c>
      <c r="B117" s="225" t="s">
        <v>774</v>
      </c>
      <c r="C117" s="225"/>
      <c r="D117" s="144">
        <v>1832.8</v>
      </c>
      <c r="E117">
        <v>-1.7</v>
      </c>
      <c r="F117">
        <v>1.4</v>
      </c>
      <c r="G117">
        <v>-2</v>
      </c>
      <c r="H117" s="4">
        <v>0</v>
      </c>
      <c r="I117" s="4"/>
      <c r="J117" s="4"/>
    </row>
    <row r="118" spans="1:11" ht="14.25" x14ac:dyDescent="0.45">
      <c r="A118" s="212">
        <v>21</v>
      </c>
      <c r="B118" s="225" t="s">
        <v>775</v>
      </c>
      <c r="C118" s="225"/>
      <c r="D118" s="246"/>
      <c r="E118">
        <v>-0.7</v>
      </c>
      <c r="F118">
        <v>0.7</v>
      </c>
      <c r="G118">
        <v>1.5</v>
      </c>
      <c r="H118" s="4">
        <v>2.6</v>
      </c>
      <c r="I118" s="4"/>
      <c r="J118" s="4"/>
    </row>
    <row r="119" spans="1:11" ht="14.25" x14ac:dyDescent="0.45">
      <c r="A119" s="212">
        <v>22</v>
      </c>
      <c r="B119" s="225" t="s">
        <v>776</v>
      </c>
      <c r="C119" s="225"/>
      <c r="D119" s="246"/>
      <c r="E119">
        <v>1</v>
      </c>
      <c r="F119">
        <v>-0.7</v>
      </c>
      <c r="G119">
        <v>3.5</v>
      </c>
      <c r="H119" s="4">
        <v>2.6</v>
      </c>
      <c r="I119" s="4"/>
      <c r="J119" s="4"/>
    </row>
    <row r="120" spans="1:11" x14ac:dyDescent="0.4">
      <c r="A120" s="212">
        <v>23</v>
      </c>
      <c r="B120" s="225" t="s">
        <v>777</v>
      </c>
      <c r="C120" s="225" t="s">
        <v>5</v>
      </c>
      <c r="D120" s="144">
        <v>16</v>
      </c>
      <c r="E120">
        <v>9.6</v>
      </c>
      <c r="F120">
        <v>7.9</v>
      </c>
      <c r="G120">
        <v>6.5</v>
      </c>
      <c r="H120" s="4">
        <v>8.4</v>
      </c>
      <c r="I120" s="4"/>
      <c r="J120" s="4"/>
    </row>
    <row r="121" spans="1:11" x14ac:dyDescent="0.4">
      <c r="A121" s="212">
        <v>24</v>
      </c>
      <c r="B121" s="225" t="s">
        <v>778</v>
      </c>
      <c r="C121" s="225"/>
      <c r="D121">
        <v>18090.599999999999</v>
      </c>
      <c r="E121">
        <v>9.8000000000000007</v>
      </c>
      <c r="F121">
        <v>8.6999999999999993</v>
      </c>
      <c r="G121">
        <v>5.9</v>
      </c>
      <c r="H121" s="4">
        <v>8.4</v>
      </c>
      <c r="I121" s="4"/>
      <c r="J121" s="4"/>
    </row>
    <row r="122" spans="1:11" x14ac:dyDescent="0.4">
      <c r="A122" s="212"/>
      <c r="B122" s="212"/>
      <c r="C122" s="212"/>
      <c r="D122" s="235"/>
      <c r="E122" s="271" t="str" cm="1">
        <f t="array" ref="E122:H122">IF(ISNUMBER(_xlfn.ANCHORARRAY(E$34)),"%","")</f>
        <v>%</v>
      </c>
      <c r="F122" s="271" t="str">
        <v>%</v>
      </c>
      <c r="G122" s="271" t="str">
        <v>%</v>
      </c>
      <c r="H122" s="271" t="str">
        <v>%</v>
      </c>
      <c r="I122" s="271"/>
      <c r="J122" s="271"/>
      <c r="K122" s="271"/>
    </row>
    <row r="123" spans="1:11" ht="14.25" x14ac:dyDescent="0.45">
      <c r="A123" s="212">
        <v>25</v>
      </c>
      <c r="B123" s="225" t="s">
        <v>779</v>
      </c>
      <c r="C123" s="225"/>
      <c r="D123" s="246"/>
      <c r="E123">
        <v>6.5</v>
      </c>
      <c r="F123">
        <v>6.9</v>
      </c>
      <c r="G123">
        <v>6.9</v>
      </c>
      <c r="H123" s="4">
        <v>6.6</v>
      </c>
      <c r="I123" s="4"/>
      <c r="J123" s="4"/>
    </row>
    <row r="124" spans="1:11" x14ac:dyDescent="0.4">
      <c r="A124" s="212"/>
      <c r="B124" s="212" t="s">
        <v>780</v>
      </c>
      <c r="C124" s="212"/>
      <c r="D124" s="235"/>
      <c r="E124" s="271" t="str" cm="1">
        <f t="array" ref="E124:H124">IF(ISNUMBER(_xlfn.ANCHORARRAY(E$34)),"growth rate","")</f>
        <v>growth rate</v>
      </c>
      <c r="F124" s="271" t="str">
        <v>growth rate</v>
      </c>
      <c r="G124" s="271" t="str">
        <v>growth rate</v>
      </c>
      <c r="H124" s="271" t="str">
        <v>growth rate</v>
      </c>
      <c r="I124" s="271"/>
      <c r="J124" s="271"/>
      <c r="K124" s="271"/>
    </row>
    <row r="125" spans="1:11" ht="14.25" x14ac:dyDescent="0.45">
      <c r="A125" s="212">
        <v>26</v>
      </c>
      <c r="B125" s="225" t="s">
        <v>781</v>
      </c>
      <c r="C125" s="225"/>
      <c r="D125" s="246"/>
      <c r="E125">
        <v>1.7</v>
      </c>
      <c r="F125">
        <v>1.6</v>
      </c>
      <c r="G125">
        <v>1.8</v>
      </c>
      <c r="H125" s="4">
        <v>1.9</v>
      </c>
      <c r="I125" s="4"/>
      <c r="J125" s="4"/>
    </row>
    <row r="126" spans="1:11" x14ac:dyDescent="0.4">
      <c r="A126" s="212"/>
      <c r="B126" s="225" t="s">
        <v>782</v>
      </c>
      <c r="C126" s="225"/>
      <c r="D126" s="242"/>
      <c r="E126" s="242"/>
      <c r="F126" s="242"/>
      <c r="G126" s="242"/>
      <c r="H126" s="242"/>
      <c r="I126" s="242"/>
      <c r="J126" s="242"/>
    </row>
    <row r="127" spans="1:11" ht="14.25" x14ac:dyDescent="0.45">
      <c r="A127" s="212">
        <v>27</v>
      </c>
      <c r="B127" s="240" t="s">
        <v>783</v>
      </c>
      <c r="C127" s="225"/>
      <c r="D127" s="246"/>
      <c r="E127">
        <v>-0.1</v>
      </c>
      <c r="F127">
        <v>0.1</v>
      </c>
      <c r="G127">
        <v>-0.1</v>
      </c>
      <c r="H127" s="4">
        <v>-0.2</v>
      </c>
      <c r="I127" s="4"/>
      <c r="J127" s="4"/>
    </row>
    <row r="128" spans="1:11" ht="14.25" x14ac:dyDescent="0.45">
      <c r="A128" s="212">
        <v>28</v>
      </c>
      <c r="B128" s="240" t="s">
        <v>784</v>
      </c>
      <c r="C128" s="225"/>
      <c r="D128" s="246"/>
      <c r="E128">
        <v>0.7</v>
      </c>
      <c r="F128">
        <v>0.5</v>
      </c>
      <c r="G128">
        <v>0.8</v>
      </c>
      <c r="H128" s="4">
        <v>1.1000000000000001</v>
      </c>
      <c r="I128" s="4"/>
      <c r="J128" s="4"/>
    </row>
    <row r="129" spans="1:11" ht="14.25" x14ac:dyDescent="0.45">
      <c r="A129" s="212">
        <v>29</v>
      </c>
      <c r="B129" s="240" t="s">
        <v>785</v>
      </c>
      <c r="C129" s="225"/>
      <c r="D129" s="246"/>
      <c r="E129">
        <v>1</v>
      </c>
      <c r="F129">
        <v>1</v>
      </c>
      <c r="G129">
        <v>1</v>
      </c>
      <c r="H129" s="4">
        <v>1</v>
      </c>
      <c r="I129" s="4"/>
      <c r="J129" s="4"/>
    </row>
    <row r="130" spans="1:11" x14ac:dyDescent="0.4">
      <c r="A130" s="212"/>
      <c r="B130" s="212"/>
      <c r="C130" s="212"/>
      <c r="D130" s="235"/>
      <c r="E130" s="271" t="str" cm="1">
        <f t="array" ref="E130:H130">IF(ISNUMBER(_xlfn.ANCHORARRAY(E$34)),"% pot. GDP","")</f>
        <v>% pot. GDP</v>
      </c>
      <c r="F130" s="271" t="str">
        <v>% pot. GDP</v>
      </c>
      <c r="G130" s="271" t="str">
        <v>% pot. GDP</v>
      </c>
      <c r="H130" s="271" t="str">
        <v>% pot. GDP</v>
      </c>
      <c r="I130" s="271"/>
      <c r="J130" s="271"/>
      <c r="K130" s="271"/>
    </row>
    <row r="131" spans="1:11" ht="14.25" x14ac:dyDescent="0.45">
      <c r="A131" s="212">
        <v>30</v>
      </c>
      <c r="B131" s="225" t="s">
        <v>89</v>
      </c>
      <c r="C131" s="225"/>
      <c r="D131" s="246"/>
      <c r="E131">
        <v>-0.4</v>
      </c>
      <c r="F131">
        <v>-2</v>
      </c>
      <c r="G131">
        <v>-1.7</v>
      </c>
      <c r="H131" s="4">
        <v>-1</v>
      </c>
      <c r="I131" s="4"/>
      <c r="J131" s="4"/>
    </row>
  </sheetData>
  <conditionalFormatting sqref="D7:J7">
    <cfRule type="expression" dxfId="208" priority="47">
      <formula>ISNUMBER(D6)</formula>
    </cfRule>
  </conditionalFormatting>
  <conditionalFormatting sqref="D6:J6">
    <cfRule type="expression" dxfId="207" priority="46">
      <formula>ISNUMBER(D6)</formula>
    </cfRule>
  </conditionalFormatting>
  <conditionalFormatting sqref="D29:J29">
    <cfRule type="expression" dxfId="206" priority="45">
      <formula>ISNUMBER(D6)</formula>
    </cfRule>
  </conditionalFormatting>
  <conditionalFormatting sqref="E34:K35">
    <cfRule type="expression" dxfId="205" priority="39">
      <formula>ISNUMBER(E$34)</formula>
    </cfRule>
  </conditionalFormatting>
  <conditionalFormatting sqref="E47:K47">
    <cfRule type="expression" dxfId="204" priority="38">
      <formula>ISNUMBER(E$34)</formula>
    </cfRule>
  </conditionalFormatting>
  <conditionalFormatting sqref="E66:K66">
    <cfRule type="expression" dxfId="203" priority="37">
      <formula>ISNUMBER(E$34)</formula>
    </cfRule>
  </conditionalFormatting>
  <conditionalFormatting sqref="E68:K68">
    <cfRule type="expression" dxfId="202" priority="36">
      <formula>ISNUMBER(E$34)</formula>
    </cfRule>
  </conditionalFormatting>
  <conditionalFormatting sqref="E71:K71">
    <cfRule type="expression" dxfId="201" priority="35">
      <formula>ISNUMBER(E$34)</formula>
    </cfRule>
  </conditionalFormatting>
  <conditionalFormatting sqref="E74:K74">
    <cfRule type="expression" dxfId="200" priority="34">
      <formula>ISNUMBER(E$34)</formula>
    </cfRule>
  </conditionalFormatting>
  <conditionalFormatting sqref="E84:K84">
    <cfRule type="expression" dxfId="199" priority="33">
      <formula>ISNUMBER(E$34)</formula>
    </cfRule>
  </conditionalFormatting>
  <conditionalFormatting sqref="E86:K86">
    <cfRule type="expression" dxfId="198" priority="32">
      <formula>ISNUMBER(E$34)</formula>
    </cfRule>
  </conditionalFormatting>
  <conditionalFormatting sqref="E92:K93">
    <cfRule type="expression" dxfId="197" priority="31">
      <formula>ISNUMBER(E$34)</formula>
    </cfRule>
  </conditionalFormatting>
  <conditionalFormatting sqref="E97:K97">
    <cfRule type="expression" dxfId="196" priority="30">
      <formula>ISNUMBER(E$34)</formula>
    </cfRule>
  </conditionalFormatting>
  <conditionalFormatting sqref="E108:K108">
    <cfRule type="expression" dxfId="195" priority="29">
      <formula>ISNUMBER(E$34)</formula>
    </cfRule>
  </conditionalFormatting>
  <conditionalFormatting sqref="E115:K115">
    <cfRule type="expression" dxfId="194" priority="28">
      <formula>ISNUMBER(E$34)</formula>
    </cfRule>
  </conditionalFormatting>
  <conditionalFormatting sqref="E122:K122">
    <cfRule type="expression" dxfId="193" priority="27">
      <formula>ISNUMBER(E$34)</formula>
    </cfRule>
  </conditionalFormatting>
  <conditionalFormatting sqref="E124:K124">
    <cfRule type="expression" dxfId="192" priority="26">
      <formula>ISNUMBER(E$34)</formula>
    </cfRule>
  </conditionalFormatting>
  <conditionalFormatting sqref="E130:K130">
    <cfRule type="expression" dxfId="191" priority="25">
      <formula>ISNUMBER(E$34)</formula>
    </cfRule>
  </conditionalFormatting>
  <conditionalFormatting sqref="D42:K42">
    <cfRule type="expression" dxfId="190" priority="23">
      <formula>NOT(ISNUMBER(D$34))</formula>
    </cfRule>
    <cfRule type="expression" dxfId="189" priority="24">
      <formula>ISNUMBER(D$34)</formula>
    </cfRule>
  </conditionalFormatting>
  <conditionalFormatting sqref="D44:K44">
    <cfRule type="expression" dxfId="188" priority="21">
      <formula>NOT(ISNUMBER(D$34))</formula>
    </cfRule>
    <cfRule type="expression" dxfId="187" priority="22">
      <formula>ISNUMBER(D$34)</formula>
    </cfRule>
  </conditionalFormatting>
  <conditionalFormatting sqref="D59:K59">
    <cfRule type="expression" dxfId="186" priority="19">
      <formula>NOT(ISNUMBER(D$34))</formula>
    </cfRule>
    <cfRule type="expression" dxfId="185" priority="20">
      <formula>ISNUMBER(D$34)</formula>
    </cfRule>
  </conditionalFormatting>
  <conditionalFormatting sqref="D61:K61">
    <cfRule type="expression" dxfId="184" priority="17">
      <formula>NOT(ISNUMBER(D$34))</formula>
    </cfRule>
    <cfRule type="expression" dxfId="183" priority="18">
      <formula>ISNUMBER(D$34)</formula>
    </cfRule>
  </conditionalFormatting>
  <conditionalFormatting sqref="D65:K65">
    <cfRule type="expression" dxfId="182" priority="15">
      <formula>NOT(ISNUMBER(D$34))</formula>
    </cfRule>
    <cfRule type="expression" dxfId="181" priority="16">
      <formula>ISNUMBER(D$34)</formula>
    </cfRule>
  </conditionalFormatting>
  <conditionalFormatting sqref="D77:K77">
    <cfRule type="expression" dxfId="180" priority="13">
      <formula>NOT(ISNUMBER(D$34))</formula>
    </cfRule>
    <cfRule type="expression" dxfId="179" priority="14">
      <formula>ISNUMBER(D$34)</formula>
    </cfRule>
  </conditionalFormatting>
  <conditionalFormatting sqref="D104:K104">
    <cfRule type="expression" dxfId="178" priority="11">
      <formula>NOT(ISNUMBER(D$34))</formula>
    </cfRule>
    <cfRule type="expression" dxfId="177" priority="12">
      <formula>ISNUMBER(D$34)</formula>
    </cfRule>
  </conditionalFormatting>
  <conditionalFormatting sqref="D126:K126">
    <cfRule type="expression" dxfId="176" priority="9">
      <formula>NOT(ISNUMBER(D$34))</formula>
    </cfRule>
    <cfRule type="expression" dxfId="175" priority="10">
      <formula>ISNUMBER(D$34)</formula>
    </cfRule>
  </conditionalFormatting>
  <conditionalFormatting sqref="D62:K62">
    <cfRule type="expression" dxfId="174" priority="8">
      <formula>NOT(ISNUMBER(D$34))</formula>
    </cfRule>
  </conditionalFormatting>
  <conditionalFormatting sqref="D69:K70">
    <cfRule type="expression" dxfId="173" priority="7">
      <formula>NOT(ISNUMBER(D$34))</formula>
    </cfRule>
  </conditionalFormatting>
  <conditionalFormatting sqref="D78:K78">
    <cfRule type="expression" dxfId="172" priority="6">
      <formula>NOT(ISNUMBER(D$34))</formula>
    </cfRule>
  </conditionalFormatting>
  <conditionalFormatting sqref="D83:J83">
    <cfRule type="expression" dxfId="171" priority="5">
      <formula>NOT(ISNUMBER(D$34))</formula>
    </cfRule>
  </conditionalFormatting>
  <conditionalFormatting sqref="D80:J80">
    <cfRule type="expression" dxfId="170" priority="4">
      <formula>NOT(ISNUMBER(D$34))</formula>
    </cfRule>
  </conditionalFormatting>
  <conditionalFormatting sqref="E101:K101">
    <cfRule type="expression" dxfId="169" priority="3">
      <formula>ISNUMBER(E$34)</formula>
    </cfRule>
  </conditionalFormatting>
  <conditionalFormatting sqref="E34:H131">
    <cfRule type="expression" dxfId="16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94"/>
  <sheetViews>
    <sheetView showGridLines="0" zoomScaleNormal="100" zoomScalePageLayoutView="55" workbookViewId="0"/>
  </sheetViews>
  <sheetFormatPr defaultColWidth="9" defaultRowHeight="14.25" x14ac:dyDescent="0.45"/>
  <cols>
    <col min="1" max="1" width="7.42578125" style="22" customWidth="1"/>
    <col min="2" max="2" width="67.28515625" style="22" customWidth="1"/>
    <col min="3" max="3" width="7.28515625" style="22" customWidth="1"/>
    <col min="4" max="26" width="10.5703125" style="22" customWidth="1"/>
    <col min="27" max="16384" width="9" style="22"/>
  </cols>
  <sheetData>
    <row r="1" spans="1:54" ht="48.75" customHeight="1" x14ac:dyDescent="1">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4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adheres to the net expenditure path in its latest Council-endorsed MTP, but planned net expenditure to 2026 does not. Deviations occur only in years covered by an escape clause.</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Assessment!C170</f>
        <v>Compliant</v>
      </c>
      <c r="E11" s="22" t="str">
        <f>IF(AssessmentRound="New or revised MTP",NA(),Assessment!C174)</f>
        <v>At the end of the assessment period (2026), the balance in Latvia's cumulative control account is a credit (underspend) of 1.8 percentage points of GDP. Observed annual and cumulative deviations do not exceed the respective 0.3 and 0.6 percentage points of GDP limits.</v>
      </c>
    </row>
    <row r="12" spans="1:54" ht="19.149999999999999" customHeight="1" x14ac:dyDescent="0.7">
      <c r="A12" s="112" t="s">
        <v>137</v>
      </c>
      <c r="B12" s="78" t="s">
        <v>589</v>
      </c>
      <c r="C12" s="75" t="str">
        <f>IF(D12="At risk","⚠",IF(D12="Compliant","☑",IF(D12="Breach","⮽","☐")))</f>
        <v>☐</v>
      </c>
      <c r="D12" s="78" t="str">
        <f>IF(AssessmentRound="New or revised MTP", "N/A", IF(
  OR(
    NOT(Receives_reference_trajectory),
    NOT(OR(Assessment!C178, Assessment!C179))
  ),
  "N/A",
  IF(
    OR(
      IF(Assessment!C178, NOT(Assessment!C180), FALSE),
      IF(Assessment!C179, NOT(Assessment!C181), FALSE)
    ),
    "At risk",
    "Compliant"
  )
))</f>
        <v>N/A</v>
      </c>
      <c r="E12" s="22" t="str">
        <f>IF(AssessmentRound="New or revised MTP",NA(),Assessment!C183)</f>
        <v>Latvia does not receive a reference trajectory and is not assessed against the debt sustainability safeguard.</v>
      </c>
    </row>
    <row r="13" spans="1:54" ht="19.149999999999999" customHeight="1" x14ac:dyDescent="0.7">
      <c r="A13" s="112" t="s">
        <v>463</v>
      </c>
      <c r="B13" s="78" t="s">
        <v>590</v>
      </c>
      <c r="C13" s="75" t="str">
        <f t="shared" ref="C13" si="1">IF(D13="At risk","⚠",IF(D13="Compliant","☑",IF(D13="Breach","⮽","☐")))</f>
        <v>☐</v>
      </c>
      <c r="D13" s="78" t="str">
        <f>IF(AssessmentRound="New or revised MTP","N/A",IF(
  NOT(Receives_reference_trajectory),
  "N/A",
  IF(
    ISNA(Assessment!C193),
    "N/A",
    IF(Assessment!C193,"Compliant","At risk")
  )
))</f>
        <v>N/A</v>
      </c>
      <c r="E13" s="22" t="str">
        <f>IF(AssessmentRound="New or revised MTP",NA(),Assessment!C195)</f>
        <v>Latvia does not receive a reference trajectory and is not assessed against the deficit resilience safeguard.</v>
      </c>
    </row>
    <row r="14" spans="1:54" ht="19.149999999999999" customHeight="1" x14ac:dyDescent="0.7">
      <c r="A14" s="112" t="s">
        <v>503</v>
      </c>
      <c r="B14" s="78" t="s">
        <v>593</v>
      </c>
      <c r="C14" s="75" t="str">
        <f>IF(D14="At risk","⚠",IF(D14="Compliant","☑",IF(D14="Breach","⮽","☐")))</f>
        <v>☑</v>
      </c>
      <c r="D14" s="78" t="str">
        <f>IF(AssessmentRound="New or revised MTP","N/A",IF(ISNA(Assessment!C204),"N/A",IF(Assessment!C204,"Compliant",IF(EscapeClauseActivated,"At risk","Breach"))))</f>
        <v>Compliant</v>
      </c>
      <c r="E14" s="22" t="str">
        <f>IF(AssessmentRound="New or revised MTP",NA(),Assessment!C206)</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c r="B16" s="296" t="str">
        <f>IF(Other_exempt_spending_flag,"Addendum: Eligible other exempt spending measures","Addendum: Eligible exempt energy security measures")</f>
        <v>Addendum: Eligible exempt energy security measures</v>
      </c>
      <c r="C16" s="297" t="str">
        <f t="shared" ref="C16" si="2">IF(D16="At risk","⚠",IF(D16="Compliant","☑",IF(D16="Breach","⮽","☐")))</f>
        <v>☐</v>
      </c>
      <c r="D16" s="296" t="str" cm="1">
        <f t="array" ref="D16">_xlfn.IFS(
    AssessmentRound = "New or revised MTP",      "N/A",
    COUNTIF(Assessment!C171:C172, "n.a.") &gt; 0,   "N/A",
    COUNTIF(Assessment!C171:C172, TRUE) = 0,     "Compliant",
    TRUE,                                        "Breach"
)</f>
        <v>N/A</v>
      </c>
      <c r="E16" s="299" t="str">
        <f>Assessment!C175</f>
        <v>The limits on exempt energy expenditure do not apply, as Latvia has not sought an exemption.</v>
      </c>
      <c r="F16" s="298"/>
      <c r="G16" s="298"/>
      <c r="H16" s="298"/>
      <c r="I16" s="298"/>
      <c r="J16" s="298"/>
      <c r="K16" s="298"/>
      <c r="L16" s="298"/>
      <c r="M16" s="298"/>
      <c r="N16" s="298"/>
      <c r="O16" s="298"/>
      <c r="P16" s="298"/>
      <c r="Q16" s="298"/>
      <c r="R16" s="298"/>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298"/>
      <c r="BA16" s="298"/>
      <c r="BB16" s="298"/>
    </row>
    <row r="17" spans="1:21" customFormat="1" ht="19.149999999999999" customHeight="1" x14ac:dyDescent="0.45">
      <c r="B17" s="78"/>
    </row>
    <row r="18" spans="1:21" customFormat="1" ht="23.25" x14ac:dyDescent="0.7">
      <c r="B18" s="118" t="s">
        <v>911</v>
      </c>
      <c r="C18" s="22"/>
      <c r="D18" s="22"/>
      <c r="E18" s="22"/>
      <c r="F18" s="22"/>
      <c r="G18" s="22"/>
      <c r="H18" s="22"/>
      <c r="I18" s="22"/>
      <c r="J18" s="22"/>
      <c r="K18" s="22"/>
      <c r="L18" s="22"/>
      <c r="M18" s="22"/>
      <c r="N18" s="22"/>
      <c r="O18" s="22"/>
      <c r="P18" s="22"/>
      <c r="Q18" s="22"/>
      <c r="R18" s="22"/>
      <c r="S18" s="22"/>
      <c r="T18" s="22"/>
      <c r="U18" s="22"/>
    </row>
    <row r="19" spans="1:21" customFormat="1" x14ac:dyDescent="0.45">
      <c r="A19" s="3"/>
      <c r="B19" s="66"/>
      <c r="C19" s="66"/>
      <c r="D19" s="30" t="str" cm="1">
        <f t="array" ref="D19:G19">IF(AssessmentRound="New or revised MTP", "", IF(_xlfn.ANCHORARRAY(D22)&lt;=AdjustmentPeriodEnd, IF(_xlfn.ANCHORARRAY(D22)&lt;=OutturnThrough, "Observed", "Planned"), ""))</f>
        <v>Observed</v>
      </c>
      <c r="E19" s="30" t="str">
        <v>Observed</v>
      </c>
      <c r="F19" s="30" t="str">
        <v>Observed</v>
      </c>
      <c r="G19" s="30" t="str">
        <v>Planned</v>
      </c>
      <c r="H19" s="30"/>
      <c r="I19" s="30"/>
      <c r="J19" s="22"/>
      <c r="P19" s="22"/>
      <c r="Q19" s="22"/>
      <c r="R19" s="22"/>
      <c r="S19" s="22"/>
      <c r="T19" s="22"/>
      <c r="U19" s="22"/>
    </row>
    <row r="20" spans="1:21" customFormat="1" ht="14.85" customHeight="1" x14ac:dyDescent="0.45">
      <c r="A20" s="3"/>
      <c r="B20" s="66" t="s">
        <v>495</v>
      </c>
      <c r="C20" s="66"/>
      <c r="D20" s="96" t="str" cm="1">
        <f t="array" aca="1" ref="D20:G20" ca="1">IF(AssessmentRound="New or revised MTP", "", IF(AssessmentRound="Revised MTP","",_xlfn.HSTACK("",IF(OFFSET(Assessment!$F$156,0,0,1,COLUMNS(_xlfn.ANCHORARRAY(D22))-1),"Yes","No"))))</f>
        <v/>
      </c>
      <c r="E20" s="96" t="str">
        <f ca="1"/>
        <v>Yes</v>
      </c>
      <c r="F20" s="96" t="str">
        <f ca="1"/>
        <v>Yes</v>
      </c>
      <c r="G20" s="96" t="str">
        <f ca="1"/>
        <v>Yes</v>
      </c>
      <c r="H20" s="96"/>
      <c r="I20" s="96"/>
      <c r="J20" s="22"/>
    </row>
    <row r="21" spans="1:21" customFormat="1" ht="14.85" customHeight="1" x14ac:dyDescent="0.45">
      <c r="A21" s="3"/>
      <c r="B21" s="66" t="s">
        <v>274</v>
      </c>
      <c r="C21" s="66"/>
      <c r="D21" s="30" t="str" cm="1">
        <f t="array" ref="D21:G21">IF((_xlfn.ANCHORARRAY(D22)&gt;=MTP_YearT-1)*(_xlfn.ANCHORARRAY(D22)&lt;=AdjustmentPeriodEnd), IF(_xlfn.ANCHORARRAY(D22)=MTP_YearT-1, "T-1", IF(_xlfn.ANCHORARRAY(D22)=MTP_YearT, "T", "T+"&amp;(_xlfn.ANCHORARRAY(D22)-MTP_YearT))), "")</f>
        <v>T-1</v>
      </c>
      <c r="E21" s="30" t="str">
        <v>T</v>
      </c>
      <c r="F21" s="30" t="str">
        <v>T+1</v>
      </c>
      <c r="G21" s="30" t="str">
        <v>T+2</v>
      </c>
      <c r="H21" s="30"/>
      <c r="I21" s="30"/>
      <c r="J21" s="22"/>
    </row>
    <row r="22" spans="1:21" customFormat="1" ht="14.85" customHeight="1" x14ac:dyDescent="0.45">
      <c r="A22" s="3"/>
      <c r="B22" s="66" t="s">
        <v>251</v>
      </c>
      <c r="C22" s="66"/>
      <c r="D22" s="29" cm="1">
        <f t="array" ref="D22:G22">_xlfn.SEQUENCE(1, AssessmentEnd-MTP_BaseYear+1, MTP_BaseYear)</f>
        <v>2023</v>
      </c>
      <c r="E22" s="29">
        <v>2024</v>
      </c>
      <c r="F22" s="29">
        <v>2025</v>
      </c>
      <c r="G22" s="29">
        <v>2026</v>
      </c>
      <c r="H22" s="22"/>
      <c r="I22" s="22"/>
      <c r="J22" s="22"/>
    </row>
    <row r="23" spans="1:21" customFormat="1" ht="19.149999999999999" customHeight="1" x14ac:dyDescent="0.4">
      <c r="A23" s="3"/>
      <c r="B23" s="260" t="s">
        <v>619</v>
      </c>
    </row>
    <row r="24" spans="1:21" customFormat="1" ht="14.85" customHeight="1" x14ac:dyDescent="0.4">
      <c r="A24" s="3">
        <v>1</v>
      </c>
      <c r="B24" t="s">
        <v>257</v>
      </c>
      <c r="C24" t="s">
        <v>6</v>
      </c>
      <c r="D24" s="4">
        <f>Assessment!D108</f>
        <v>17.182600000000001</v>
      </c>
      <c r="E24" s="4">
        <f>Assessment!E108</f>
        <v>18.413499999999999</v>
      </c>
      <c r="F24" s="4">
        <f>Assessment!F108</f>
        <v>19.8324</v>
      </c>
      <c r="G24" s="4">
        <f>Assessment!G108</f>
        <v>20.588509988199995</v>
      </c>
      <c r="H24" t="str">
        <f>Assessment!H108</f>
        <v/>
      </c>
      <c r="I24" t="str">
        <f>Assessment!I108</f>
        <v/>
      </c>
      <c r="J24" t="str">
        <f>Assessment!J108</f>
        <v/>
      </c>
    </row>
    <row r="25" spans="1:21" customFormat="1" ht="14.85" customHeight="1" x14ac:dyDescent="0.4">
      <c r="A25" s="3">
        <v>2</v>
      </c>
      <c r="B25" t="s">
        <v>25</v>
      </c>
      <c r="C25" t="s">
        <v>6</v>
      </c>
      <c r="D25" s="4">
        <f>Assessment!D109</f>
        <v>0.28689999999999999</v>
      </c>
      <c r="E25" s="4">
        <f>Assessment!E109</f>
        <v>0.44330000000000003</v>
      </c>
      <c r="F25" s="4">
        <f>Assessment!F109</f>
        <v>0.4758</v>
      </c>
      <c r="G25" s="4">
        <f>Assessment!G109</f>
        <v>0.59346037659999995</v>
      </c>
      <c r="H25" t="str">
        <f>Assessment!H109</f>
        <v/>
      </c>
      <c r="I25" t="str">
        <f>Assessment!I109</f>
        <v/>
      </c>
      <c r="J25" t="str">
        <f>Assessment!J109</f>
        <v/>
      </c>
    </row>
    <row r="26" spans="1:21" customFormat="1" ht="14.85" customHeight="1" x14ac:dyDescent="0.4">
      <c r="A26" s="3">
        <v>3</v>
      </c>
      <c r="B26" t="s">
        <v>276</v>
      </c>
      <c r="C26" t="s">
        <v>6</v>
      </c>
      <c r="D26" s="4">
        <f>Assessment!D110</f>
        <v>-2.3600000000000001E-3</v>
      </c>
      <c r="E26" s="4">
        <f>Assessment!E110</f>
        <v>3.14E-3</v>
      </c>
      <c r="F26" s="4">
        <f>Assessment!F110</f>
        <v>6.7000000000000002E-3</v>
      </c>
      <c r="G26" s="4">
        <f>Assessment!G110</f>
        <v>9.130159639999998E-3</v>
      </c>
      <c r="H26" t="str">
        <f>Assessment!H110</f>
        <v/>
      </c>
      <c r="I26" t="str">
        <f>Assessment!I110</f>
        <v/>
      </c>
      <c r="J26" t="str">
        <f>Assessment!J110</f>
        <v/>
      </c>
    </row>
    <row r="27" spans="1:21" customFormat="1" ht="14.85" customHeight="1" x14ac:dyDescent="0.4">
      <c r="A27" s="3">
        <v>4</v>
      </c>
      <c r="B27" t="s">
        <v>277</v>
      </c>
      <c r="C27" t="s">
        <v>6</v>
      </c>
      <c r="D27" s="4">
        <f>Assessment!D111</f>
        <v>0.73429999999999995</v>
      </c>
      <c r="E27" s="4">
        <f>Assessment!E111</f>
        <v>0.75549999999999995</v>
      </c>
      <c r="F27" s="4">
        <f>Assessment!F111</f>
        <v>1.2509999999999999</v>
      </c>
      <c r="G27" s="4">
        <f>Assessment!G111</f>
        <v>0.91301596399999985</v>
      </c>
      <c r="H27" t="str">
        <f>Assessment!H111</f>
        <v/>
      </c>
      <c r="I27" t="str">
        <f>Assessment!I111</f>
        <v/>
      </c>
      <c r="J27" t="str">
        <f>Assessment!J111</f>
        <v/>
      </c>
    </row>
    <row r="28" spans="1:21" customFormat="1" ht="14.85" customHeight="1" x14ac:dyDescent="0.4">
      <c r="A28" s="3">
        <v>5</v>
      </c>
      <c r="B28" t="s">
        <v>278</v>
      </c>
      <c r="C28" t="s">
        <v>6</v>
      </c>
      <c r="D28" s="4">
        <f>Assessment!D112</f>
        <v>0.15825</v>
      </c>
      <c r="E28" s="4">
        <f>Assessment!E112</f>
        <v>0.13764999999999999</v>
      </c>
      <c r="F28" s="4">
        <f>Assessment!F112</f>
        <v>0.19919999999999999</v>
      </c>
      <c r="G28" s="4">
        <f>Assessment!G112</f>
        <v>0.22825399099999996</v>
      </c>
      <c r="H28" t="str">
        <f>Assessment!H112</f>
        <v/>
      </c>
      <c r="I28" t="str">
        <f>Assessment!I112</f>
        <v/>
      </c>
      <c r="J28" t="str">
        <f>Assessment!J112</f>
        <v/>
      </c>
    </row>
    <row r="29" spans="1:21" customFormat="1" ht="14.65" customHeight="1" x14ac:dyDescent="0.4">
      <c r="A29" s="3">
        <v>6</v>
      </c>
      <c r="B29" t="s">
        <v>279</v>
      </c>
      <c r="C29" t="s">
        <v>6</v>
      </c>
      <c r="D29" s="4">
        <f>Assessment!D113</f>
        <v>0</v>
      </c>
      <c r="E29" s="4">
        <f>Assessment!E113</f>
        <v>0</v>
      </c>
      <c r="F29" s="4">
        <f>Assessment!F113</f>
        <v>0</v>
      </c>
      <c r="G29" s="4">
        <f>Assessment!G113</f>
        <v>0</v>
      </c>
      <c r="H29" t="str">
        <f>Assessment!H113</f>
        <v/>
      </c>
      <c r="I29" t="str">
        <f>Assessment!I113</f>
        <v/>
      </c>
      <c r="J29" t="str">
        <f>Assessment!J113</f>
        <v/>
      </c>
    </row>
    <row r="30" spans="1:21" customFormat="1" ht="14.65" customHeight="1" x14ac:dyDescent="0.4">
      <c r="A30" s="3">
        <v>7</v>
      </c>
      <c r="B30" t="s">
        <v>942</v>
      </c>
      <c r="C30" t="s">
        <v>6</v>
      </c>
      <c r="D30" s="4">
        <f>Assessment!D114</f>
        <v>16.005510000000005</v>
      </c>
      <c r="E30" s="4">
        <f>Assessment!E114</f>
        <v>17.073910000000001</v>
      </c>
      <c r="F30" s="4">
        <f>Assessment!F114</f>
        <v>17.899699999999999</v>
      </c>
      <c r="G30" s="4">
        <f>Assessment!G114</f>
        <v>18.853779656599993</v>
      </c>
      <c r="H30" s="4" t="str">
        <f>Assessment!H114</f>
        <v/>
      </c>
      <c r="I30" s="4" t="str">
        <f>Assessment!I114</f>
        <v/>
      </c>
      <c r="J30" s="4" t="str">
        <f>Assessment!J114</f>
        <v/>
      </c>
    </row>
    <row r="31" spans="1:21" customFormat="1" ht="15" customHeight="1" x14ac:dyDescent="0.4">
      <c r="A31" s="3" t="s">
        <v>943</v>
      </c>
      <c r="B31" t="s">
        <v>944</v>
      </c>
      <c r="C31" t="s">
        <v>6</v>
      </c>
      <c r="D31" s="4">
        <f>Assessment!D115</f>
        <v>0</v>
      </c>
      <c r="E31" s="4">
        <f>Assessment!E115</f>
        <v>0</v>
      </c>
      <c r="F31" s="4">
        <f>Assessment!F115</f>
        <v>0</v>
      </c>
      <c r="G31" s="4">
        <f>Assessment!G115</f>
        <v>0</v>
      </c>
      <c r="H31" s="4" t="str">
        <f>Assessment!H115</f>
        <v/>
      </c>
      <c r="I31" s="4" t="str">
        <f>Assessment!I115</f>
        <v/>
      </c>
      <c r="J31" s="4" t="str">
        <f>Assessment!J115</f>
        <v/>
      </c>
    </row>
    <row r="32" spans="1:21" customFormat="1" ht="15" customHeight="1" x14ac:dyDescent="0.4">
      <c r="A32" s="3">
        <v>8</v>
      </c>
      <c r="B32" t="s">
        <v>945</v>
      </c>
      <c r="C32" t="s">
        <v>6</v>
      </c>
      <c r="D32" s="4"/>
      <c r="E32" s="4">
        <f>Assessment!E116</f>
        <v>1.0683999999999969</v>
      </c>
      <c r="F32" s="4">
        <f>Assessment!F116</f>
        <v>0.8257899999999978</v>
      </c>
      <c r="G32" s="4">
        <f>Assessment!G116</f>
        <v>0.95407965659999405</v>
      </c>
      <c r="H32" t="str">
        <f>Assessment!H116</f>
        <v/>
      </c>
      <c r="I32" t="str">
        <f>Assessment!I116</f>
        <v/>
      </c>
      <c r="J32" t="str">
        <f>Assessment!J116</f>
        <v/>
      </c>
    </row>
    <row r="33" spans="1:23" customFormat="1" ht="15" customHeight="1" x14ac:dyDescent="0.4">
      <c r="A33" s="3">
        <v>9</v>
      </c>
      <c r="B33" t="s">
        <v>946</v>
      </c>
      <c r="C33" t="s">
        <v>6</v>
      </c>
      <c r="D33" s="4"/>
      <c r="E33" s="4">
        <f>Assessment!E117</f>
        <v>0.27381</v>
      </c>
      <c r="F33" s="4">
        <f>Assessment!F117</f>
        <v>0</v>
      </c>
      <c r="G33" s="4">
        <f>Assessment!G117</f>
        <v>-9.1301596399999976E-2</v>
      </c>
      <c r="H33" t="str">
        <f>Assessment!H117</f>
        <v/>
      </c>
      <c r="I33" t="str">
        <f>Assessment!I117</f>
        <v/>
      </c>
      <c r="J33" t="str">
        <f>Assessment!J117</f>
        <v/>
      </c>
    </row>
    <row r="34" spans="1:23" customFormat="1" ht="15" customHeight="1" x14ac:dyDescent="0.4">
      <c r="A34" s="3">
        <v>10</v>
      </c>
      <c r="B34" t="s">
        <v>963</v>
      </c>
      <c r="C34" t="s">
        <v>6</v>
      </c>
      <c r="D34" s="4"/>
      <c r="E34" s="4">
        <f>Assessment!E118</f>
        <v>0.79458999999999691</v>
      </c>
      <c r="F34" s="4">
        <f>Assessment!F118</f>
        <v>0.8257899999999978</v>
      </c>
      <c r="G34" s="4">
        <f>Assessment!G118</f>
        <v>1.045381252999994</v>
      </c>
      <c r="H34" t="str">
        <f>Assessment!H118</f>
        <v/>
      </c>
      <c r="I34" t="str">
        <f>Assessment!I118</f>
        <v/>
      </c>
      <c r="J34" t="str">
        <f>Assessment!J118</f>
        <v/>
      </c>
    </row>
    <row r="35" spans="1:23" customFormat="1" ht="19.149999999999999" customHeight="1" x14ac:dyDescent="0.4">
      <c r="A35" s="3"/>
      <c r="B35" s="260" t="s">
        <v>913</v>
      </c>
      <c r="D35" s="4"/>
      <c r="E35" s="4"/>
      <c r="F35" s="4"/>
      <c r="G35" s="4"/>
    </row>
    <row r="36" spans="1:23" customFormat="1" ht="14.65" customHeight="1" x14ac:dyDescent="0.4">
      <c r="A36" s="3">
        <v>11</v>
      </c>
      <c r="B36" t="s">
        <v>964</v>
      </c>
      <c r="C36" t="s">
        <v>597</v>
      </c>
      <c r="D36" s="4"/>
      <c r="E36" s="4">
        <f>Assessment!E120</f>
        <v>4.9644778579376521</v>
      </c>
      <c r="F36" s="4">
        <f>Assessment!F120</f>
        <v>4.8365605769270053</v>
      </c>
      <c r="G36" s="4">
        <f>Assessment!G120</f>
        <v>5.8402166125688924</v>
      </c>
      <c r="H36" t="str">
        <f>Assessment!H120</f>
        <v/>
      </c>
      <c r="I36" t="str">
        <f>Assessment!I120</f>
        <v/>
      </c>
      <c r="J36" t="str">
        <f>Assessment!J120</f>
        <v/>
      </c>
    </row>
    <row r="37" spans="1:23" customFormat="1" ht="14.65" customHeight="1" x14ac:dyDescent="0.4">
      <c r="A37" s="3">
        <v>12</v>
      </c>
      <c r="B37" t="s">
        <v>965</v>
      </c>
      <c r="C37" t="s">
        <v>597</v>
      </c>
      <c r="D37" s="4"/>
      <c r="E37" s="258">
        <f>Assessment!E121</f>
        <v>9.1</v>
      </c>
      <c r="F37" s="4">
        <f>Assessment!F121</f>
        <v>5.8999999999999995</v>
      </c>
      <c r="G37" s="4">
        <f>Assessment!G121</f>
        <v>3.5999999999999996</v>
      </c>
      <c r="H37" t="str">
        <f>Assessment!H121</f>
        <v/>
      </c>
      <c r="I37" t="str">
        <f>Assessment!I121</f>
        <v/>
      </c>
      <c r="J37" t="str">
        <f>Assessment!J121</f>
        <v/>
      </c>
    </row>
    <row r="38" spans="1:23" customFormat="1" ht="14.65" customHeight="1" x14ac:dyDescent="0.4">
      <c r="A38" s="3">
        <v>13</v>
      </c>
      <c r="B38" t="s">
        <v>950</v>
      </c>
      <c r="C38" t="s">
        <v>6</v>
      </c>
      <c r="D38" s="4"/>
      <c r="E38" s="258">
        <f>Assessment!E122</f>
        <v>-0.66191141000000342</v>
      </c>
      <c r="F38" s="4">
        <f>Assessment!F122</f>
        <v>-0.18157069000000228</v>
      </c>
      <c r="G38" s="4">
        <f>Assessment!G122</f>
        <v>0.40099205299999402</v>
      </c>
      <c r="H38" t="str">
        <f>Assessment!H122</f>
        <v/>
      </c>
      <c r="I38" t="str">
        <f>Assessment!I122</f>
        <v/>
      </c>
      <c r="J38" t="str">
        <f>Assessment!J122</f>
        <v/>
      </c>
    </row>
    <row r="39" spans="1:23" customFormat="1" ht="14.65" customHeight="1" x14ac:dyDescent="0.4">
      <c r="A39" s="3">
        <v>14</v>
      </c>
      <c r="B39" t="s">
        <v>951</v>
      </c>
      <c r="C39" t="s">
        <v>6</v>
      </c>
      <c r="D39" s="4"/>
      <c r="E39" s="258">
        <f>Assessment!E123</f>
        <v>-0.66191141000000342</v>
      </c>
      <c r="F39" s="4">
        <f>Assessment!F123</f>
        <v>-0.84348210000000567</v>
      </c>
      <c r="G39" s="4">
        <f>Assessment!G123</f>
        <v>-0.44249004700001165</v>
      </c>
      <c r="H39" t="str">
        <f>Assessment!H123</f>
        <v/>
      </c>
      <c r="I39" t="str">
        <f>Assessment!I123</f>
        <v/>
      </c>
      <c r="J39" t="str">
        <f>Assessment!J123</f>
        <v/>
      </c>
    </row>
    <row r="40" spans="1:23" customFormat="1" ht="19.149999999999999" customHeight="1" x14ac:dyDescent="0.4">
      <c r="A40" s="3"/>
      <c r="B40" s="260" t="s">
        <v>968</v>
      </c>
      <c r="D40" s="4"/>
      <c r="E40" s="4"/>
      <c r="F40" s="4"/>
      <c r="G40" s="4"/>
    </row>
    <row r="41" spans="1:23" customFormat="1" ht="15" customHeight="1" x14ac:dyDescent="0.4">
      <c r="A41" s="3">
        <v>15</v>
      </c>
      <c r="B41" t="s">
        <v>966</v>
      </c>
      <c r="C41" t="s">
        <v>599</v>
      </c>
      <c r="D41" s="4"/>
      <c r="E41" s="258">
        <f>Assessment!E125</f>
        <v>-1.6282262258224094</v>
      </c>
      <c r="F41" s="4">
        <f>Assessment!F125</f>
        <v>-0.42200029284483015</v>
      </c>
      <c r="G41" s="4">
        <f>Assessment!G125</f>
        <v>0.87839001465694877</v>
      </c>
      <c r="H41" t="str">
        <f>Assessment!H125</f>
        <v/>
      </c>
      <c r="I41" t="str">
        <f>Assessment!I125</f>
        <v/>
      </c>
      <c r="J41" t="str">
        <f>Assessment!J125</f>
        <v/>
      </c>
    </row>
    <row r="42" spans="1:23" customFormat="1" ht="15" customHeight="1" x14ac:dyDescent="0.45">
      <c r="A42" s="3">
        <v>16</v>
      </c>
      <c r="B42" t="s">
        <v>967</v>
      </c>
      <c r="C42" t="s">
        <v>599</v>
      </c>
      <c r="D42" s="4"/>
      <c r="E42" s="258">
        <f>Assessment!E126</f>
        <v>-1.6282262258224094</v>
      </c>
      <c r="F42" s="4">
        <f>Assessment!F126</f>
        <v>-1.9603918077822482</v>
      </c>
      <c r="G42" s="4">
        <f>Assessment!G126</f>
        <v>-0.96929312180134408</v>
      </c>
      <c r="H42" t="str">
        <f>Assessment!H126</f>
        <v/>
      </c>
      <c r="I42" t="str">
        <f>Assessment!I126</f>
        <v/>
      </c>
      <c r="J42" t="str">
        <f>Assessment!J126</f>
        <v/>
      </c>
      <c r="W42" s="22"/>
    </row>
    <row r="43" spans="1:23" customFormat="1" ht="15" customHeight="1" x14ac:dyDescent="0.4">
      <c r="A43" s="3">
        <v>17</v>
      </c>
      <c r="B43" t="s">
        <v>956</v>
      </c>
      <c r="C43" t="s">
        <v>6</v>
      </c>
      <c r="D43" s="4">
        <f>Assessment!D127</f>
        <v>39.5642</v>
      </c>
      <c r="E43" s="4">
        <f>Assessment!E127</f>
        <v>40.652300000000004</v>
      </c>
      <c r="F43" s="4">
        <f>Assessment!F127</f>
        <v>43.026199999999996</v>
      </c>
      <c r="G43" s="4">
        <f>Assessment!G127</f>
        <v>45.65079819999999</v>
      </c>
      <c r="H43" t="str">
        <f>Assessment!H127</f>
        <v/>
      </c>
      <c r="I43" t="str">
        <f>Assessment!I127</f>
        <v/>
      </c>
      <c r="J43" t="str">
        <f>Assessment!J127</f>
        <v/>
      </c>
    </row>
    <row r="44" spans="1:23" customFormat="1" ht="19.149999999999999" customHeight="1" x14ac:dyDescent="0.4">
      <c r="A44" s="3"/>
      <c r="B44" s="260" t="str">
        <f>IF(Other_exempt_spending_flag,"Defence and other eligible exempt expenditure and the national escape clause vis-à-vis the current recommendation","Defence and energy expenditure and the national escape clause vis-à-vis the current recommendation")</f>
        <v>Defence and energy expenditure and the national escape clause vis-à-vis the current recommendation</v>
      </c>
      <c r="D44" s="4"/>
      <c r="E44" s="4"/>
      <c r="F44" s="4"/>
      <c r="G44" s="4"/>
    </row>
    <row r="45" spans="1:23" customFormat="1" ht="14.65" customHeight="1" x14ac:dyDescent="0.4">
      <c r="A45" s="3">
        <v>1</v>
      </c>
      <c r="B45" t="s">
        <v>957</v>
      </c>
      <c r="C45" t="s">
        <v>599</v>
      </c>
      <c r="D45" s="4"/>
      <c r="E45" s="64">
        <f>Assessment!E129</f>
        <v>2.7150001352936979</v>
      </c>
      <c r="F45" s="64">
        <f>Assessment!F129</f>
        <v>3.1635143238305963</v>
      </c>
      <c r="G45" s="64">
        <f>Assessment!G129</f>
        <v>4.0999999999999996</v>
      </c>
      <c r="H45" s="64" t="str">
        <f>Assessment!H129</f>
        <v/>
      </c>
      <c r="I45" s="64" t="str">
        <f>Assessment!I129</f>
        <v/>
      </c>
      <c r="J45" s="64" t="str">
        <f>Assessment!J129</f>
        <v/>
      </c>
    </row>
    <row r="46" spans="1:23" customFormat="1" ht="14.65" customHeight="1" x14ac:dyDescent="0.4">
      <c r="A46" s="3">
        <v>2</v>
      </c>
      <c r="B46" t="s">
        <v>958</v>
      </c>
      <c r="C46" t="s">
        <v>599</v>
      </c>
      <c r="D46" s="4"/>
      <c r="E46" s="64" t="str">
        <f>Assessment!E130</f>
        <v>n.a.</v>
      </c>
      <c r="F46" s="64">
        <f>Assessment!F130</f>
        <v>0.66351432383059628</v>
      </c>
      <c r="G46" s="64">
        <f>Assessment!G130</f>
        <v>1.5</v>
      </c>
      <c r="H46" s="64" t="str">
        <f>Assessment!H130</f>
        <v/>
      </c>
      <c r="I46" s="64" t="str">
        <f>Assessment!I130</f>
        <v/>
      </c>
      <c r="J46" s="64" t="str">
        <f>Assessment!J130</f>
        <v/>
      </c>
    </row>
    <row r="47" spans="1:23" customFormat="1" ht="14.65" customHeight="1" x14ac:dyDescent="0.4">
      <c r="A47" s="3">
        <v>3</v>
      </c>
      <c r="B47" t="s">
        <v>979</v>
      </c>
      <c r="C47" t="s">
        <v>599</v>
      </c>
      <c r="D47" s="4"/>
      <c r="E47" s="64" t="str">
        <f>Assessment!E131</f>
        <v>n.a.</v>
      </c>
      <c r="F47" s="64">
        <f>Assessment!F131</f>
        <v>-2.6239061316128445</v>
      </c>
      <c r="G47" s="64">
        <f>Assessment!G131</f>
        <v>-2.4692931218013441</v>
      </c>
      <c r="H47" s="64" t="str">
        <f>Assessment!H131</f>
        <v/>
      </c>
      <c r="I47" s="64" t="str">
        <f>Assessment!I131</f>
        <v/>
      </c>
      <c r="J47" s="64" t="str">
        <f>Assessment!J131</f>
        <v/>
      </c>
    </row>
    <row r="48" spans="1:23" customFormat="1" ht="14.65" customHeight="1" x14ac:dyDescent="0.4">
      <c r="A48" s="3">
        <v>4</v>
      </c>
      <c r="B48" t="str">
        <f>IF(Other_exempt_spending_flag,"Eligible other exempt spending measures","Eligible energy security measures")</f>
        <v>Eligible energy security measures</v>
      </c>
      <c r="C48" t="s">
        <v>599</v>
      </c>
      <c r="D48" s="4"/>
      <c r="E48" s="64" t="str">
        <f>Assessment!E132</f>
        <v>n.a.</v>
      </c>
      <c r="F48" s="64" t="str">
        <f>Assessment!F132</f>
        <v>n.a.</v>
      </c>
      <c r="G48" s="64" t="str">
        <f>Assessment!G132</f>
        <v>n.a.</v>
      </c>
      <c r="H48" s="64" t="str">
        <f>Assessment!H132</f>
        <v/>
      </c>
      <c r="I48" s="64" t="str">
        <f>Assessment!I132</f>
        <v/>
      </c>
      <c r="J48" s="64" t="str">
        <f>Assessment!J132</f>
        <v/>
      </c>
    </row>
    <row r="49" spans="1:13" customFormat="1" ht="14.65" customHeight="1" x14ac:dyDescent="0.4">
      <c r="A49" s="3">
        <v>5</v>
      </c>
      <c r="B49" t="str">
        <f>IF(Other_exempt_spending_flag,"Flexibility from other exempt spending measures","Flexibility from energy security measures")</f>
        <v>Flexibility from energy security measures</v>
      </c>
      <c r="C49" t="s">
        <v>599</v>
      </c>
      <c r="D49" s="4"/>
      <c r="E49" s="64" t="str">
        <f>Assessment!E133</f>
        <v>n.a.</v>
      </c>
      <c r="F49" s="64" t="str">
        <f>Assessment!F133</f>
        <v>n.a.</v>
      </c>
      <c r="G49" s="64" t="str">
        <f>Assessment!G133</f>
        <v>n.a.</v>
      </c>
      <c r="H49" s="64" t="str">
        <f>Assessment!H133</f>
        <v/>
      </c>
      <c r="I49" s="64" t="str">
        <f>Assessment!I133</f>
        <v/>
      </c>
      <c r="J49" s="64" t="str">
        <f>Assessment!J133</f>
        <v/>
      </c>
    </row>
    <row r="50" spans="1:13" customFormat="1" ht="14.65" customHeight="1" x14ac:dyDescent="0.4">
      <c r="A50" s="3">
        <v>6</v>
      </c>
      <c r="B50" t="s">
        <v>975</v>
      </c>
      <c r="C50" t="s">
        <v>599</v>
      </c>
      <c r="D50" s="4"/>
      <c r="E50" s="64" t="str">
        <f>Assessment!E134</f>
        <v>n.a.</v>
      </c>
      <c r="F50" s="64" t="str">
        <f>Assessment!F134</f>
        <v>n.a.</v>
      </c>
      <c r="G50" s="64" t="str">
        <f>Assessment!G134</f>
        <v>n.a.</v>
      </c>
      <c r="H50" s="64" t="str">
        <f>Assessment!H134</f>
        <v/>
      </c>
      <c r="I50" s="64" t="str">
        <f>Assessment!I134</f>
        <v/>
      </c>
      <c r="J50" s="64" t="str">
        <f>Assessment!J134</f>
        <v/>
      </c>
    </row>
    <row r="51" spans="1:13" customFormat="1" ht="14.65" customHeight="1" x14ac:dyDescent="0.4">
      <c r="A51" s="3">
        <v>7</v>
      </c>
      <c r="B51" t="str">
        <f>IF(Other_exempt_spending_flag,"p.m. Annual use of flexibility from other exempt spending measures","p.m. Annual use of flexibility from energy security measures")</f>
        <v>p.m. Annual use of flexibility from energy security measures</v>
      </c>
      <c r="C51" t="s">
        <v>599</v>
      </c>
      <c r="D51" s="4"/>
      <c r="E51" s="64" t="str">
        <f>Assessment!E135</f>
        <v>n.a.</v>
      </c>
      <c r="F51" s="64" t="str">
        <f>Assessment!F135</f>
        <v>n.a.</v>
      </c>
      <c r="G51" s="64" t="str">
        <f>Assessment!G135</f>
        <v>n.a.</v>
      </c>
      <c r="H51" s="64" t="str">
        <f>Assessment!H135</f>
        <v/>
      </c>
      <c r="I51" s="64" t="str">
        <f>Assessment!I135</f>
        <v/>
      </c>
      <c r="J51" s="64" t="str">
        <f>Assessment!J135</f>
        <v/>
      </c>
    </row>
    <row r="52" spans="1:13" customFormat="1" ht="14.65" customHeight="1" x14ac:dyDescent="0.4">
      <c r="A52" s="3">
        <v>8</v>
      </c>
      <c r="B52" s="7" t="str">
        <f>IF(Other_exempt_spending_flag,"p.m. Cumulated use of flexibility from other exempt spending measures","p.m. Cumulated use of flexibility from energy security measures")</f>
        <v>p.m. Cumulated use of flexibility from energy security measures</v>
      </c>
      <c r="C52" s="7" t="s">
        <v>599</v>
      </c>
      <c r="D52" s="4"/>
      <c r="E52" s="64" t="str">
        <f>Assessment!E136</f>
        <v>n.a.</v>
      </c>
      <c r="F52" s="64" t="str">
        <f>Assessment!F136</f>
        <v>n.a.</v>
      </c>
      <c r="G52" s="64" t="str">
        <f>Assessment!G136</f>
        <v>n.a.</v>
      </c>
      <c r="H52" s="64" t="str">
        <f>Assessment!H136</f>
        <v/>
      </c>
      <c r="I52" s="64" t="str">
        <f>Assessment!I136</f>
        <v/>
      </c>
      <c r="J52" s="64" t="str">
        <f>Assessment!J136</f>
        <v/>
      </c>
    </row>
    <row r="53" spans="1:13" customFormat="1" ht="14.65" customHeight="1" x14ac:dyDescent="0.4">
      <c r="A53" s="3"/>
      <c r="B53" s="286" t="s">
        <v>960</v>
      </c>
      <c r="D53" s="4"/>
      <c r="E53" s="4"/>
      <c r="F53" s="4"/>
      <c r="G53" s="4"/>
      <c r="I53" t="str">
        <f>Assessment!I141</f>
        <v/>
      </c>
      <c r="J53" t="str">
        <f>Assessment!J141</f>
        <v/>
      </c>
    </row>
    <row r="54" spans="1:13" customFormat="1" ht="14.65" customHeight="1" x14ac:dyDescent="0.4">
      <c r="A54" s="3"/>
      <c r="B54" s="286" t="s">
        <v>961</v>
      </c>
      <c r="D54" s="4"/>
      <c r="E54" s="4"/>
      <c r="F54" s="4"/>
      <c r="G54" s="4"/>
      <c r="I54" t="str">
        <f>Assessment!I142</f>
        <v/>
      </c>
      <c r="J54" t="str">
        <f>Assessment!J142</f>
        <v/>
      </c>
    </row>
    <row r="55" spans="1:13" customFormat="1" ht="14.65" customHeight="1" x14ac:dyDescent="0.4">
      <c r="A55" s="3"/>
      <c r="B55" s="286" t="str">
        <f>"*** The reference level corresponds to nationally financed defence expenditure (COFOG02) in "&amp;'Step 1 - Set global parameters'!B28&amp;" as % of GDP"</f>
        <v>*** The reference level corresponds to nationally financed defence expenditure (COFOG02) in 2021 as % of GDP</v>
      </c>
      <c r="D55" s="4"/>
      <c r="E55" s="4"/>
      <c r="F55" s="4"/>
      <c r="G55" s="4"/>
    </row>
    <row r="56" spans="1:13" customFormat="1" ht="13.15" x14ac:dyDescent="0.4">
      <c r="A56" s="3"/>
      <c r="D56" s="4"/>
      <c r="E56" s="4"/>
      <c r="F56" s="4"/>
      <c r="G56" s="4"/>
    </row>
    <row r="57" spans="1:13" customFormat="1" ht="23.25" x14ac:dyDescent="0.7">
      <c r="A57" s="22"/>
      <c r="B57" s="118" t="s">
        <v>487</v>
      </c>
      <c r="C57" s="22"/>
      <c r="D57" s="22"/>
      <c r="E57" s="22"/>
      <c r="F57" s="22"/>
      <c r="G57" s="22"/>
      <c r="H57" s="22"/>
      <c r="I57" s="64"/>
      <c r="M57" s="22"/>
    </row>
    <row r="58" spans="1:13" customFormat="1" ht="14.65" customHeight="1" x14ac:dyDescent="0.45">
      <c r="A58" s="22"/>
      <c r="B58" s="66" t="s">
        <v>310</v>
      </c>
      <c r="C58" s="30" t="str" cm="1">
        <f t="array" ref="C58:H58">IF(_xlfn.SEQUENCE(1,MTP_PlanningHorizon+2,-1)=-1, "T-1", IF(_xlfn.SEQUENCE(1,MTP_PlanningHorizon+2,-1)=0, "T", "T+"&amp;_xlfn.SEQUENCE(1,MTP_PlanningHorizon+2,-1)))</f>
        <v>T-1</v>
      </c>
      <c r="D58" s="30" t="str">
        <v>T</v>
      </c>
      <c r="E58" s="30" t="str">
        <v>T+1</v>
      </c>
      <c r="F58" s="30" t="str">
        <v>T+2</v>
      </c>
      <c r="G58" s="30" t="str">
        <v>T+3</v>
      </c>
      <c r="H58" s="30" t="str">
        <v>T+4</v>
      </c>
      <c r="I58" s="30"/>
      <c r="M58" s="22"/>
    </row>
    <row r="59" spans="1:13" customFormat="1" x14ac:dyDescent="0.45">
      <c r="A59" s="22"/>
      <c r="B59" s="66"/>
      <c r="C59" s="30" cm="1">
        <f t="array" ref="C59:H59">_xlfn.SEQUENCE(1, MTP_EndYear - MTP_BaseYear+1, MTP_BaseYear)</f>
        <v>2023</v>
      </c>
      <c r="D59" s="30">
        <v>2024</v>
      </c>
      <c r="E59" s="30">
        <v>2025</v>
      </c>
      <c r="F59" s="30">
        <v>2026</v>
      </c>
      <c r="G59" s="30">
        <v>2027</v>
      </c>
      <c r="H59" s="30">
        <v>2028</v>
      </c>
      <c r="I59" s="30"/>
      <c r="M59" s="22"/>
    </row>
    <row r="60" spans="1:13" customFormat="1" x14ac:dyDescent="0.45">
      <c r="A60" s="22"/>
      <c r="B60" s="67"/>
      <c r="C60" s="30" t="str">
        <f t="shared" ref="C60:I60" si="3">IF(C59="", "", IF(C59&lt;=OutturnThrough, "Observed", "Planned"))</f>
        <v>Observed</v>
      </c>
      <c r="D60" s="30" t="str">
        <f t="shared" si="3"/>
        <v>Observed</v>
      </c>
      <c r="E60" s="30" t="str">
        <f t="shared" si="3"/>
        <v>Observed</v>
      </c>
      <c r="F60" s="30" t="str">
        <f t="shared" si="3"/>
        <v>Planned</v>
      </c>
      <c r="G60" s="30" t="str">
        <f t="shared" si="3"/>
        <v>Planned</v>
      </c>
      <c r="H60" s="30" t="str">
        <f t="shared" si="3"/>
        <v>Planned</v>
      </c>
      <c r="I60" s="30" t="str">
        <f t="shared" si="3"/>
        <v/>
      </c>
      <c r="J60" s="45"/>
      <c r="K60" s="45"/>
      <c r="L60" s="45"/>
      <c r="M60" s="22"/>
    </row>
    <row r="61" spans="1:13" customFormat="1" x14ac:dyDescent="0.45">
      <c r="A61" s="22"/>
      <c r="B61" s="46" t="s">
        <v>309</v>
      </c>
      <c r="C61" s="45" t="str" cm="1">
        <f t="array" ref="C61:H61">INDEX(
  Assessment!$34:$34,
  1,
  MATCH(MTP_BaseYear,Assessment!$32:$32,0)
    + _xlfn.SEQUENCE(1, COLUMNS(_xlfn.ANCHORARRAY(C59)), 0)
)</f>
        <v/>
      </c>
      <c r="D61" s="45">
        <v>9.1</v>
      </c>
      <c r="E61" s="45">
        <v>5.8999999999999995</v>
      </c>
      <c r="F61" s="45">
        <v>3.5999999999999996</v>
      </c>
      <c r="G61" s="47">
        <v>3.4000000000000004</v>
      </c>
      <c r="H61" s="45">
        <v>3.3000000000000003</v>
      </c>
      <c r="I61" s="45"/>
      <c r="J61" s="64"/>
      <c r="K61" s="64"/>
      <c r="L61" s="64"/>
      <c r="M61" s="22"/>
    </row>
    <row r="62" spans="1:13" customFormat="1" x14ac:dyDescent="0.45">
      <c r="A62" s="22"/>
      <c r="B62" s="135" t="str">
        <f>ScenarioName</f>
        <v>Annual progress report 2026</v>
      </c>
      <c r="C62" s="64" t="str" cm="1">
        <f t="array" ref="C62:H62">INDEX(
  Assessment!$15:$15,
  1,
  MATCH(MTP_BaseYear,Assessment!$4:$4,0)
    + _xlfn.SEQUENCE(1, COLUMNS(_xlfn.ANCHORARRAY(C59)), 0)
)</f>
        <v/>
      </c>
      <c r="D62" s="64">
        <v>4.9644778579376547</v>
      </c>
      <c r="E62" s="64">
        <v>4.836560576927007</v>
      </c>
      <c r="F62" s="64">
        <v>5.3</v>
      </c>
      <c r="G62" s="64" t="str">
        <v/>
      </c>
      <c r="H62" s="64" t="str">
        <v/>
      </c>
      <c r="I62" s="64"/>
      <c r="J62" s="47"/>
      <c r="K62" s="47"/>
      <c r="L62" s="47"/>
      <c r="M62" s="22"/>
    </row>
    <row r="63" spans="1:13" customFormat="1" x14ac:dyDescent="0.45">
      <c r="A63" s="22"/>
      <c r="B63" s="46" t="s">
        <v>206</v>
      </c>
      <c r="C63" s="45" cm="1">
        <f t="array" ref="C63:H63">INDEX(
  Assessment!$35:$35,
  1,
  MATCH(MTP_BaseYear,Assessment!$32:$32,0)
    + _xlfn.SEQUENCE(1, COLUMNS(_xlfn.ANCHORARRAY(C59)), 0)
)</f>
        <v>-2.2000000000000002</v>
      </c>
      <c r="D63" s="45">
        <v>-2.6</v>
      </c>
      <c r="E63" s="45">
        <v>-2.9</v>
      </c>
      <c r="F63" s="45">
        <v>-2.9</v>
      </c>
      <c r="G63" s="47">
        <v>-2.9</v>
      </c>
      <c r="H63" s="47">
        <v>-2.9</v>
      </c>
      <c r="I63" s="47"/>
      <c r="J63" s="64"/>
      <c r="K63" s="64"/>
      <c r="L63" s="64"/>
      <c r="M63" s="22"/>
    </row>
    <row r="64" spans="1:13" customFormat="1" x14ac:dyDescent="0.45">
      <c r="A64" s="22"/>
      <c r="B64" s="135" t="str">
        <f>ScenarioName</f>
        <v>Annual progress report 2026</v>
      </c>
      <c r="C64" s="64" cm="1">
        <f t="array" ref="C64:H64">INDEX(
  Assessment!$17:$17,
  1,
  MATCH(MTP_BaseYear,Assessment!$4:$4,0)
    + _xlfn.SEQUENCE(1, COLUMNS(_xlfn.ANCHORARRAY(C59)), 0)
)</f>
        <v>-2.342774528487884</v>
      </c>
      <c r="D64" s="64">
        <v>-1.7868607680254289</v>
      </c>
      <c r="E64" s="64">
        <v>-2.5407774797681517</v>
      </c>
      <c r="F64" s="64">
        <v>-3</v>
      </c>
      <c r="G64" s="64" t="str">
        <v/>
      </c>
      <c r="H64" s="64" t="str">
        <v/>
      </c>
      <c r="I64" s="64"/>
      <c r="J64" s="47"/>
      <c r="K64" s="47"/>
      <c r="L64" s="47"/>
      <c r="M64" s="22"/>
    </row>
    <row r="65" spans="1:24" customFormat="1" x14ac:dyDescent="0.45">
      <c r="A65" s="22"/>
      <c r="B65" s="46" t="s">
        <v>0</v>
      </c>
      <c r="C65" s="47" cm="1">
        <f t="array" ref="C65:H65">INDEX(
  Assessment!$36:$36,
  1,
  MATCH(MTP_BaseYear,Assessment!$32:$32,0)
    + _xlfn.SEQUENCE(1, COLUMNS(_xlfn.ANCHORARRAY(C59)), 0)
)</f>
        <v>-1.8</v>
      </c>
      <c r="D65" s="47">
        <v>-1.9</v>
      </c>
      <c r="E65" s="47">
        <v>-2.5</v>
      </c>
      <c r="F65" s="47">
        <v>-2.6</v>
      </c>
      <c r="G65" s="47">
        <v>-2.7</v>
      </c>
      <c r="H65" s="47">
        <v>-2.7</v>
      </c>
      <c r="I65" s="47"/>
      <c r="J65" s="64"/>
      <c r="K65" s="64"/>
      <c r="L65" s="64"/>
      <c r="M65" s="22"/>
    </row>
    <row r="66" spans="1:24" customFormat="1" x14ac:dyDescent="0.45">
      <c r="A66" s="22"/>
      <c r="B66" s="135" t="str">
        <f>ScenarioName</f>
        <v>Annual progress report 2026</v>
      </c>
      <c r="C66" s="64" cm="1">
        <f t="array" ref="C66:H66">INDEX(
  Assessment!$18:$18,
  1,
  MATCH(MTP_BaseYear,Assessment!$4:$4,0)
    + _xlfn.SEQUENCE(1, COLUMNS(_xlfn.ANCHORARRAY(C59)), 0)
)</f>
        <v>-2.0901399999999999</v>
      </c>
      <c r="D66" s="64">
        <v>-1.3087</v>
      </c>
      <c r="E66" s="64">
        <v>-2.5189499999999998</v>
      </c>
      <c r="F66" s="64">
        <v>-2.6</v>
      </c>
      <c r="G66" s="64" t="str">
        <v/>
      </c>
      <c r="H66" s="64" t="str">
        <v/>
      </c>
      <c r="I66" s="64"/>
      <c r="J66" s="47"/>
      <c r="K66" s="47"/>
      <c r="L66" s="47"/>
      <c r="M66" s="22"/>
    </row>
    <row r="67" spans="1:24" customFormat="1" x14ac:dyDescent="0.45">
      <c r="A67" s="22"/>
      <c r="B67" s="46" t="s">
        <v>3</v>
      </c>
      <c r="C67" s="45" cm="1">
        <f t="array" ref="C67:H67">INDEX(
  Assessment!$37:$37,
  1,
  MATCH(MTP_BaseYear,Assessment!$32:$32,0)
    + _xlfn.SEQUENCE(1, COLUMNS(_xlfn.ANCHORARRAY(C59)), 0)
)</f>
        <v>-1.2</v>
      </c>
      <c r="D67" s="45">
        <v>-0.8</v>
      </c>
      <c r="E67" s="45">
        <v>-1.3</v>
      </c>
      <c r="F67" s="45">
        <v>-1.3</v>
      </c>
      <c r="G67" s="47">
        <v>-1.3</v>
      </c>
      <c r="H67" s="47">
        <v>-1.3</v>
      </c>
      <c r="I67" s="47"/>
      <c r="J67" s="64"/>
      <c r="K67" s="64"/>
      <c r="L67" s="64"/>
      <c r="M67" s="22"/>
    </row>
    <row r="68" spans="1:24" customFormat="1" x14ac:dyDescent="0.45">
      <c r="A68" s="22"/>
      <c r="B68" s="135" t="str">
        <f>ScenarioName</f>
        <v>Annual progress report 2026</v>
      </c>
      <c r="C68" s="64" cm="1">
        <f t="array" ref="C68:H68">INDEX(
  Assessment!$19:$19,
  1,
  MATCH(MTP_BaseYear,Assessment!$4:$4,0)
    + _xlfn.SEQUENCE(1, COLUMNS(_xlfn.ANCHORARRAY(C59)), 0)
)</f>
        <v>-1.3650599999999999</v>
      </c>
      <c r="D68" s="64">
        <v>-0.21811</v>
      </c>
      <c r="E68" s="64">
        <v>-1.41309</v>
      </c>
      <c r="F68" s="64">
        <v>-1.3</v>
      </c>
      <c r="G68" s="64" t="str">
        <v/>
      </c>
      <c r="H68" s="64" t="str">
        <v/>
      </c>
      <c r="I68" s="64"/>
      <c r="J68" s="47"/>
      <c r="K68" s="47"/>
      <c r="L68" s="47"/>
      <c r="M68" s="22"/>
    </row>
    <row r="69" spans="1:24" customFormat="1" x14ac:dyDescent="0.45">
      <c r="A69" s="22"/>
      <c r="B69" s="46" t="s">
        <v>1</v>
      </c>
      <c r="C69" s="45" cm="1">
        <f t="array" ref="C69:H69">INDEX(
  Assessment!$38:$38,
  1,
  MATCH(MTP_BaseYear,Assessment!$32:$32,0)
    + _xlfn.SEQUENCE(1, COLUMNS(_xlfn.ANCHORARRAY(C59)), 0)
)</f>
        <v>43.6</v>
      </c>
      <c r="D69" s="45">
        <v>45.8</v>
      </c>
      <c r="E69" s="45">
        <v>47.5</v>
      </c>
      <c r="F69" s="45">
        <v>48.5</v>
      </c>
      <c r="G69" s="45">
        <v>49.7</v>
      </c>
      <c r="H69" s="45">
        <v>50.8</v>
      </c>
      <c r="I69" s="45"/>
      <c r="J69" s="64"/>
      <c r="K69" s="64"/>
      <c r="L69" s="64"/>
      <c r="M69" s="22"/>
    </row>
    <row r="70" spans="1:24" customFormat="1" x14ac:dyDescent="0.45">
      <c r="A70" s="22"/>
      <c r="B70" s="135" t="str">
        <f>ScenarioName</f>
        <v>Annual progress report 2026</v>
      </c>
      <c r="C70" s="64" cm="1">
        <f t="array" ref="C70:H70">INDEX(
  Assessment!$20:$20,
  1,
  MATCH(MTP_BaseYear,Assessment!$4:$4,0)
    + _xlfn.SEQUENCE(1, COLUMNS(_xlfn.ANCHORARRAY(C59)), 0)
)</f>
        <v>44.430318318075436</v>
      </c>
      <c r="D70" s="64">
        <v>46.249535696627248</v>
      </c>
      <c r="E70" s="64">
        <v>46.887477862325753</v>
      </c>
      <c r="F70" s="64">
        <v>47.9</v>
      </c>
      <c r="G70" s="64" t="str">
        <v/>
      </c>
      <c r="H70" s="64" t="str">
        <v/>
      </c>
      <c r="I70" s="64"/>
      <c r="J70" s="47"/>
      <c r="K70" s="47"/>
      <c r="L70" s="47"/>
      <c r="M70" s="22"/>
    </row>
    <row r="71" spans="1:24" customFormat="1" x14ac:dyDescent="0.45">
      <c r="A71" s="22"/>
      <c r="B71" s="46" t="s">
        <v>2</v>
      </c>
      <c r="C71" s="45" cm="1">
        <f t="array" ref="C71:H71">INDEX(
  Assessment!$39:$39,
  1,
  MATCH(MTP_BaseYear,Assessment!$32:$32,0)
    + _xlfn.SEQUENCE(1, COLUMNS(_xlfn.ANCHORARRAY(C59)), 0)
)</f>
        <v>1.8</v>
      </c>
      <c r="D71" s="45">
        <v>2.2999999999999998</v>
      </c>
      <c r="E71" s="45">
        <v>1.6</v>
      </c>
      <c r="F71" s="45">
        <v>1.1000000000000001</v>
      </c>
      <c r="G71" s="45">
        <v>1.2</v>
      </c>
      <c r="H71" s="45">
        <v>1.2</v>
      </c>
      <c r="I71" s="45"/>
      <c r="J71" s="64"/>
      <c r="K71" s="64"/>
      <c r="L71" s="64"/>
      <c r="M71" s="22"/>
    </row>
    <row r="72" spans="1:24" customFormat="1" x14ac:dyDescent="0.45">
      <c r="A72" s="22"/>
      <c r="B72" s="135" t="str">
        <f>ScenarioName</f>
        <v>Annual progress report 2026</v>
      </c>
      <c r="C72" s="64" cm="1">
        <f t="array" ref="C72:H72">INDEX(
  Assessment!$21:$21,
  1,
  MATCH(MTP_BaseYear,Assessment!$4:$4,0)
    + _xlfn.SEQUENCE(1, COLUMNS(_xlfn.ANCHORARRAY(C59)), 0)
)</f>
        <v>3.8913967677850185</v>
      </c>
      <c r="D72" s="64">
        <v>3.0084398668710008</v>
      </c>
      <c r="E72" s="64">
        <v>3.1896844248388225</v>
      </c>
      <c r="F72" s="64">
        <v>0.9</v>
      </c>
      <c r="G72" s="64" t="str">
        <v/>
      </c>
      <c r="H72" s="64" t="str">
        <v/>
      </c>
      <c r="I72" s="64"/>
      <c r="J72" s="47"/>
      <c r="K72" s="47"/>
      <c r="L72" s="47"/>
      <c r="M72" s="22"/>
    </row>
    <row r="73" spans="1:24" customFormat="1" x14ac:dyDescent="0.45">
      <c r="A73" s="22"/>
      <c r="B73" s="31"/>
      <c r="C73" s="22"/>
      <c r="D73" s="22"/>
      <c r="E73" s="22"/>
      <c r="F73" s="22"/>
      <c r="G73" s="22"/>
      <c r="H73" s="22"/>
      <c r="I73" s="22"/>
      <c r="J73" s="107"/>
      <c r="K73" s="107"/>
      <c r="L73" s="107"/>
      <c r="M73" s="22"/>
    </row>
    <row r="74" spans="1:24" customFormat="1" x14ac:dyDescent="0.45">
      <c r="A74" s="22"/>
      <c r="B74" s="170" t="s">
        <v>280</v>
      </c>
      <c r="C74" s="107" cm="1">
        <f t="array" ref="C74:H74">INDEX(
  Assessment!$40:$40,
  1,
  MATCH(MTP_BaseYear,Assessment!$32:$32,0)
    + _xlfn.SEQUENCE(1, COLUMNS(_xlfn.ANCHORARRAY(C59)), 0)
)</f>
        <v>-0.3</v>
      </c>
      <c r="D74" s="107">
        <v>1.4</v>
      </c>
      <c r="E74" s="107">
        <v>2.9</v>
      </c>
      <c r="F74" s="107">
        <v>1.6</v>
      </c>
      <c r="G74" s="107">
        <v>1.2</v>
      </c>
      <c r="H74" s="107">
        <v>1.1000000000000001</v>
      </c>
      <c r="I74" s="107"/>
      <c r="J74" s="108"/>
      <c r="K74" s="108"/>
      <c r="L74" s="108"/>
      <c r="M74" s="22"/>
    </row>
    <row r="75" spans="1:24" customFormat="1" x14ac:dyDescent="0.45">
      <c r="A75" s="22"/>
      <c r="B75" s="171" t="str">
        <f>ScenarioName</f>
        <v>Annual progress report 2026</v>
      </c>
      <c r="C75" s="108" cm="1">
        <f t="array" ref="C75:H75">INDEX(
  Assessment!$22:$22,
  1,
  MATCH(MTP_BaseYear,Assessment!$4:$4,0)
    + _xlfn.SEQUENCE(1, COLUMNS(_xlfn.ANCHORARRAY(C59)), 0)
)</f>
        <v>-0.9414574313402313</v>
      </c>
      <c r="D75" s="64">
        <v>-3.7310985009997299E-2</v>
      </c>
      <c r="E75" s="64">
        <v>2.1381842045897326</v>
      </c>
      <c r="F75" s="64">
        <v>2.6</v>
      </c>
      <c r="G75" s="64" t="str">
        <v/>
      </c>
      <c r="H75" s="64" t="str">
        <v/>
      </c>
      <c r="I75" s="64"/>
      <c r="J75" s="47"/>
      <c r="K75" s="47"/>
      <c r="L75" s="47"/>
      <c r="M75" s="22"/>
    </row>
    <row r="76" spans="1:24" customFormat="1" x14ac:dyDescent="0.45">
      <c r="A76" s="22"/>
      <c r="B76" s="170" t="s">
        <v>281</v>
      </c>
      <c r="C76" s="107" cm="1">
        <f t="array" ref="C76:H76">INDEX(
  Assessment!$41:$41,
  1,
  MATCH(MTP_BaseYear,Assessment!$32:$32,0)
    + _xlfn.SEQUENCE(1, COLUMNS(_xlfn.ANCHORARRAY(C59)), 0)
)</f>
        <v>5.4</v>
      </c>
      <c r="D76" s="107">
        <v>2.4</v>
      </c>
      <c r="E76" s="107">
        <v>2.5</v>
      </c>
      <c r="F76" s="107">
        <v>2.5</v>
      </c>
      <c r="G76" s="107">
        <v>2.5</v>
      </c>
      <c r="H76" s="107">
        <v>2.5</v>
      </c>
      <c r="I76" s="107"/>
    </row>
    <row r="77" spans="1:24" customFormat="1" ht="19.149999999999999" customHeight="1" x14ac:dyDescent="0.45">
      <c r="A77" s="22"/>
      <c r="B77" s="171" t="str">
        <f>ScenarioName</f>
        <v>Annual progress report 2026</v>
      </c>
      <c r="C77" s="108" cm="1">
        <f t="array" ref="C77:H77">INDEX(
  Assessment!$23:$23,
  1,
  MATCH(MTP_BaseYear,Assessment!$4:$4,0)
    + _xlfn.SEQUENCE(1, COLUMNS(_xlfn.ANCHORARRAY(C59)), 0)
)</f>
        <v>10.672371603556009</v>
      </c>
      <c r="D77" s="64">
        <v>2.7885650030008202</v>
      </c>
      <c r="E77" s="64">
        <v>3.623853135142574</v>
      </c>
      <c r="F77" s="64">
        <v>3.3</v>
      </c>
      <c r="G77" s="64" t="str">
        <v/>
      </c>
      <c r="H77" s="64" t="str">
        <v/>
      </c>
      <c r="I77" s="64"/>
    </row>
    <row r="78" spans="1:24" x14ac:dyDescent="0.45">
      <c r="B78" s="170" t="s">
        <v>282</v>
      </c>
      <c r="C78" s="107" cm="1">
        <f t="array" ref="C78:H78">INDEX(
  Assessment!$42:$42,
  1,
  MATCH(MTP_BaseYear,Assessment!$32:$32,0)
    + _xlfn.SEQUENCE(1, COLUMNS(_xlfn.ANCHORARRAY(C59)), 0)
)</f>
        <v>5.0999999999999996</v>
      </c>
      <c r="D78" s="107">
        <v>3.8</v>
      </c>
      <c r="E78" s="107">
        <v>5.5</v>
      </c>
      <c r="F78" s="107">
        <v>4.0999999999999996</v>
      </c>
      <c r="G78" s="107">
        <v>3.7</v>
      </c>
      <c r="H78" s="107">
        <v>3.6</v>
      </c>
      <c r="I78" s="107"/>
      <c r="J78"/>
      <c r="K78"/>
      <c r="L78"/>
      <c r="M78"/>
      <c r="N78"/>
      <c r="O78"/>
      <c r="P78"/>
      <c r="Q78"/>
      <c r="R78"/>
      <c r="S78"/>
      <c r="T78"/>
      <c r="U78"/>
      <c r="V78"/>
      <c r="W78"/>
      <c r="X78"/>
    </row>
    <row r="79" spans="1:24" x14ac:dyDescent="0.45">
      <c r="B79" s="171" t="str">
        <f>ScenarioName</f>
        <v>Annual progress report 2026</v>
      </c>
      <c r="C79" s="108" cm="1">
        <f t="array" ref="C79:H79">INDEX(
  Assessment!$24:$24,
  1,
  MATCH(MTP_BaseYear,Assessment!$4:$4,0)
    + _xlfn.SEQUENCE(1, COLUMNS(_xlfn.ANCHORARRAY(C59)), 0)
)</f>
        <v>9.630438336653846</v>
      </c>
      <c r="D79" s="64">
        <v>2.7502135769205571</v>
      </c>
      <c r="E79" s="64">
        <v>5.8395219950654553</v>
      </c>
      <c r="F79" s="64">
        <v>6.1</v>
      </c>
      <c r="G79" s="64" t="str">
        <v/>
      </c>
      <c r="H79" s="64" t="str">
        <v/>
      </c>
      <c r="I79" s="64"/>
    </row>
    <row r="80" spans="1:24" x14ac:dyDescent="0.45">
      <c r="B80" s="170" t="s">
        <v>275</v>
      </c>
      <c r="C80" s="107" cm="1">
        <f t="array" ref="C80:H80">INDEX(
  Assessment!$43:$43,
  1,
  MATCH(MTP_BaseYear,Assessment!$32:$32,0)
    + _xlfn.SEQUENCE(1, COLUMNS(_xlfn.ANCHORARRAY(C59)), 0)
)</f>
        <v>2.2999999999999998</v>
      </c>
      <c r="D80" s="107">
        <v>2.2000000000000002</v>
      </c>
      <c r="E80" s="107">
        <v>2.1</v>
      </c>
      <c r="F80" s="107">
        <v>1.2</v>
      </c>
      <c r="G80" s="107">
        <v>0.9</v>
      </c>
      <c r="H80" s="107">
        <v>0.9</v>
      </c>
      <c r="I80" s="107"/>
    </row>
    <row r="81" spans="1:54" x14ac:dyDescent="0.45">
      <c r="B81" s="171" t="str">
        <f>ScenarioName</f>
        <v>Annual progress report 2026</v>
      </c>
      <c r="C81" s="108" cm="1">
        <f t="array" ref="C81:H81">INDEX(
  Assessment!$25:$25,
  1,
  MATCH(MTP_BaseYear,Assessment!$4:$4,0)
    + _xlfn.SEQUENCE(1, COLUMNS(_xlfn.ANCHORARRAY(C59)), 0)
)</f>
        <v>1.0494115850457675</v>
      </c>
      <c r="D81" s="64">
        <v>0.56895479625649337</v>
      </c>
      <c r="E81" s="64">
        <v>0.90465793805487582</v>
      </c>
      <c r="F81" s="64">
        <v>1.9</v>
      </c>
      <c r="G81" s="64" t="str">
        <v/>
      </c>
      <c r="H81" s="64" t="str">
        <v/>
      </c>
      <c r="I81" s="64"/>
    </row>
    <row r="82" spans="1:54" x14ac:dyDescent="0.45">
      <c r="B82" s="170" t="s">
        <v>272</v>
      </c>
      <c r="C82" s="107" cm="1">
        <f t="array" ref="C82:H82">INDEX(
  Assessment!$44:$44,
  1,
  MATCH(MTP_BaseYear,Assessment!$32:$32,0)
    + _xlfn.SEQUENCE(1, COLUMNS(_xlfn.ANCHORARRAY(C59)), 0)
)</f>
        <v>-1</v>
      </c>
      <c r="D82" s="107">
        <v>-1.8</v>
      </c>
      <c r="E82" s="107">
        <v>-1</v>
      </c>
      <c r="F82" s="107">
        <v>-0.7</v>
      </c>
      <c r="G82" s="107">
        <v>-0.5</v>
      </c>
      <c r="H82" s="107">
        <v>-0.4</v>
      </c>
      <c r="I82" s="107"/>
    </row>
    <row r="83" spans="1:54" x14ac:dyDescent="0.45">
      <c r="B83" s="172" t="str">
        <f>ScenarioName</f>
        <v>Annual progress report 2026</v>
      </c>
      <c r="C83" s="109" cm="1">
        <f t="array" ref="C83:H83">INDEX(
  Assessment!$26:$26,
  1,
  MATCH(MTP_BaseYear,Assessment!$4:$4,0)
    + _xlfn.SEQUENCE(1, COLUMNS(_xlfn.ANCHORARRAY(C59)), 0)
)</f>
        <v>-0.6672176438640709</v>
      </c>
      <c r="D83" s="109">
        <v>-1.2657760235122772</v>
      </c>
      <c r="E83" s="109">
        <v>-5.9072774617829893E-2</v>
      </c>
      <c r="F83" s="109">
        <v>-1</v>
      </c>
      <c r="G83" s="109" t="str">
        <v/>
      </c>
      <c r="H83" s="109" t="str">
        <v/>
      </c>
      <c r="I83" s="108"/>
    </row>
    <row r="84" spans="1:54" x14ac:dyDescent="0.45">
      <c r="B84" s="153" t="str">
        <f>"Numbers in green indicate "&amp;ScenarioName&amp;" is outperforming the medium-term plan"</f>
        <v>Numbers in green indicate Annual progress report 2026 is outperforming the medium-term plan</v>
      </c>
      <c r="C84" s="108"/>
      <c r="D84" s="108"/>
      <c r="E84" s="108"/>
      <c r="F84" s="108"/>
      <c r="G84" s="108"/>
      <c r="H84" s="108"/>
      <c r="I84"/>
    </row>
    <row r="85" spans="1:54" x14ac:dyDescent="0.45">
      <c r="B85" s="152" t="str">
        <f>"Numbers in red indicate "&amp;ScenarioName&amp;" is underperforming the medium-term plan"</f>
        <v>Numbers in red indicate Annual progress report 2026 is underperforming the medium-term plan</v>
      </c>
      <c r="C85" s="108"/>
      <c r="D85" s="108"/>
      <c r="E85" s="108"/>
      <c r="F85" s="108"/>
      <c r="G85" s="108"/>
      <c r="H85" s="108"/>
      <c r="I85"/>
    </row>
    <row r="86" spans="1:54" x14ac:dyDescent="0.45">
      <c r="B86" s="154" t="str">
        <f>"Numbers in amber indicate "&amp;ScenarioName&amp;" is underperforming the medium-term plan but an escape clause is in place"</f>
        <v>Numbers in amber indicate Annual progress report 2026 is underperforming the medium-term plan but an escape clause is in place</v>
      </c>
      <c r="C86"/>
      <c r="D86"/>
      <c r="E86"/>
      <c r="F86"/>
      <c r="G86"/>
      <c r="H86"/>
      <c r="I86"/>
    </row>
    <row r="89" spans="1:54" ht="23.25" x14ac:dyDescent="0.7">
      <c r="B89" s="13" t="s">
        <v>987</v>
      </c>
    </row>
    <row r="90" spans="1:54" x14ac:dyDescent="0.45">
      <c r="B90" s="105" t="s">
        <v>971</v>
      </c>
    </row>
    <row r="91" spans="1:54" x14ac:dyDescent="0.45">
      <c r="B91" s="105"/>
    </row>
    <row r="92" spans="1:54" ht="15.75" x14ac:dyDescent="0.5">
      <c r="A92" s="111"/>
      <c r="B92" s="114" t="s">
        <v>18</v>
      </c>
      <c r="C92" s="251" t="s">
        <v>17</v>
      </c>
      <c r="D92" s="114"/>
      <c r="E92" s="115" t="s">
        <v>464</v>
      </c>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row>
    <row r="93" spans="1:54" s="295" customFormat="1" ht="19.350000000000001" customHeight="1" thickBot="1" x14ac:dyDescent="0.45">
      <c r="A93" s="291" t="s">
        <v>392</v>
      </c>
      <c r="B93" s="292" t="s">
        <v>985</v>
      </c>
      <c r="C93" s="293" t="str">
        <f t="shared" ref="C93" si="4">IF(D93="At risk","⚠",IF(D93="Compliant","☑",IF(D93="Breach","⮽","☐")))</f>
        <v>⮽</v>
      </c>
      <c r="D93" s="292" t="str">
        <f>Assessment!C379</f>
        <v>Breach</v>
      </c>
      <c r="E93" s="294" t="str">
        <f>Assessment!C381</f>
        <v>The structural balance does not meet the -1.0% threshold for 2025-2027. The -1.5% threshold does not apply because the assessment horizon ends before 2028.</v>
      </c>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c r="AD93" s="294"/>
      <c r="AE93" s="294"/>
      <c r="AF93" s="294"/>
      <c r="AG93" s="294"/>
      <c r="AH93" s="294"/>
      <c r="AI93" s="294"/>
      <c r="AJ93" s="294"/>
      <c r="AK93" s="294"/>
      <c r="AL93" s="294"/>
      <c r="AM93" s="294"/>
      <c r="AN93" s="294"/>
      <c r="AO93" s="294"/>
      <c r="AP93" s="294"/>
      <c r="AQ93" s="294"/>
      <c r="AR93" s="294"/>
      <c r="AS93" s="294"/>
      <c r="AT93" s="294"/>
      <c r="AU93" s="294"/>
      <c r="AV93" s="294"/>
      <c r="AW93" s="294"/>
      <c r="AX93" s="294"/>
      <c r="AY93" s="294"/>
      <c r="AZ93" s="294"/>
      <c r="BA93" s="294"/>
      <c r="BB93" s="294"/>
    </row>
    <row r="94" spans="1:54" ht="14.65" thickTop="1" x14ac:dyDescent="0.45">
      <c r="B94" s="286" t="s">
        <v>986</v>
      </c>
    </row>
  </sheetData>
  <conditionalFormatting sqref="K19:K20">
    <cfRule type="expression" dxfId="167" priority="135">
      <formula>K19&gt;#REF!</formula>
    </cfRule>
    <cfRule type="expression" dxfId="166" priority="136">
      <formula>K19&lt;=#REF!</formula>
    </cfRule>
  </conditionalFormatting>
  <conditionalFormatting sqref="C58:H60 I60 D19:I22">
    <cfRule type="expression" dxfId="165" priority="128">
      <formula>C19&lt;&gt;""</formula>
    </cfRule>
  </conditionalFormatting>
  <conditionalFormatting sqref="C84:H86 M21 L19:N20 L21:L22">
    <cfRule type="expression" dxfId="164" priority="152">
      <formula>ROUND(#REF!,1)&gt;ROUND(C19,1)</formula>
    </cfRule>
    <cfRule type="expression" dxfId="163" priority="153">
      <formula>ROUND(#REF!,1)&lt;=ROUND(C19,1)</formula>
    </cfRule>
  </conditionalFormatting>
  <conditionalFormatting sqref="C10:C14">
    <cfRule type="expression" dxfId="162" priority="67">
      <formula>D10="At risk"</formula>
    </cfRule>
    <cfRule type="expression" dxfId="161" priority="68">
      <formula>D10="Breach"</formula>
    </cfRule>
    <cfRule type="expression" dxfId="160" priority="69">
      <formula>D10="Compliant"</formula>
    </cfRule>
    <cfRule type="expression" dxfId="159" priority="70">
      <formula>AND(D10&lt;&gt;"Compliant", D10&lt;&gt;"Caution", D10&lt;&gt;"Breach")</formula>
    </cfRule>
  </conditionalFormatting>
  <conditionalFormatting sqref="I58:I59">
    <cfRule type="expression" dxfId="158" priority="66">
      <formula>I58&lt;&gt;""</formula>
    </cfRule>
  </conditionalFormatting>
  <conditionalFormatting sqref="D62:L62 D70:L70 D72:L72 D77:I77">
    <cfRule type="expression" dxfId="157" priority="58">
      <formula>ROUND(D61,1)&gt;=ROUND(D62,1)</formula>
    </cfRule>
  </conditionalFormatting>
  <conditionalFormatting sqref="D64:L64 D66:L66 D68:L68 D75:L75 D79:I79 D81:I81">
    <cfRule type="expression" dxfId="156" priority="55">
      <formula>ROUND(D63,1)&lt;=ROUND(D64,1)</formula>
    </cfRule>
  </conditionalFormatting>
  <conditionalFormatting sqref="D83:I83">
    <cfRule type="expression" dxfId="155" priority="10">
      <formula>ROUND(D82,1)&lt;=ROUND(D83,1)</formula>
    </cfRule>
  </conditionalFormatting>
  <conditionalFormatting sqref="B15:BB15">
    <cfRule type="expression" dxfId="154" priority="859">
      <formula>$D$15="Compliant"</formula>
    </cfRule>
    <cfRule type="expression" dxfId="153" priority="860">
      <formula>$D$15="Caution"</formula>
    </cfRule>
    <cfRule type="expression" dxfId="152" priority="861">
      <formula>$D$15="Breach"</formula>
    </cfRule>
    <cfRule type="expression" dxfId="151" priority="862">
      <formula>$D$15="N/A"</formula>
    </cfRule>
  </conditionalFormatting>
  <conditionalFormatting sqref="I57">
    <cfRule type="expression" dxfId="150" priority="867">
      <formula>ROUND(#REF!,1)&lt;ROUND(I57,1)</formula>
    </cfRule>
    <cfRule type="expression" dxfId="149" priority="868">
      <formula>ROUND(#REF!,1)&gt;=ROUND(I57,1)</formula>
    </cfRule>
  </conditionalFormatting>
  <conditionalFormatting sqref="D19:I22">
    <cfRule type="expression" dxfId="148" priority="1006">
      <formula>D$22&lt;&gt;""</formula>
    </cfRule>
  </conditionalFormatting>
  <conditionalFormatting sqref="D52:J52">
    <cfRule type="expression" dxfId="147" priority="9">
      <formula>ISNUMBER(D$22)</formula>
    </cfRule>
  </conditionalFormatting>
  <conditionalFormatting sqref="I83">
    <cfRule type="expression" dxfId="146" priority="1031">
      <formula>ISNUMBER(I$59)</formula>
    </cfRule>
  </conditionalFormatting>
  <conditionalFormatting sqref="C93">
    <cfRule type="expression" dxfId="145" priority="5">
      <formula>D93="At risk"</formula>
    </cfRule>
    <cfRule type="expression" dxfId="144" priority="6">
      <formula>D93="Breach"</formula>
    </cfRule>
    <cfRule type="expression" dxfId="143" priority="7">
      <formula>D93="Compliant"</formula>
    </cfRule>
    <cfRule type="expression" dxfId="142" priority="8">
      <formula>AND(D93&lt;&gt;"Compliant", D93&lt;&gt;"Caution", D93&lt;&gt;"Breach")</formula>
    </cfRule>
  </conditionalFormatting>
  <conditionalFormatting sqref="C16">
    <cfRule type="expression" dxfId="141" priority="1">
      <formula>D16="At risk"</formula>
    </cfRule>
    <cfRule type="expression" dxfId="140" priority="2">
      <formula>D16="Breach"</formula>
    </cfRule>
    <cfRule type="expression" dxfId="139" priority="3">
      <formula>D16="Compliant"</formula>
    </cfRule>
    <cfRule type="expression" dxfId="138" priority="4">
      <formula>AND(D16&lt;&gt;"Compliant", D16&lt;&gt;"Caution", D16&lt;&gt;"Breach")</formula>
    </cfRule>
  </conditionalFormatting>
  <pageMargins left="0.23622047244094491" right="0.23622047244094491" top="0" bottom="0" header="0.31496062992125984" footer="0.31496062992125984"/>
  <pageSetup paperSize="9" scale="45"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9" id="{D895BA0B-C90F-449F-BE88-F0B0E0478CB1}">
            <xm:f>AND(ROUND(D61,1)&lt;ROUND(D62,1),'Step 1 - Set global parameters'!B$21=TRUE)</xm:f>
            <x14:dxf>
              <font>
                <strike val="0"/>
                <color theme="7" tint="-0.24994659260841701"/>
              </font>
            </x14:dxf>
          </x14:cfRule>
          <x14:cfRule type="expression" priority="60" id="{99C27ECD-2434-4CC7-A87E-74BB134CC6F5}">
            <xm:f>AND(ROUND(D61,1)&lt;ROUND(D62,1),'Step 1 - Set global parameters'!B$21=FALSE)</xm:f>
            <x14:dxf>
              <font>
                <strike val="0"/>
                <color rgb="FFC00000"/>
              </font>
            </x14:dxf>
          </x14:cfRule>
          <xm:sqref>D62:L62 D77:I77 D70:L70 D72:L72</xm:sqref>
        </x14:conditionalFormatting>
        <x14:conditionalFormatting xmlns:xm="http://schemas.microsoft.com/office/excel/2006/main">
          <x14:cfRule type="expression" priority="56" id="{7FEDD692-BADA-4C05-B9E9-6CFFAF3EED47}">
            <xm:f>AND(ROUND(D63,1)&gt;ROUND(D64,1),'Step 1 - Set global parameters'!B$21=TRUE)</xm:f>
            <x14:dxf>
              <font>
                <strike val="0"/>
                <color theme="7" tint="-0.24994659260841701"/>
              </font>
            </x14:dxf>
          </x14:cfRule>
          <x14:cfRule type="expression" priority="57" id="{ABC8EC5E-D081-4FDB-A0EB-3B863F1C4B09}">
            <xm:f>AND(ROUND(D63,1)&gt;ROUND(D64,1),'Step 1 - Set global parameters'!B$21=FALSE)</xm:f>
            <x14:dxf>
              <font>
                <strike val="0"/>
                <color rgb="FFC00000"/>
              </font>
            </x14:dxf>
          </x14:cfRule>
          <xm:sqref>D64:L64 D66:L66 D68:L68 D75:L75 D79:I79 D81:I81</xm:sqref>
        </x14:conditionalFormatting>
        <x14:conditionalFormatting xmlns:xm="http://schemas.microsoft.com/office/excel/2006/main">
          <x14:cfRule type="expression" priority="11" id="{CA0F55F7-2D52-4917-BC86-CC04D630406C}">
            <xm:f>AND(ROUND(D82,1)&gt;ROUND(D83,1),'Step 1 - Set global parameters'!B$21=FALSE)</xm:f>
            <x14:dxf>
              <font>
                <color rgb="FFC00000"/>
              </font>
            </x14:dxf>
          </x14:cfRule>
          <x14:cfRule type="expression" priority="12" id="{C7061373-A33E-4425-9F49-D651E91E2586}">
            <xm:f>AND(ROUND(D82,1)&gt;ROUND(D83,1),'Step 1 - Set global parameters'!B$21=TRUE)</xm:f>
            <x14:dxf>
              <font>
                <color theme="7" tint="-0.24994659260841701"/>
              </font>
            </x14:dxf>
          </x14:cfRule>
          <xm:sqref>D83:I83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691</v>
      </c>
      <c r="C1" s="14"/>
    </row>
    <row r="2" spans="2:31" ht="28.5" customHeight="1" x14ac:dyDescent="0.55000000000000004">
      <c r="B2" s="50" t="s">
        <v>312</v>
      </c>
      <c r="C2" s="14"/>
      <c r="AA2" s="79" t="s">
        <v>854</v>
      </c>
      <c r="AB2" s="7"/>
      <c r="AD2" s="79" t="s">
        <v>855</v>
      </c>
    </row>
    <row r="3" spans="2:31" ht="13.5" customHeight="1" x14ac:dyDescent="0.5">
      <c r="B3" s="79" t="s">
        <v>310</v>
      </c>
      <c r="C3" s="14"/>
      <c r="D3" s="44"/>
      <c r="E3" s="44"/>
      <c r="F3" s="44"/>
      <c r="G3" s="44"/>
      <c r="H3" s="44"/>
      <c r="I3" s="44"/>
      <c r="J3" s="44"/>
      <c r="K3" s="44"/>
      <c r="L3" s="44"/>
      <c r="M3" s="44"/>
      <c r="N3" s="44"/>
      <c r="S3" s="44"/>
      <c r="T3" s="44"/>
      <c r="AA3" t="s">
        <v>795</v>
      </c>
      <c r="AB3" s="179" t="s">
        <v>797</v>
      </c>
      <c r="AD3" s="14" t="s">
        <v>857</v>
      </c>
      <c r="AE3" s="179" t="s">
        <v>858</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796</v>
      </c>
      <c r="AB4" s="179" t="s">
        <v>797</v>
      </c>
      <c r="AD4" s="14" t="s">
        <v>859</v>
      </c>
      <c r="AE4" s="179" t="s">
        <v>860</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849</v>
      </c>
      <c r="AB5" s="179" t="s">
        <v>869</v>
      </c>
      <c r="AD5" t="s">
        <v>861</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622</v>
      </c>
      <c r="D6" s="37" t="s">
        <v>683</v>
      </c>
      <c r="E6" s="164">
        <f>F103</f>
        <v>9.1</v>
      </c>
      <c r="F6" s="164">
        <f t="shared" ref="F6:I6" si="0">G103</f>
        <v>5.8999999999999995</v>
      </c>
      <c r="G6" s="164">
        <f t="shared" si="0"/>
        <v>3.5999999999999996</v>
      </c>
      <c r="H6" s="164">
        <f t="shared" si="0"/>
        <v>3.4000000000000004</v>
      </c>
      <c r="I6" s="164">
        <f t="shared" si="0"/>
        <v>3.3000000000000003</v>
      </c>
      <c r="J6" s="37" t="s">
        <v>683</v>
      </c>
      <c r="K6" s="37"/>
      <c r="L6" s="37"/>
      <c r="M6" s="37"/>
      <c r="N6" s="37"/>
      <c r="O6" s="37"/>
      <c r="S6" s="37"/>
      <c r="T6" s="37"/>
      <c r="U6" s="37"/>
      <c r="V6" s="44"/>
      <c r="W6" s="44"/>
      <c r="AA6" t="s">
        <v>789</v>
      </c>
      <c r="AB6" s="179" t="s">
        <v>792</v>
      </c>
      <c r="AD6" t="s">
        <v>870</v>
      </c>
      <c r="AE6" s="179">
        <v>22</v>
      </c>
    </row>
    <row r="7" spans="2:31" ht="13.5" customHeight="1" x14ac:dyDescent="0.4">
      <c r="B7" s="55" t="s">
        <v>206</v>
      </c>
      <c r="C7" s="44"/>
      <c r="D7" s="165">
        <f>E105</f>
        <v>-2.2000000000000002</v>
      </c>
      <c r="E7" s="165">
        <f t="shared" ref="E7:I7" si="1">F105</f>
        <v>-2.6</v>
      </c>
      <c r="F7" s="165">
        <f t="shared" si="1"/>
        <v>-2.9</v>
      </c>
      <c r="G7" s="165">
        <f t="shared" si="1"/>
        <v>-2.9</v>
      </c>
      <c r="H7" s="165">
        <f t="shared" si="1"/>
        <v>-2.9</v>
      </c>
      <c r="I7" s="165">
        <f t="shared" si="1"/>
        <v>-2.9</v>
      </c>
      <c r="J7" s="165" t="s">
        <v>683</v>
      </c>
      <c r="K7" s="165"/>
      <c r="L7" s="165"/>
      <c r="M7" s="165"/>
      <c r="N7" s="165"/>
      <c r="O7" s="165"/>
      <c r="P7" s="165"/>
      <c r="Q7" s="165"/>
      <c r="R7" s="165"/>
      <c r="S7" s="165"/>
      <c r="T7" s="165"/>
      <c r="U7" s="165"/>
      <c r="V7" s="58"/>
      <c r="W7" s="58"/>
      <c r="AA7" t="s">
        <v>853</v>
      </c>
      <c r="AB7" s="179" t="s">
        <v>791</v>
      </c>
      <c r="AD7" t="s">
        <v>862</v>
      </c>
      <c r="AE7" s="179">
        <v>40</v>
      </c>
    </row>
    <row r="8" spans="2:31" ht="13.5" customHeight="1" x14ac:dyDescent="0.4">
      <c r="B8" s="55" t="s">
        <v>0</v>
      </c>
      <c r="C8" s="44"/>
      <c r="D8" s="165">
        <f>E108</f>
        <v>-1.8</v>
      </c>
      <c r="E8" s="165">
        <f t="shared" ref="E8:I8" si="2">F108</f>
        <v>-1.9</v>
      </c>
      <c r="F8" s="165">
        <f t="shared" si="2"/>
        <v>-2.5</v>
      </c>
      <c r="G8" s="165">
        <f t="shared" si="2"/>
        <v>-2.6</v>
      </c>
      <c r="H8" s="165">
        <f t="shared" si="2"/>
        <v>-2.7</v>
      </c>
      <c r="I8" s="165">
        <f t="shared" si="2"/>
        <v>-2.7</v>
      </c>
      <c r="J8" s="165" t="s">
        <v>683</v>
      </c>
      <c r="K8" s="165"/>
      <c r="L8" s="165"/>
      <c r="M8" s="165"/>
      <c r="N8" s="165"/>
      <c r="O8" s="165"/>
      <c r="P8" s="165"/>
      <c r="Q8" s="165"/>
      <c r="R8" s="165"/>
      <c r="S8" s="165"/>
      <c r="T8" s="165"/>
      <c r="U8" s="165"/>
      <c r="V8" s="58"/>
      <c r="W8" s="58"/>
      <c r="AA8" t="s">
        <v>794</v>
      </c>
      <c r="AB8" s="179">
        <v>2</v>
      </c>
      <c r="AD8" t="s">
        <v>863</v>
      </c>
      <c r="AE8" s="179" t="s">
        <v>856</v>
      </c>
    </row>
    <row r="9" spans="2:31" ht="13.5" customHeight="1" x14ac:dyDescent="0.4">
      <c r="B9" s="55" t="s">
        <v>3</v>
      </c>
      <c r="C9" s="44"/>
      <c r="D9" s="165">
        <f>E109</f>
        <v>-1.2</v>
      </c>
      <c r="E9" s="165">
        <f t="shared" ref="E9:I9" si="3">F109</f>
        <v>-0.8</v>
      </c>
      <c r="F9" s="165">
        <f t="shared" si="3"/>
        <v>-1.3</v>
      </c>
      <c r="G9" s="165">
        <f t="shared" si="3"/>
        <v>-1.3</v>
      </c>
      <c r="H9" s="165">
        <f t="shared" si="3"/>
        <v>-1.3</v>
      </c>
      <c r="I9" s="165">
        <f t="shared" si="3"/>
        <v>-1.3</v>
      </c>
      <c r="J9" s="165" t="s">
        <v>683</v>
      </c>
      <c r="K9" s="165"/>
      <c r="L9" s="165"/>
      <c r="M9" s="165"/>
      <c r="N9" s="165"/>
      <c r="O9" s="165"/>
      <c r="P9" s="165"/>
      <c r="Q9" s="165"/>
      <c r="R9" s="165"/>
      <c r="S9" s="165"/>
      <c r="T9" s="165"/>
      <c r="U9" s="165"/>
      <c r="V9" s="58"/>
      <c r="W9" s="58"/>
      <c r="AA9" t="s">
        <v>793</v>
      </c>
      <c r="AB9" s="179">
        <v>60</v>
      </c>
      <c r="AC9" s="44"/>
      <c r="AD9" t="s">
        <v>864</v>
      </c>
      <c r="AE9" s="179">
        <v>56</v>
      </c>
    </row>
    <row r="10" spans="2:31" ht="13.5" customHeight="1" x14ac:dyDescent="0.4">
      <c r="B10" s="55" t="s">
        <v>1</v>
      </c>
      <c r="C10" s="44"/>
      <c r="D10" s="165">
        <f>E111</f>
        <v>43.6</v>
      </c>
      <c r="E10" s="165">
        <f t="shared" ref="E10:I10" si="4">F111</f>
        <v>45.8</v>
      </c>
      <c r="F10" s="165">
        <f t="shared" si="4"/>
        <v>47.5</v>
      </c>
      <c r="G10" s="165">
        <f t="shared" si="4"/>
        <v>48.5</v>
      </c>
      <c r="H10" s="165">
        <f t="shared" si="4"/>
        <v>49.7</v>
      </c>
      <c r="I10" s="165">
        <f t="shared" si="4"/>
        <v>50.8</v>
      </c>
      <c r="J10" s="165" t="s">
        <v>683</v>
      </c>
      <c r="K10" s="165"/>
      <c r="L10" s="165"/>
      <c r="M10" s="165"/>
      <c r="N10" s="165"/>
      <c r="O10" s="165"/>
      <c r="P10" s="165"/>
      <c r="Q10" s="165"/>
      <c r="R10" s="165"/>
      <c r="S10" s="165"/>
      <c r="T10" s="165"/>
      <c r="U10" s="165"/>
      <c r="V10" s="58"/>
      <c r="W10" s="58"/>
      <c r="AA10" t="s">
        <v>850</v>
      </c>
      <c r="AB10" s="179">
        <v>2</v>
      </c>
      <c r="AC10" s="44"/>
      <c r="AD10" t="s">
        <v>868</v>
      </c>
      <c r="AE10" s="179">
        <v>79</v>
      </c>
    </row>
    <row r="11" spans="2:31" x14ac:dyDescent="0.4">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683</v>
      </c>
      <c r="K11" s="165"/>
      <c r="L11" s="165"/>
      <c r="M11" s="165"/>
      <c r="N11" s="165"/>
      <c r="O11" s="165"/>
      <c r="P11" s="165"/>
      <c r="Q11" s="165"/>
      <c r="R11" s="165"/>
      <c r="S11" s="165"/>
      <c r="T11" s="165"/>
      <c r="U11" s="165"/>
      <c r="V11" s="58"/>
      <c r="W11" s="58"/>
      <c r="AA11" t="s">
        <v>871</v>
      </c>
      <c r="AB11" s="179">
        <v>19</v>
      </c>
      <c r="AC11" s="44"/>
      <c r="AD11" t="s">
        <v>865</v>
      </c>
      <c r="AE11" s="179" t="s">
        <v>866</v>
      </c>
    </row>
    <row r="12" spans="2:31" x14ac:dyDescent="0.4">
      <c r="B12" s="55" t="s">
        <v>7</v>
      </c>
      <c r="C12" s="44" t="s">
        <v>621</v>
      </c>
      <c r="D12" s="165">
        <f>E130</f>
        <v>-0.3</v>
      </c>
      <c r="E12" s="165">
        <f t="shared" ref="E12:I12" si="6">F130</f>
        <v>1.4</v>
      </c>
      <c r="F12" s="165">
        <f t="shared" si="6"/>
        <v>2.9</v>
      </c>
      <c r="G12" s="165">
        <f t="shared" si="6"/>
        <v>1.6</v>
      </c>
      <c r="H12" s="165">
        <f t="shared" si="6"/>
        <v>1.2</v>
      </c>
      <c r="I12" s="165">
        <f t="shared" si="6"/>
        <v>1.1000000000000001</v>
      </c>
      <c r="J12" s="165" t="s">
        <v>683</v>
      </c>
      <c r="K12" s="165"/>
      <c r="L12" s="165"/>
      <c r="M12" s="165"/>
      <c r="N12" s="165"/>
      <c r="O12" s="165"/>
      <c r="P12" s="165"/>
      <c r="Q12" s="165"/>
      <c r="R12" s="165"/>
      <c r="S12" s="165"/>
      <c r="T12" s="165"/>
      <c r="U12" s="165"/>
      <c r="V12" s="58"/>
      <c r="W12" s="58"/>
      <c r="AA12" t="s">
        <v>852</v>
      </c>
      <c r="AB12" s="179">
        <v>36</v>
      </c>
      <c r="AD12" t="s">
        <v>867</v>
      </c>
      <c r="AE12" s="179">
        <v>21</v>
      </c>
    </row>
    <row r="13" spans="2:31" x14ac:dyDescent="0.4">
      <c r="B13" s="55" t="s">
        <v>8</v>
      </c>
      <c r="C13" s="44" t="s">
        <v>621</v>
      </c>
      <c r="D13" s="165">
        <f>E131</f>
        <v>5.4</v>
      </c>
      <c r="E13" s="165">
        <f t="shared" ref="E13:I13" si="7">F131</f>
        <v>2.4</v>
      </c>
      <c r="F13" s="165">
        <f t="shared" si="7"/>
        <v>2.5</v>
      </c>
      <c r="G13" s="165">
        <f t="shared" si="7"/>
        <v>2.5</v>
      </c>
      <c r="H13" s="165">
        <f t="shared" si="7"/>
        <v>2.5</v>
      </c>
      <c r="I13" s="165">
        <f t="shared" si="7"/>
        <v>2.5</v>
      </c>
      <c r="J13" s="165" t="s">
        <v>683</v>
      </c>
      <c r="K13" s="165"/>
      <c r="L13" s="165"/>
      <c r="M13" s="165"/>
      <c r="N13" s="165"/>
      <c r="O13" s="165"/>
      <c r="P13" s="165"/>
      <c r="Q13" s="165"/>
      <c r="R13" s="165"/>
      <c r="S13" s="165"/>
      <c r="T13" s="165"/>
      <c r="U13" s="165"/>
      <c r="V13" s="58"/>
      <c r="W13" s="58"/>
      <c r="AA13" t="s">
        <v>851</v>
      </c>
      <c r="AB13" s="179">
        <v>52</v>
      </c>
    </row>
    <row r="14" spans="2:31" x14ac:dyDescent="0.4">
      <c r="B14" s="55" t="s">
        <v>9</v>
      </c>
      <c r="C14" s="44" t="s">
        <v>621</v>
      </c>
      <c r="D14" s="165">
        <f>E132</f>
        <v>5.0999999999999996</v>
      </c>
      <c r="E14" s="165">
        <f t="shared" ref="E14:I14" si="8">F132</f>
        <v>3.8</v>
      </c>
      <c r="F14" s="165">
        <f t="shared" si="8"/>
        <v>5.5</v>
      </c>
      <c r="G14" s="165">
        <f t="shared" si="8"/>
        <v>4.0999999999999996</v>
      </c>
      <c r="H14" s="165">
        <f t="shared" si="8"/>
        <v>3.7</v>
      </c>
      <c r="I14" s="165">
        <f t="shared" si="8"/>
        <v>3.6</v>
      </c>
      <c r="J14" s="165" t="s">
        <v>683</v>
      </c>
      <c r="K14" s="165"/>
      <c r="L14" s="165"/>
      <c r="M14" s="165"/>
      <c r="N14" s="165"/>
      <c r="O14" s="165"/>
      <c r="P14" s="165"/>
      <c r="Q14" s="165"/>
      <c r="R14" s="165"/>
      <c r="S14" s="165"/>
      <c r="T14" s="165"/>
      <c r="U14" s="165"/>
      <c r="V14" s="58"/>
      <c r="W14" s="58"/>
      <c r="AA14" s="150" t="s">
        <v>809</v>
      </c>
    </row>
    <row r="15" spans="2:31" x14ac:dyDescent="0.4">
      <c r="B15" s="55" t="s">
        <v>275</v>
      </c>
      <c r="C15" s="44" t="s">
        <v>621</v>
      </c>
      <c r="D15" s="37">
        <f>E161</f>
        <v>2.2999999999999998</v>
      </c>
      <c r="E15" s="37">
        <f t="shared" ref="E15:I15" si="9">F161</f>
        <v>2.2000000000000002</v>
      </c>
      <c r="F15" s="37">
        <f t="shared" si="9"/>
        <v>2.1</v>
      </c>
      <c r="G15" s="37">
        <f t="shared" si="9"/>
        <v>1.2</v>
      </c>
      <c r="H15" s="37">
        <f t="shared" si="9"/>
        <v>0.9</v>
      </c>
      <c r="I15" s="37">
        <f t="shared" si="9"/>
        <v>0.9</v>
      </c>
      <c r="J15" s="37" t="s">
        <v>683</v>
      </c>
      <c r="K15" s="37"/>
      <c r="L15" s="37"/>
      <c r="M15" s="37"/>
      <c r="N15" s="37"/>
      <c r="O15" s="37"/>
      <c r="P15" s="37"/>
      <c r="Q15" s="37"/>
      <c r="R15" s="37"/>
      <c r="S15" s="37"/>
      <c r="T15" s="37"/>
      <c r="U15" s="37"/>
      <c r="V15" s="44"/>
      <c r="W15" s="44"/>
    </row>
    <row r="16" spans="2:31" ht="19.149999999999999" customHeight="1" x14ac:dyDescent="0.4">
      <c r="B16" s="55" t="s">
        <v>89</v>
      </c>
      <c r="C16" s="55" t="s">
        <v>595</v>
      </c>
      <c r="D16" s="164">
        <f>E167</f>
        <v>-1</v>
      </c>
      <c r="E16" s="164">
        <f t="shared" ref="E16:I16" si="10">F167</f>
        <v>-1.8</v>
      </c>
      <c r="F16" s="164">
        <f t="shared" si="10"/>
        <v>-1</v>
      </c>
      <c r="G16" s="164">
        <f t="shared" si="10"/>
        <v>-0.7</v>
      </c>
      <c r="H16" s="164">
        <f t="shared" si="10"/>
        <v>-0.5</v>
      </c>
      <c r="I16" s="164">
        <f t="shared" si="10"/>
        <v>-0.4</v>
      </c>
      <c r="J16" s="164" t="s">
        <v>683</v>
      </c>
      <c r="K16" s="164"/>
      <c r="L16" s="164"/>
      <c r="M16" s="164"/>
      <c r="N16" s="164"/>
      <c r="O16" s="164"/>
      <c r="P16" s="164"/>
      <c r="Q16" s="164"/>
      <c r="R16" s="164"/>
      <c r="S16" s="164"/>
      <c r="T16" s="164"/>
      <c r="U16" s="164"/>
      <c r="V16" s="48"/>
      <c r="W16" s="48"/>
    </row>
    <row r="17" spans="1:26" ht="20.25" customHeight="1" x14ac:dyDescent="0.4">
      <c r="B17" s="55" t="s">
        <v>735</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f>D86</f>
        <v>0.3</v>
      </c>
      <c r="E18" s="167">
        <f>E86/100*E19</f>
        <v>0.25413179999999996</v>
      </c>
      <c r="F18" s="167">
        <f>F86/100*F19</f>
        <v>0.48361281539999995</v>
      </c>
      <c r="G18" s="167">
        <f t="shared" ref="G18:I18" si="11">G86/100*G19</f>
        <v>0.55659438572399988</v>
      </c>
      <c r="H18" s="167">
        <f t="shared" si="11"/>
        <v>0.62769931850024085</v>
      </c>
      <c r="I18" s="167">
        <f t="shared" si="11"/>
        <v>0.70099528507588416</v>
      </c>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4">
      <c r="B19" s="178" t="s">
        <v>591</v>
      </c>
      <c r="C19" s="61" t="s">
        <v>623</v>
      </c>
      <c r="D19" s="164">
        <f>D132</f>
        <v>40.299999999999997</v>
      </c>
      <c r="E19" s="164">
        <f>D19*(1+E132/100)</f>
        <v>42.355299999999993</v>
      </c>
      <c r="F19" s="164">
        <f t="shared" ref="F19:I19" si="12">E19*(1+F132/100)</f>
        <v>43.964801399999992</v>
      </c>
      <c r="G19" s="164">
        <f t="shared" si="12"/>
        <v>46.382865476999989</v>
      </c>
      <c r="H19" s="164">
        <f t="shared" si="12"/>
        <v>48.284562961556986</v>
      </c>
      <c r="I19" s="164">
        <f t="shared" si="12"/>
        <v>50.071091791134592</v>
      </c>
      <c r="J19" s="164"/>
      <c r="K19" s="164"/>
      <c r="L19" s="164"/>
      <c r="M19" s="164"/>
      <c r="N19" s="164"/>
      <c r="O19" s="164"/>
      <c r="P19" s="164"/>
      <c r="Q19" s="164"/>
      <c r="R19" s="164"/>
      <c r="S19" s="164"/>
      <c r="T19" s="164"/>
      <c r="U19" s="164"/>
      <c r="V19" s="48"/>
      <c r="W19" s="48"/>
    </row>
    <row r="20" spans="1:26" x14ac:dyDescent="0.4">
      <c r="B20" s="55"/>
      <c r="C20" s="55"/>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683</v>
      </c>
      <c r="R22" s="47" t="s">
        <v>683</v>
      </c>
      <c r="S22" s="47" t="s">
        <v>683</v>
      </c>
      <c r="T22" s="47" t="s">
        <v>683</v>
      </c>
      <c r="U22" s="47" t="s">
        <v>683</v>
      </c>
      <c r="V22" s="47" t="s">
        <v>683</v>
      </c>
      <c r="W22" s="47" t="s">
        <v>683</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-2.2000000000000002</v>
      </c>
      <c r="E25" s="253">
        <f t="shared" ref="E25:S25" si="13">F173</f>
        <v>-2.6</v>
      </c>
      <c r="F25" s="253">
        <f t="shared" si="13"/>
        <v>-2.9</v>
      </c>
      <c r="G25" s="253">
        <f t="shared" si="13"/>
        <v>-2.9</v>
      </c>
      <c r="H25" s="253">
        <f t="shared" si="13"/>
        <v>-2.9</v>
      </c>
      <c r="I25" s="253">
        <f t="shared" si="13"/>
        <v>-2.9</v>
      </c>
      <c r="J25" s="253">
        <f t="shared" si="13"/>
        <v>-2.9</v>
      </c>
      <c r="K25" s="253">
        <f t="shared" si="13"/>
        <v>-2.9</v>
      </c>
      <c r="L25" s="253">
        <f t="shared" si="13"/>
        <v>-2.9</v>
      </c>
      <c r="M25" s="253">
        <f t="shared" si="13"/>
        <v>-3</v>
      </c>
      <c r="N25" s="253">
        <f t="shared" si="13"/>
        <v>-3</v>
      </c>
      <c r="O25" s="253">
        <f t="shared" si="13"/>
        <v>-3</v>
      </c>
      <c r="P25" s="253">
        <f t="shared" si="13"/>
        <v>-3</v>
      </c>
      <c r="Q25" s="253">
        <f t="shared" si="13"/>
        <v>-3</v>
      </c>
      <c r="R25" s="253">
        <f t="shared" si="13"/>
        <v>-3</v>
      </c>
      <c r="S25" s="253">
        <f t="shared" si="13"/>
        <v>-2.9</v>
      </c>
      <c r="T25" s="253" t="s">
        <v>683</v>
      </c>
      <c r="U25" s="253" t="s">
        <v>683</v>
      </c>
      <c r="V25" s="253" t="s">
        <v>683</v>
      </c>
      <c r="W25" s="253" t="s">
        <v>683</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43.6</v>
      </c>
      <c r="E27" s="253">
        <f t="shared" ref="E27:S27" si="14">F172</f>
        <v>45.8</v>
      </c>
      <c r="F27" s="253">
        <f t="shared" si="14"/>
        <v>47.5</v>
      </c>
      <c r="G27" s="253">
        <f t="shared" si="14"/>
        <v>48.5</v>
      </c>
      <c r="H27" s="253">
        <f t="shared" si="14"/>
        <v>49.7</v>
      </c>
      <c r="I27" s="253">
        <f t="shared" si="14"/>
        <v>50.8</v>
      </c>
      <c r="J27" s="253">
        <f t="shared" si="14"/>
        <v>51.9</v>
      </c>
      <c r="K27" s="253">
        <f t="shared" si="14"/>
        <v>53</v>
      </c>
      <c r="L27" s="253">
        <f t="shared" si="14"/>
        <v>53.9</v>
      </c>
      <c r="M27" s="253">
        <f t="shared" si="14"/>
        <v>54.9</v>
      </c>
      <c r="N27" s="253">
        <f t="shared" si="14"/>
        <v>55.9</v>
      </c>
      <c r="O27" s="253">
        <f t="shared" si="14"/>
        <v>56.8</v>
      </c>
      <c r="P27" s="253">
        <f t="shared" si="14"/>
        <v>57.7</v>
      </c>
      <c r="Q27" s="253">
        <f t="shared" si="14"/>
        <v>58.5</v>
      </c>
      <c r="R27" s="253">
        <f t="shared" si="14"/>
        <v>59.2</v>
      </c>
      <c r="S27" s="253">
        <f t="shared" si="14"/>
        <v>59.9</v>
      </c>
      <c r="T27" s="253" t="s">
        <v>683</v>
      </c>
      <c r="U27" s="253" t="s">
        <v>683</v>
      </c>
      <c r="V27" s="253" t="s">
        <v>683</v>
      </c>
      <c r="W27" s="253" t="s">
        <v>683</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5">F206</f>
        <v>0</v>
      </c>
      <c r="F29" s="253">
        <f t="shared" si="15"/>
        <v>0</v>
      </c>
      <c r="G29" s="253">
        <f t="shared" si="15"/>
        <v>0</v>
      </c>
      <c r="H29" s="253">
        <f t="shared" si="15"/>
        <v>0</v>
      </c>
      <c r="I29" s="253">
        <f t="shared" si="15"/>
        <v>0</v>
      </c>
      <c r="J29" s="253">
        <f t="shared" si="15"/>
        <v>0</v>
      </c>
      <c r="K29" s="253">
        <f t="shared" si="15"/>
        <v>0</v>
      </c>
      <c r="L29" s="253">
        <f t="shared" si="15"/>
        <v>0</v>
      </c>
      <c r="M29" s="253">
        <f t="shared" si="15"/>
        <v>0</v>
      </c>
      <c r="N29" s="253">
        <f t="shared" si="15"/>
        <v>0</v>
      </c>
      <c r="O29" s="253">
        <f t="shared" si="15"/>
        <v>0</v>
      </c>
      <c r="P29" s="253">
        <f t="shared" si="15"/>
        <v>0</v>
      </c>
      <c r="Q29" s="253">
        <f t="shared" si="15"/>
        <v>0</v>
      </c>
      <c r="R29" s="253">
        <f t="shared" si="15"/>
        <v>0</v>
      </c>
      <c r="S29" s="253">
        <f t="shared" si="15"/>
        <v>0</v>
      </c>
      <c r="T29" s="253" t="s">
        <v>683</v>
      </c>
      <c r="U29" s="253" t="s">
        <v>683</v>
      </c>
      <c r="V29" s="253" t="s">
        <v>683</v>
      </c>
      <c r="W29" s="253" t="s">
        <v>683</v>
      </c>
      <c r="X29" s="37"/>
      <c r="Y29" s="37"/>
      <c r="Z29" s="14"/>
    </row>
    <row r="30" spans="1:26" s="14" customFormat="1" x14ac:dyDescent="0.4">
      <c r="A30"/>
      <c r="B30" s="46" t="s">
        <v>286</v>
      </c>
      <c r="D30" s="253">
        <f t="shared" ref="D30:S30" si="16">E189</f>
        <v>0</v>
      </c>
      <c r="E30" s="253">
        <f t="shared" si="16"/>
        <v>0</v>
      </c>
      <c r="F30" s="253">
        <f t="shared" si="16"/>
        <v>0</v>
      </c>
      <c r="G30" s="253">
        <f t="shared" si="16"/>
        <v>0</v>
      </c>
      <c r="H30" s="253">
        <f t="shared" si="16"/>
        <v>0</v>
      </c>
      <c r="I30" s="253">
        <f t="shared" si="16"/>
        <v>0</v>
      </c>
      <c r="J30" s="253">
        <f t="shared" si="16"/>
        <v>0</v>
      </c>
      <c r="K30" s="253">
        <f t="shared" si="16"/>
        <v>0</v>
      </c>
      <c r="L30" s="253">
        <f t="shared" si="16"/>
        <v>0</v>
      </c>
      <c r="M30" s="253">
        <f t="shared" si="16"/>
        <v>0</v>
      </c>
      <c r="N30" s="253">
        <f t="shared" si="16"/>
        <v>0</v>
      </c>
      <c r="O30" s="253">
        <f t="shared" si="16"/>
        <v>0</v>
      </c>
      <c r="P30" s="253">
        <f t="shared" si="16"/>
        <v>0</v>
      </c>
      <c r="Q30" s="253">
        <f t="shared" si="16"/>
        <v>0</v>
      </c>
      <c r="R30" s="253">
        <f t="shared" si="16"/>
        <v>0</v>
      </c>
      <c r="S30" s="253">
        <f t="shared" si="16"/>
        <v>0</v>
      </c>
      <c r="T30" s="253" t="s">
        <v>683</v>
      </c>
      <c r="U30" s="253" t="s">
        <v>683</v>
      </c>
      <c r="V30" s="253" t="s">
        <v>683</v>
      </c>
      <c r="W30" s="253" t="s">
        <v>683</v>
      </c>
      <c r="X30" s="37"/>
      <c r="Y30" s="37"/>
    </row>
    <row r="31" spans="1:26" s="14" customFormat="1" x14ac:dyDescent="0.4">
      <c r="A31"/>
      <c r="B31" s="46" t="s">
        <v>287</v>
      </c>
      <c r="D31" s="253">
        <f t="shared" ref="D31:S31" si="17">E193</f>
        <v>0</v>
      </c>
      <c r="E31" s="253">
        <f t="shared" si="17"/>
        <v>0</v>
      </c>
      <c r="F31" s="253">
        <f t="shared" si="17"/>
        <v>0</v>
      </c>
      <c r="G31" s="253">
        <f t="shared" si="17"/>
        <v>0</v>
      </c>
      <c r="H31" s="253">
        <f t="shared" si="17"/>
        <v>0</v>
      </c>
      <c r="I31" s="253">
        <f t="shared" si="17"/>
        <v>0</v>
      </c>
      <c r="J31" s="253">
        <f t="shared" si="17"/>
        <v>0</v>
      </c>
      <c r="K31" s="253">
        <f t="shared" si="17"/>
        <v>0</v>
      </c>
      <c r="L31" s="253">
        <f t="shared" si="17"/>
        <v>0</v>
      </c>
      <c r="M31" s="253">
        <f t="shared" si="17"/>
        <v>0</v>
      </c>
      <c r="N31" s="253">
        <f t="shared" si="17"/>
        <v>0</v>
      </c>
      <c r="O31" s="253">
        <f t="shared" si="17"/>
        <v>0</v>
      </c>
      <c r="P31" s="253">
        <f t="shared" si="17"/>
        <v>0</v>
      </c>
      <c r="Q31" s="253">
        <f t="shared" si="17"/>
        <v>0</v>
      </c>
      <c r="R31" s="253">
        <f t="shared" si="17"/>
        <v>0</v>
      </c>
      <c r="S31" s="253">
        <f t="shared" si="17"/>
        <v>0</v>
      </c>
      <c r="T31" s="253" t="s">
        <v>683</v>
      </c>
      <c r="U31" s="253" t="s">
        <v>683</v>
      </c>
      <c r="V31" s="253" t="s">
        <v>683</v>
      </c>
      <c r="W31" s="253" t="s">
        <v>683</v>
      </c>
      <c r="X31" s="37"/>
      <c r="Y31" s="37"/>
    </row>
    <row r="32" spans="1:26" x14ac:dyDescent="0.4">
      <c r="B32" s="46" t="s">
        <v>288</v>
      </c>
      <c r="C32" s="14"/>
      <c r="D32" s="253">
        <f t="shared" ref="D32:S32" si="18">E196</f>
        <v>0</v>
      </c>
      <c r="E32" s="253">
        <f t="shared" si="18"/>
        <v>0</v>
      </c>
      <c r="F32" s="253">
        <f t="shared" si="18"/>
        <v>0</v>
      </c>
      <c r="G32" s="253">
        <f t="shared" si="18"/>
        <v>0</v>
      </c>
      <c r="H32" s="253">
        <f t="shared" si="18"/>
        <v>0</v>
      </c>
      <c r="I32" s="253">
        <f t="shared" si="18"/>
        <v>0</v>
      </c>
      <c r="J32" s="253">
        <f t="shared" si="18"/>
        <v>0</v>
      </c>
      <c r="K32" s="253">
        <f t="shared" si="18"/>
        <v>0</v>
      </c>
      <c r="L32" s="253">
        <f t="shared" si="18"/>
        <v>0</v>
      </c>
      <c r="M32" s="253">
        <f t="shared" si="18"/>
        <v>0</v>
      </c>
      <c r="N32" s="253">
        <f t="shared" si="18"/>
        <v>0</v>
      </c>
      <c r="O32" s="253">
        <f t="shared" si="18"/>
        <v>0</v>
      </c>
      <c r="P32" s="253">
        <f t="shared" si="18"/>
        <v>0</v>
      </c>
      <c r="Q32" s="253">
        <f t="shared" si="18"/>
        <v>0</v>
      </c>
      <c r="R32" s="253">
        <f t="shared" si="18"/>
        <v>0</v>
      </c>
      <c r="S32" s="253">
        <f t="shared" si="18"/>
        <v>0</v>
      </c>
      <c r="T32" s="253" t="s">
        <v>683</v>
      </c>
      <c r="U32" s="253" t="s">
        <v>683</v>
      </c>
      <c r="V32" s="253" t="s">
        <v>683</v>
      </c>
      <c r="W32" s="253" t="s">
        <v>683</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4">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4">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4">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928</v>
      </c>
      <c r="B68"/>
      <c r="C68"/>
      <c r="D68"/>
      <c r="E68"/>
      <c r="F68"/>
      <c r="G68"/>
      <c r="H68"/>
      <c r="I68"/>
      <c r="J68"/>
      <c r="K68"/>
      <c r="L68"/>
      <c r="M68"/>
      <c r="N68"/>
      <c r="O68"/>
      <c r="P68"/>
      <c r="Q68"/>
      <c r="R68"/>
      <c r="S68"/>
      <c r="T68"/>
      <c r="U68"/>
      <c r="V68"/>
      <c r="W68"/>
      <c r="X68"/>
      <c r="Y68"/>
      <c r="Z68"/>
    </row>
    <row r="69" spans="1:26" s="14" customFormat="1" ht="23.25" x14ac:dyDescent="0.7">
      <c r="A69" s="13" t="s">
        <v>787</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5.5</v>
      </c>
      <c r="E72" s="4">
        <v>13.8</v>
      </c>
      <c r="F72" s="4">
        <v>14.3</v>
      </c>
      <c r="G72" s="4"/>
      <c r="H72" s="4"/>
      <c r="I72" s="4"/>
      <c r="J72" s="4"/>
    </row>
    <row r="73" spans="1:26" x14ac:dyDescent="0.4">
      <c r="A73" s="212">
        <v>2</v>
      </c>
      <c r="B73" s="238" t="s">
        <v>33</v>
      </c>
      <c r="C73" s="238" t="s">
        <v>73</v>
      </c>
      <c r="D73" s="4">
        <v>3.1</v>
      </c>
      <c r="E73" s="4">
        <v>7.8</v>
      </c>
      <c r="F73" s="4">
        <v>8.6</v>
      </c>
      <c r="G73" s="4"/>
      <c r="H73" s="4"/>
      <c r="I73" s="4"/>
      <c r="J73" s="4"/>
    </row>
    <row r="74" spans="1:26" x14ac:dyDescent="0.4">
      <c r="A74" s="212">
        <v>3</v>
      </c>
      <c r="B74" s="238" t="s">
        <v>34</v>
      </c>
      <c r="C74" s="238" t="s">
        <v>74</v>
      </c>
      <c r="D74" s="4">
        <v>4.3</v>
      </c>
      <c r="E74" s="4">
        <v>10.6</v>
      </c>
      <c r="F74" s="4">
        <v>11.2</v>
      </c>
      <c r="G74" s="4"/>
      <c r="H74" s="4"/>
      <c r="I74" s="4"/>
      <c r="J74" s="4"/>
    </row>
    <row r="75" spans="1:26" x14ac:dyDescent="0.4">
      <c r="A75" s="212">
        <v>4</v>
      </c>
      <c r="B75" s="238" t="s">
        <v>36</v>
      </c>
      <c r="C75" s="238" t="s">
        <v>75</v>
      </c>
      <c r="D75" s="4">
        <v>2.2999999999999998</v>
      </c>
      <c r="E75" s="4">
        <v>5.6</v>
      </c>
      <c r="F75" s="4">
        <v>6.6</v>
      </c>
      <c r="G75" s="4"/>
      <c r="H75" s="4"/>
      <c r="I75" s="4"/>
      <c r="J75" s="4"/>
    </row>
    <row r="76" spans="1:26" x14ac:dyDescent="0.4">
      <c r="A76" s="212">
        <v>5</v>
      </c>
      <c r="B76" s="238" t="s">
        <v>37</v>
      </c>
      <c r="C76" s="238" t="s">
        <v>76</v>
      </c>
      <c r="D76" s="4">
        <v>0</v>
      </c>
      <c r="E76" s="4">
        <v>0</v>
      </c>
      <c r="F76" s="4">
        <v>0</v>
      </c>
      <c r="G76" s="4"/>
      <c r="H76" s="4"/>
      <c r="I76" s="4"/>
      <c r="J76" s="4"/>
    </row>
    <row r="77" spans="1:26" x14ac:dyDescent="0.4">
      <c r="A77" s="212">
        <v>6</v>
      </c>
      <c r="B77" s="238" t="s">
        <v>38</v>
      </c>
      <c r="C77" s="238" t="s">
        <v>77</v>
      </c>
      <c r="D77" s="4">
        <v>0.4</v>
      </c>
      <c r="E77" s="4">
        <v>1</v>
      </c>
      <c r="F77" s="4">
        <v>1.4</v>
      </c>
      <c r="G77" s="4"/>
      <c r="H77" s="4"/>
      <c r="I77" s="4"/>
      <c r="J77" s="4"/>
    </row>
    <row r="78" spans="1:26" x14ac:dyDescent="0.4">
      <c r="A78" s="212">
        <v>7</v>
      </c>
      <c r="B78" s="238" t="s">
        <v>39</v>
      </c>
      <c r="C78" s="238" t="s">
        <v>78</v>
      </c>
      <c r="D78" s="238">
        <v>15.6</v>
      </c>
      <c r="E78" s="238">
        <v>38.700000000000003</v>
      </c>
      <c r="F78" s="238">
        <v>42.1</v>
      </c>
      <c r="G78" s="238"/>
      <c r="H78" s="238"/>
      <c r="I78" s="238"/>
      <c r="J78" s="238"/>
    </row>
    <row r="79" spans="1:26" x14ac:dyDescent="0.4">
      <c r="A79" s="212">
        <v>8</v>
      </c>
      <c r="B79" s="238" t="s">
        <v>40</v>
      </c>
      <c r="C79" s="238" t="s">
        <v>79</v>
      </c>
      <c r="D79" s="4">
        <v>0.6</v>
      </c>
      <c r="E79" s="4">
        <v>1.5</v>
      </c>
      <c r="F79" s="4">
        <v>1.9</v>
      </c>
      <c r="G79" s="4"/>
      <c r="H79" s="4"/>
      <c r="I79" s="4"/>
      <c r="J79" s="4"/>
    </row>
    <row r="80" spans="1:26" x14ac:dyDescent="0.4">
      <c r="A80" s="212">
        <v>9</v>
      </c>
      <c r="B80" s="238" t="s">
        <v>41</v>
      </c>
      <c r="C80" s="238"/>
      <c r="D80" s="238">
        <v>15</v>
      </c>
      <c r="E80" s="238">
        <v>37.200000000000003</v>
      </c>
      <c r="F80" s="238">
        <v>40.200000000000003</v>
      </c>
      <c r="G80" s="238"/>
      <c r="H80" s="238"/>
      <c r="I80" s="238"/>
      <c r="J80" s="238"/>
    </row>
    <row r="81" spans="1:10" x14ac:dyDescent="0.4">
      <c r="A81" s="212">
        <v>10</v>
      </c>
      <c r="B81" s="238" t="s">
        <v>42</v>
      </c>
      <c r="C81" s="238"/>
      <c r="D81" s="4">
        <v>-0.1</v>
      </c>
      <c r="E81" s="4">
        <v>-0.3</v>
      </c>
      <c r="F81" s="4">
        <v>0.8</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4.7</v>
      </c>
      <c r="E84" s="4">
        <v>11.6</v>
      </c>
      <c r="F84" s="4">
        <v>12.7</v>
      </c>
      <c r="G84" s="4"/>
      <c r="H84" s="4"/>
      <c r="I84" s="4"/>
      <c r="J84" s="4"/>
    </row>
    <row r="85" spans="1:10" x14ac:dyDescent="0.4">
      <c r="A85" s="212">
        <v>13</v>
      </c>
      <c r="B85" s="225" t="s">
        <v>45</v>
      </c>
      <c r="C85" s="225" t="s">
        <v>80</v>
      </c>
      <c r="D85" s="4">
        <v>2.6</v>
      </c>
      <c r="E85" s="4">
        <v>6.3</v>
      </c>
      <c r="F85" s="4">
        <v>6.8</v>
      </c>
      <c r="G85" s="4"/>
      <c r="H85" s="4"/>
      <c r="I85" s="4"/>
      <c r="J85" s="4"/>
    </row>
    <row r="86" spans="1:10" x14ac:dyDescent="0.4">
      <c r="A86" s="212">
        <v>14</v>
      </c>
      <c r="B86" s="225" t="s">
        <v>46</v>
      </c>
      <c r="C86" s="225" t="s">
        <v>28</v>
      </c>
      <c r="D86" s="4">
        <v>0.3</v>
      </c>
      <c r="E86" s="4">
        <v>0.6</v>
      </c>
      <c r="F86" s="4">
        <v>1.1000000000000001</v>
      </c>
      <c r="G86" s="4">
        <v>1.2</v>
      </c>
      <c r="H86" s="4">
        <v>1.3</v>
      </c>
      <c r="I86" s="4">
        <v>1.4</v>
      </c>
      <c r="J86" s="4">
        <v>1.5</v>
      </c>
    </row>
    <row r="87" spans="1:10" x14ac:dyDescent="0.4">
      <c r="A87" s="212">
        <v>15</v>
      </c>
      <c r="B87" s="225" t="s">
        <v>47</v>
      </c>
      <c r="C87" s="225" t="s">
        <v>81</v>
      </c>
      <c r="D87" s="4">
        <v>4.8</v>
      </c>
      <c r="E87" s="4">
        <v>11.9</v>
      </c>
      <c r="F87" s="4">
        <v>12.9</v>
      </c>
      <c r="G87" s="4"/>
      <c r="H87" s="4"/>
      <c r="I87" s="4"/>
      <c r="J87" s="4"/>
    </row>
    <row r="88" spans="1:10" x14ac:dyDescent="0.4">
      <c r="A88" s="212">
        <v>16</v>
      </c>
      <c r="B88" s="225" t="s">
        <v>48</v>
      </c>
      <c r="C88" s="225" t="s">
        <v>82</v>
      </c>
      <c r="D88" s="4">
        <v>0.5</v>
      </c>
      <c r="E88" s="4">
        <v>1.3</v>
      </c>
      <c r="F88" s="4">
        <v>1.3</v>
      </c>
      <c r="G88" s="4"/>
      <c r="H88" s="4"/>
      <c r="I88" s="4"/>
      <c r="J88" s="4"/>
    </row>
    <row r="89" spans="1:10" x14ac:dyDescent="0.4">
      <c r="A89" s="212">
        <v>17</v>
      </c>
      <c r="B89" s="225" t="s">
        <v>49</v>
      </c>
      <c r="C89" s="225" t="s">
        <v>83</v>
      </c>
      <c r="D89" s="4">
        <v>0.6</v>
      </c>
      <c r="E89" s="4">
        <v>1.4</v>
      </c>
      <c r="F89" s="4">
        <v>0.8</v>
      </c>
      <c r="G89" s="4"/>
      <c r="H89" s="4"/>
      <c r="I89" s="4"/>
      <c r="J89" s="4"/>
    </row>
    <row r="90" spans="1:10" x14ac:dyDescent="0.4">
      <c r="A90" s="212">
        <v>18</v>
      </c>
      <c r="B90" s="225" t="s">
        <v>50</v>
      </c>
      <c r="C90" s="225" t="s">
        <v>84</v>
      </c>
      <c r="D90" s="4">
        <v>1.2</v>
      </c>
      <c r="E90" s="4">
        <v>3</v>
      </c>
      <c r="F90" s="4">
        <v>3.8</v>
      </c>
      <c r="G90" s="4"/>
      <c r="H90" s="4"/>
      <c r="I90" s="4"/>
      <c r="J90" s="4"/>
    </row>
    <row r="91" spans="1:10" x14ac:dyDescent="0.4">
      <c r="A91" s="212">
        <v>19</v>
      </c>
      <c r="B91" s="225" t="s">
        <v>10</v>
      </c>
      <c r="C91" s="225" t="s">
        <v>4</v>
      </c>
      <c r="D91" s="4">
        <v>1.7</v>
      </c>
      <c r="E91" s="4">
        <v>4.2</v>
      </c>
      <c r="F91" s="4">
        <v>5.0999999999999996</v>
      </c>
      <c r="G91" s="4"/>
      <c r="H91" s="4"/>
      <c r="I91" s="4"/>
      <c r="J91" s="4"/>
    </row>
    <row r="92" spans="1:10" x14ac:dyDescent="0.4">
      <c r="A92" s="212">
        <v>20</v>
      </c>
      <c r="B92" s="225" t="s">
        <v>51</v>
      </c>
      <c r="C92" s="225"/>
      <c r="D92" s="4">
        <v>1.3</v>
      </c>
      <c r="E92" s="4">
        <v>3.3</v>
      </c>
      <c r="F92" s="4">
        <v>3.9</v>
      </c>
      <c r="G92" s="4">
        <v>4</v>
      </c>
      <c r="H92" s="4">
        <v>4.5</v>
      </c>
      <c r="I92" s="4">
        <v>4.4000000000000004</v>
      </c>
      <c r="J92" s="4">
        <v>4.3</v>
      </c>
    </row>
    <row r="93" spans="1:10" x14ac:dyDescent="0.4">
      <c r="A93" s="212">
        <v>21</v>
      </c>
      <c r="B93" s="225" t="s">
        <v>52</v>
      </c>
      <c r="C93" s="225" t="s">
        <v>85</v>
      </c>
      <c r="D93" s="4">
        <v>0.2</v>
      </c>
      <c r="E93" s="4">
        <v>0.5</v>
      </c>
      <c r="F93" s="4">
        <v>0.1</v>
      </c>
      <c r="G93" s="4"/>
      <c r="H93" s="4"/>
      <c r="I93" s="4"/>
      <c r="J93" s="4"/>
    </row>
    <row r="94" spans="1:10" x14ac:dyDescent="0.4">
      <c r="A94" s="212">
        <v>22</v>
      </c>
      <c r="B94" s="225" t="s">
        <v>53</v>
      </c>
      <c r="C94" s="225" t="s">
        <v>86</v>
      </c>
      <c r="D94" s="4">
        <v>0</v>
      </c>
      <c r="E94" s="4">
        <v>0</v>
      </c>
      <c r="F94" s="4">
        <v>0.2</v>
      </c>
      <c r="G94" s="4"/>
      <c r="H94" s="4"/>
      <c r="I94" s="4"/>
      <c r="J94" s="4"/>
    </row>
    <row r="95" spans="1:10" x14ac:dyDescent="0.4">
      <c r="A95" s="212">
        <v>23</v>
      </c>
      <c r="B95" s="225" t="s">
        <v>54</v>
      </c>
      <c r="C95" s="225" t="s">
        <v>87</v>
      </c>
      <c r="D95" s="238">
        <v>16.5</v>
      </c>
      <c r="E95" s="238">
        <v>41</v>
      </c>
      <c r="F95" s="238">
        <v>44.7</v>
      </c>
      <c r="G95" s="238"/>
      <c r="H95" s="238"/>
      <c r="I95" s="238"/>
      <c r="J95" s="238"/>
    </row>
    <row r="96" spans="1:10" x14ac:dyDescent="0.4">
      <c r="A96" s="212">
        <v>24</v>
      </c>
      <c r="B96" s="225" t="s">
        <v>55</v>
      </c>
      <c r="C96" s="225" t="s">
        <v>79</v>
      </c>
      <c r="D96" s="4">
        <v>0.6</v>
      </c>
      <c r="E96" s="4">
        <v>1.5</v>
      </c>
      <c r="F96" s="4">
        <v>1.9</v>
      </c>
      <c r="G96" s="4"/>
      <c r="H96" s="4"/>
      <c r="I96" s="4"/>
      <c r="J96" s="4"/>
    </row>
    <row r="97" spans="1:10" x14ac:dyDescent="0.4">
      <c r="A97" s="212">
        <v>25</v>
      </c>
      <c r="B97" s="225" t="s">
        <v>56</v>
      </c>
      <c r="C97" s="225"/>
      <c r="D97" s="238">
        <v>15.9</v>
      </c>
      <c r="E97" s="238">
        <v>39.5</v>
      </c>
      <c r="F97" s="238">
        <v>42.8</v>
      </c>
      <c r="G97" s="238"/>
      <c r="H97" s="238"/>
      <c r="I97" s="238"/>
      <c r="J97" s="238"/>
    </row>
    <row r="98" spans="1:10" x14ac:dyDescent="0.4">
      <c r="A98" s="212">
        <v>26</v>
      </c>
      <c r="B98" s="225" t="s">
        <v>736</v>
      </c>
      <c r="C98" s="225"/>
      <c r="D98" s="4">
        <v>0.2</v>
      </c>
      <c r="E98" s="4">
        <v>0.4</v>
      </c>
      <c r="F98" s="4">
        <v>0.4</v>
      </c>
      <c r="G98" s="4"/>
      <c r="H98" s="4"/>
      <c r="I98" s="4"/>
      <c r="J98" s="4"/>
    </row>
    <row r="99" spans="1:10" x14ac:dyDescent="0.4">
      <c r="A99" s="212">
        <v>27</v>
      </c>
      <c r="B99" s="225" t="s">
        <v>57</v>
      </c>
      <c r="C99" s="225"/>
      <c r="D99" s="4">
        <v>0</v>
      </c>
      <c r="E99" s="4">
        <v>0</v>
      </c>
      <c r="F99" s="4">
        <v>0</v>
      </c>
      <c r="G99" s="4"/>
      <c r="H99" s="4"/>
      <c r="I99" s="4"/>
      <c r="J99" s="4"/>
    </row>
    <row r="100" spans="1:10" x14ac:dyDescent="0.4">
      <c r="A100" s="212">
        <v>28</v>
      </c>
      <c r="B100" s="225" t="s">
        <v>58</v>
      </c>
      <c r="C100" s="225"/>
      <c r="D100" s="4">
        <v>0</v>
      </c>
      <c r="E100" s="4">
        <v>0</v>
      </c>
      <c r="F100" s="4">
        <v>0</v>
      </c>
      <c r="G100" s="4"/>
      <c r="H100" s="4"/>
      <c r="I100" s="4"/>
      <c r="J100" s="4"/>
    </row>
    <row r="101" spans="1:10" x14ac:dyDescent="0.4">
      <c r="A101" s="212">
        <v>29</v>
      </c>
      <c r="B101" s="225" t="s">
        <v>59</v>
      </c>
      <c r="C101" s="225"/>
      <c r="D101" s="238">
        <v>15.5</v>
      </c>
      <c r="E101" s="238">
        <v>38.4</v>
      </c>
      <c r="F101" s="238">
        <v>41.2</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811</v>
      </c>
      <c r="C103" s="225" t="s">
        <v>737</v>
      </c>
      <c r="D103" s="244"/>
      <c r="E103" s="4"/>
      <c r="F103" s="4">
        <v>9.1</v>
      </c>
      <c r="G103" s="4">
        <v>5.8999999999999995</v>
      </c>
      <c r="H103" s="4">
        <v>3.5999999999999996</v>
      </c>
      <c r="I103" s="4">
        <v>3.4000000000000004</v>
      </c>
      <c r="J103" s="4">
        <v>3.3000000000000003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-0.9</v>
      </c>
      <c r="E105" s="4">
        <v>-2.2000000000000002</v>
      </c>
      <c r="F105" s="4">
        <v>-2.6</v>
      </c>
      <c r="G105" s="4">
        <v>-2.9</v>
      </c>
      <c r="H105" s="4">
        <v>-2.9</v>
      </c>
      <c r="I105" s="4">
        <v>-2.9</v>
      </c>
      <c r="J105" s="4">
        <v>-2.9</v>
      </c>
    </row>
    <row r="106" spans="1:10" x14ac:dyDescent="0.4">
      <c r="A106" s="212">
        <v>32</v>
      </c>
      <c r="B106" s="225" t="s">
        <v>62</v>
      </c>
      <c r="C106" s="225" t="s">
        <v>88</v>
      </c>
      <c r="D106" s="4">
        <v>-0.6</v>
      </c>
      <c r="E106" s="4">
        <v>-1.6</v>
      </c>
      <c r="F106" s="4">
        <v>-1.5</v>
      </c>
      <c r="G106" s="4">
        <v>-1.7</v>
      </c>
      <c r="H106" s="4">
        <v>-1.6</v>
      </c>
      <c r="I106" s="4">
        <v>-1.5</v>
      </c>
      <c r="J106" s="4">
        <v>-1.4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-1.8</v>
      </c>
      <c r="F108" s="4">
        <v>-1.9</v>
      </c>
      <c r="G108" s="4">
        <v>-2.5</v>
      </c>
      <c r="H108" s="4">
        <v>-2.6</v>
      </c>
      <c r="I108" s="4">
        <v>-2.7</v>
      </c>
      <c r="J108" s="4">
        <v>-2.7</v>
      </c>
    </row>
    <row r="109" spans="1:10" ht="14.25" x14ac:dyDescent="0.45">
      <c r="A109" s="212">
        <v>34</v>
      </c>
      <c r="B109" s="239" t="s">
        <v>3</v>
      </c>
      <c r="C109" s="239"/>
      <c r="D109" s="244"/>
      <c r="E109" s="4">
        <v>-1.2</v>
      </c>
      <c r="F109" s="4">
        <v>-0.8</v>
      </c>
      <c r="G109" s="4">
        <v>-1.3</v>
      </c>
      <c r="H109" s="4">
        <v>-1.3</v>
      </c>
      <c r="I109" s="4">
        <v>-1.3</v>
      </c>
      <c r="J109" s="4">
        <v>-1.3</v>
      </c>
    </row>
    <row r="110" spans="1:10" x14ac:dyDescent="0.4">
      <c r="A110" s="212"/>
      <c r="B110" s="212" t="s">
        <v>20</v>
      </c>
      <c r="C110" s="212"/>
      <c r="D110" s="237" t="s">
        <v>6</v>
      </c>
      <c r="E110" s="237" t="s">
        <v>599</v>
      </c>
      <c r="F110" s="237" t="s">
        <v>599</v>
      </c>
      <c r="G110" s="237" t="s">
        <v>599</v>
      </c>
      <c r="H110" s="237"/>
      <c r="I110" s="237"/>
      <c r="J110" s="237"/>
    </row>
    <row r="111" spans="1:10" x14ac:dyDescent="0.4">
      <c r="A111" s="212">
        <v>35</v>
      </c>
      <c r="B111" s="225" t="s">
        <v>1</v>
      </c>
      <c r="C111" s="225"/>
      <c r="D111" s="4">
        <v>17.600000000000001</v>
      </c>
      <c r="E111" s="4">
        <v>43.6</v>
      </c>
      <c r="F111" s="4">
        <v>45.8</v>
      </c>
      <c r="G111" s="4">
        <v>47.5</v>
      </c>
      <c r="H111" s="4">
        <v>48.5</v>
      </c>
      <c r="I111" s="4">
        <v>49.7</v>
      </c>
      <c r="J111" s="4">
        <v>50.8</v>
      </c>
    </row>
    <row r="112" spans="1:10" x14ac:dyDescent="0.4">
      <c r="A112" s="212">
        <v>36</v>
      </c>
      <c r="B112" s="225" t="s">
        <v>2</v>
      </c>
      <c r="C112" s="225"/>
      <c r="D112" s="4">
        <v>1.5</v>
      </c>
      <c r="E112" s="4">
        <v>1.8</v>
      </c>
      <c r="F112" s="4">
        <v>2.2999999999999998</v>
      </c>
      <c r="G112" s="4">
        <v>1.6</v>
      </c>
      <c r="H112" s="4">
        <v>1.1000000000000001</v>
      </c>
      <c r="I112" s="4">
        <v>1.2</v>
      </c>
      <c r="J112" s="4">
        <v>1.2</v>
      </c>
    </row>
    <row r="113" spans="1:13" x14ac:dyDescent="0.4">
      <c r="A113" s="212">
        <v>37</v>
      </c>
      <c r="B113" s="225" t="s">
        <v>64</v>
      </c>
      <c r="C113" s="225"/>
      <c r="D113" s="242"/>
      <c r="E113" s="242"/>
      <c r="F113" s="242"/>
      <c r="G113" s="242"/>
      <c r="H113" s="238"/>
      <c r="I113" s="238"/>
      <c r="J113" s="238"/>
    </row>
    <row r="114" spans="1:13" ht="14.25" x14ac:dyDescent="0.45">
      <c r="A114" s="212">
        <v>38</v>
      </c>
      <c r="B114" s="240" t="s">
        <v>738</v>
      </c>
      <c r="C114" s="225"/>
      <c r="D114" s="244"/>
      <c r="E114" s="4">
        <v>1.6</v>
      </c>
      <c r="F114" s="4">
        <v>1.5</v>
      </c>
      <c r="G114" s="4">
        <v>1.7</v>
      </c>
      <c r="H114" s="4">
        <v>1.6</v>
      </c>
      <c r="I114" s="4">
        <v>1.5</v>
      </c>
      <c r="J114" s="4">
        <v>1.4</v>
      </c>
    </row>
    <row r="115" spans="1:13" ht="14.25" x14ac:dyDescent="0.45">
      <c r="A115" s="212">
        <v>39</v>
      </c>
      <c r="B115" s="240" t="s">
        <v>739</v>
      </c>
      <c r="C115" s="225"/>
      <c r="D115" s="244"/>
      <c r="E115" s="4">
        <v>-1.4</v>
      </c>
      <c r="F115" s="4">
        <v>-0.5</v>
      </c>
      <c r="G115" s="4">
        <v>-1.2</v>
      </c>
      <c r="H115" s="4">
        <v>-0.5</v>
      </c>
      <c r="I115" s="4">
        <v>-0.3</v>
      </c>
      <c r="J115" s="4">
        <v>-0.2</v>
      </c>
    </row>
    <row r="116" spans="1:13" ht="14.25" x14ac:dyDescent="0.45">
      <c r="A116" s="212">
        <v>40</v>
      </c>
      <c r="B116" s="241" t="s">
        <v>740</v>
      </c>
      <c r="C116" s="225"/>
      <c r="D116" s="244"/>
      <c r="E116" s="4">
        <v>0.6</v>
      </c>
      <c r="F116" s="4">
        <v>1.1000000000000001</v>
      </c>
      <c r="G116" s="4">
        <v>1.2</v>
      </c>
      <c r="H116" s="4">
        <v>1.3</v>
      </c>
      <c r="I116" s="4">
        <v>1.4</v>
      </c>
      <c r="J116" s="4">
        <v>1.5</v>
      </c>
    </row>
    <row r="117" spans="1:13" ht="14.25" x14ac:dyDescent="0.45">
      <c r="A117" s="212">
        <v>41</v>
      </c>
      <c r="B117" s="241" t="s">
        <v>741</v>
      </c>
      <c r="C117" s="225"/>
      <c r="D117" s="244"/>
      <c r="E117" s="4">
        <v>0.1</v>
      </c>
      <c r="F117" s="4">
        <v>-0.6</v>
      </c>
      <c r="G117" s="4">
        <v>-1.3</v>
      </c>
      <c r="H117" s="4">
        <v>-0.7</v>
      </c>
      <c r="I117" s="4">
        <v>-0.5</v>
      </c>
      <c r="J117" s="4">
        <v>-0.5</v>
      </c>
    </row>
    <row r="118" spans="1:13" ht="14.25" x14ac:dyDescent="0.45">
      <c r="A118" s="212">
        <v>42</v>
      </c>
      <c r="B118" s="241" t="s">
        <v>742</v>
      </c>
      <c r="C118" s="225"/>
      <c r="D118" s="244"/>
      <c r="E118" s="4">
        <v>-2.1</v>
      </c>
      <c r="F118" s="4">
        <v>-1</v>
      </c>
      <c r="G118" s="4">
        <v>-1.1000000000000001</v>
      </c>
      <c r="H118" s="4">
        <v>-1.1000000000000001</v>
      </c>
      <c r="I118" s="4">
        <v>-1.2</v>
      </c>
      <c r="J118" s="4">
        <v>-1.2</v>
      </c>
    </row>
    <row r="119" spans="1:13" ht="14.25" x14ac:dyDescent="0.45">
      <c r="A119" s="212">
        <v>43</v>
      </c>
      <c r="B119" s="240" t="s">
        <v>743</v>
      </c>
      <c r="C119" s="225"/>
      <c r="D119" s="244"/>
      <c r="E119" s="4">
        <v>1.6</v>
      </c>
      <c r="F119" s="4">
        <v>1.3</v>
      </c>
      <c r="G119" s="4">
        <v>1</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1.6</v>
      </c>
      <c r="F121" s="4">
        <v>2.6</v>
      </c>
      <c r="G121" s="4">
        <v>2.7</v>
      </c>
      <c r="H121" s="4">
        <v>2.9</v>
      </c>
      <c r="I121" s="4">
        <v>3</v>
      </c>
      <c r="J121" s="4">
        <v>3.1</v>
      </c>
      <c r="M121" s="4"/>
    </row>
    <row r="122" spans="1:13" x14ac:dyDescent="0.4">
      <c r="A122" s="212"/>
      <c r="B122" s="212"/>
      <c r="C122" s="212"/>
      <c r="D122" s="237" t="s">
        <v>6</v>
      </c>
      <c r="E122" s="237" t="s">
        <v>599</v>
      </c>
      <c r="F122" s="237" t="s">
        <v>599</v>
      </c>
      <c r="G122" s="237" t="s">
        <v>599</v>
      </c>
      <c r="H122" s="237" t="s">
        <v>599</v>
      </c>
      <c r="I122" s="237" t="s">
        <v>599</v>
      </c>
      <c r="J122" s="237" t="s">
        <v>599</v>
      </c>
    </row>
    <row r="123" spans="1:13" x14ac:dyDescent="0.4">
      <c r="A123" s="212">
        <v>45</v>
      </c>
      <c r="B123" s="239" t="s">
        <v>744</v>
      </c>
      <c r="C123" s="239" t="s">
        <v>745</v>
      </c>
      <c r="D123" s="4"/>
      <c r="E123" s="4"/>
      <c r="F123" s="4"/>
      <c r="G123" s="4"/>
      <c r="H123" s="4"/>
      <c r="I123" s="4"/>
      <c r="J123" s="4"/>
    </row>
    <row r="124" spans="1:13" x14ac:dyDescent="0.4">
      <c r="A124" s="212">
        <v>46</v>
      </c>
      <c r="B124" s="239" t="s">
        <v>746</v>
      </c>
      <c r="C124" s="239" t="s">
        <v>747</v>
      </c>
      <c r="D124" s="4"/>
      <c r="E124" s="4"/>
      <c r="F124" s="4"/>
      <c r="G124" s="4"/>
      <c r="H124" s="4"/>
      <c r="I124" s="4"/>
      <c r="J124" s="4"/>
    </row>
    <row r="127" spans="1:13" ht="23.25" x14ac:dyDescent="0.7">
      <c r="A127" s="13" t="s">
        <v>788</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748</v>
      </c>
      <c r="D130" s="246"/>
      <c r="E130">
        <v>-0.3</v>
      </c>
      <c r="F130">
        <v>1.4</v>
      </c>
      <c r="G130">
        <v>2.9</v>
      </c>
      <c r="H130" s="4">
        <v>1.6</v>
      </c>
      <c r="I130" s="4">
        <v>1.2</v>
      </c>
      <c r="J130" s="4">
        <v>1.1000000000000001</v>
      </c>
    </row>
    <row r="131" spans="1:10" ht="14.25" x14ac:dyDescent="0.45">
      <c r="A131" s="212">
        <v>2</v>
      </c>
      <c r="B131" s="225" t="s">
        <v>8</v>
      </c>
      <c r="C131" s="225"/>
      <c r="D131" s="246"/>
      <c r="E131">
        <v>5.4</v>
      </c>
      <c r="F131">
        <v>2.4</v>
      </c>
      <c r="G131">
        <v>2.5</v>
      </c>
      <c r="H131" s="4">
        <v>2.5</v>
      </c>
      <c r="I131" s="4">
        <v>2.5</v>
      </c>
      <c r="J131" s="4">
        <v>2.5</v>
      </c>
    </row>
    <row r="132" spans="1:10" x14ac:dyDescent="0.4">
      <c r="A132" s="212">
        <v>3</v>
      </c>
      <c r="B132" s="225" t="s">
        <v>9</v>
      </c>
      <c r="C132" s="225" t="s">
        <v>748</v>
      </c>
      <c r="D132" s="144">
        <v>40.299999999999997</v>
      </c>
      <c r="E132">
        <v>5.0999999999999996</v>
      </c>
      <c r="F132">
        <v>3.8</v>
      </c>
      <c r="G132">
        <v>5.5</v>
      </c>
      <c r="H132" s="4">
        <v>4.0999999999999996</v>
      </c>
      <c r="I132" s="4">
        <v>3.7</v>
      </c>
      <c r="J132" s="4">
        <v>3.6</v>
      </c>
    </row>
    <row r="133" spans="1:10" x14ac:dyDescent="0.4">
      <c r="A133" s="212"/>
      <c r="B133" s="212" t="s">
        <v>749</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750</v>
      </c>
      <c r="C134" s="225" t="s">
        <v>751</v>
      </c>
      <c r="D134" s="246"/>
      <c r="E134">
        <v>-1.3</v>
      </c>
      <c r="F134">
        <v>1.6</v>
      </c>
      <c r="H134" s="4"/>
      <c r="I134" s="4"/>
      <c r="J134" s="4"/>
    </row>
    <row r="135" spans="1:10" ht="14.25" x14ac:dyDescent="0.45">
      <c r="A135" s="212">
        <v>5</v>
      </c>
      <c r="B135" s="225" t="s">
        <v>752</v>
      </c>
      <c r="C135" s="225" t="s">
        <v>751</v>
      </c>
      <c r="D135" s="246"/>
      <c r="E135">
        <v>7</v>
      </c>
      <c r="F135">
        <v>4.5999999999999996</v>
      </c>
      <c r="H135" s="4"/>
      <c r="I135" s="4"/>
      <c r="J135" s="4"/>
    </row>
    <row r="136" spans="1:10" ht="14.25" x14ac:dyDescent="0.45">
      <c r="A136" s="212">
        <v>6</v>
      </c>
      <c r="B136" s="225" t="s">
        <v>10</v>
      </c>
      <c r="C136" s="225" t="s">
        <v>4</v>
      </c>
      <c r="D136" s="246"/>
      <c r="E136">
        <v>4.0999999999999996</v>
      </c>
      <c r="F136">
        <v>0.2</v>
      </c>
      <c r="H136" s="4"/>
      <c r="I136" s="4"/>
      <c r="J136" s="4"/>
    </row>
    <row r="137" spans="1:10" ht="14.25" x14ac:dyDescent="0.45">
      <c r="A137" s="212">
        <v>7</v>
      </c>
      <c r="B137" s="225" t="s">
        <v>753</v>
      </c>
      <c r="C137" s="225" t="s">
        <v>754</v>
      </c>
      <c r="D137" s="246"/>
      <c r="E137" s="247"/>
      <c r="F137" s="247"/>
      <c r="G137" s="247"/>
      <c r="H137" s="248"/>
      <c r="I137" s="248"/>
      <c r="J137" s="248"/>
    </row>
    <row r="138" spans="1:10" ht="14.25" x14ac:dyDescent="0.45">
      <c r="A138" s="212">
        <v>8</v>
      </c>
      <c r="B138" s="225" t="s">
        <v>755</v>
      </c>
      <c r="C138" s="225" t="s">
        <v>756</v>
      </c>
      <c r="D138" s="246"/>
      <c r="E138">
        <v>-5.9</v>
      </c>
      <c r="F138">
        <v>0.3</v>
      </c>
      <c r="H138" s="4"/>
      <c r="I138" s="4"/>
      <c r="J138" s="4"/>
    </row>
    <row r="139" spans="1:10" ht="14.25" x14ac:dyDescent="0.45">
      <c r="A139" s="212">
        <v>9</v>
      </c>
      <c r="B139" s="225" t="s">
        <v>757</v>
      </c>
      <c r="C139" s="225" t="s">
        <v>758</v>
      </c>
      <c r="D139" s="246"/>
      <c r="E139">
        <v>-2.8</v>
      </c>
      <c r="F139">
        <v>1</v>
      </c>
      <c r="H139" s="4"/>
      <c r="I139" s="4"/>
      <c r="J139" s="4"/>
    </row>
    <row r="140" spans="1:10" x14ac:dyDescent="0.4">
      <c r="A140" s="212"/>
      <c r="B140" s="225" t="s">
        <v>759</v>
      </c>
      <c r="C140" s="225"/>
      <c r="D140" s="225"/>
      <c r="E140" s="225"/>
      <c r="F140" s="225"/>
      <c r="G140" s="225"/>
      <c r="H140" s="242"/>
      <c r="I140" s="242"/>
      <c r="J140" s="242"/>
    </row>
    <row r="141" spans="1:10" ht="14.25" x14ac:dyDescent="0.45">
      <c r="A141" s="212">
        <v>10</v>
      </c>
      <c r="B141" s="243" t="s">
        <v>760</v>
      </c>
      <c r="C141" s="225"/>
      <c r="D141" s="246"/>
      <c r="E141">
        <v>2.4</v>
      </c>
      <c r="F141">
        <v>2</v>
      </c>
      <c r="H141" s="4"/>
      <c r="I141" s="4"/>
      <c r="J141" s="4"/>
    </row>
    <row r="142" spans="1:10" ht="14.25" x14ac:dyDescent="0.45">
      <c r="A142" s="212">
        <v>11</v>
      </c>
      <c r="B142" s="243" t="s">
        <v>761</v>
      </c>
      <c r="C142" s="225" t="s">
        <v>754</v>
      </c>
      <c r="D142" s="246"/>
      <c r="E142">
        <v>-0.7</v>
      </c>
      <c r="F142">
        <v>0</v>
      </c>
      <c r="H142" s="4"/>
      <c r="I142" s="4"/>
      <c r="J142" s="4"/>
    </row>
    <row r="143" spans="1:10" ht="14.25" x14ac:dyDescent="0.45">
      <c r="A143" s="212">
        <v>12</v>
      </c>
      <c r="B143" s="243" t="s">
        <v>762</v>
      </c>
      <c r="C143" s="225" t="s">
        <v>763</v>
      </c>
      <c r="D143" s="246"/>
      <c r="E143">
        <v>-2</v>
      </c>
      <c r="F143">
        <v>-0.6</v>
      </c>
      <c r="H143" s="4"/>
      <c r="I143" s="4"/>
      <c r="J143" s="4"/>
    </row>
    <row r="144" spans="1:10" x14ac:dyDescent="0.4">
      <c r="A144" s="212"/>
      <c r="B144" s="212" t="s">
        <v>764</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765</v>
      </c>
      <c r="C145" s="225"/>
      <c r="D145" s="246"/>
      <c r="E145">
        <v>8</v>
      </c>
      <c r="F145">
        <v>1</v>
      </c>
      <c r="H145" s="4"/>
      <c r="I145" s="4"/>
      <c r="J145" s="4"/>
    </row>
    <row r="146" spans="1:10" ht="14.25" x14ac:dyDescent="0.45">
      <c r="A146" s="212">
        <v>14</v>
      </c>
      <c r="B146" s="240" t="s">
        <v>766</v>
      </c>
      <c r="C146" s="225"/>
      <c r="D146" s="246"/>
      <c r="E146">
        <v>8.9</v>
      </c>
      <c r="F146">
        <v>1.2</v>
      </c>
      <c r="H146" s="4"/>
      <c r="I146" s="4"/>
      <c r="J146" s="4"/>
    </row>
    <row r="147" spans="1:10" ht="14.25" x14ac:dyDescent="0.45">
      <c r="A147" s="212">
        <v>15</v>
      </c>
      <c r="B147" s="225" t="s">
        <v>767</v>
      </c>
      <c r="C147" s="225"/>
      <c r="D147" s="246"/>
      <c r="E147">
        <v>0.6</v>
      </c>
      <c r="F147">
        <v>3.6</v>
      </c>
      <c r="H147" s="4"/>
      <c r="I147" s="4"/>
      <c r="J147" s="4"/>
    </row>
    <row r="148" spans="1:10" ht="14.25" x14ac:dyDescent="0.45">
      <c r="A148" s="212">
        <v>16</v>
      </c>
      <c r="B148" s="225" t="s">
        <v>768</v>
      </c>
      <c r="C148" s="225"/>
      <c r="D148" s="246"/>
      <c r="E148">
        <v>6.4</v>
      </c>
      <c r="F148">
        <v>3</v>
      </c>
      <c r="H148" s="4"/>
      <c r="I148" s="4"/>
      <c r="J148" s="4"/>
    </row>
    <row r="149" spans="1:10" ht="14.25" x14ac:dyDescent="0.45">
      <c r="A149" s="212">
        <v>17</v>
      </c>
      <c r="B149" s="225" t="s">
        <v>769</v>
      </c>
      <c r="C149" s="225"/>
      <c r="D149" s="246"/>
      <c r="E149">
        <v>-1.8</v>
      </c>
      <c r="F149">
        <v>1.5</v>
      </c>
      <c r="H149" s="4"/>
      <c r="I149" s="4"/>
      <c r="J149" s="4"/>
    </row>
    <row r="150" spans="1:10" ht="14.25" x14ac:dyDescent="0.45">
      <c r="A150" s="212">
        <v>18</v>
      </c>
      <c r="B150" s="225" t="s">
        <v>770</v>
      </c>
      <c r="C150" s="225"/>
      <c r="D150" s="246"/>
      <c r="E150">
        <v>-5.2</v>
      </c>
      <c r="F150">
        <v>0.7</v>
      </c>
      <c r="H150" s="4"/>
      <c r="I150" s="4"/>
      <c r="J150" s="4"/>
    </row>
    <row r="151" spans="1:10" x14ac:dyDescent="0.4">
      <c r="A151" s="212"/>
      <c r="B151" s="212" t="s">
        <v>771</v>
      </c>
      <c r="C151" s="212" t="s">
        <v>26</v>
      </c>
      <c r="D151" s="235" t="s">
        <v>772</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773</v>
      </c>
      <c r="C152" s="225"/>
      <c r="D152" s="144">
        <v>884</v>
      </c>
      <c r="E152" s="3">
        <v>-0.2</v>
      </c>
      <c r="F152">
        <v>0</v>
      </c>
      <c r="G152" s="3"/>
      <c r="H152" s="64"/>
      <c r="I152" s="64"/>
      <c r="J152" s="64"/>
    </row>
    <row r="153" spans="1:10" x14ac:dyDescent="0.4">
      <c r="A153" s="212">
        <v>20</v>
      </c>
      <c r="B153" s="225" t="s">
        <v>774</v>
      </c>
      <c r="C153" s="225"/>
      <c r="D153" s="144">
        <v>1862</v>
      </c>
      <c r="E153">
        <v>-0.4</v>
      </c>
      <c r="F153">
        <v>0</v>
      </c>
      <c r="H153" s="4"/>
      <c r="I153" s="4"/>
      <c r="J153" s="4"/>
    </row>
    <row r="154" spans="1:10" ht="14.25" x14ac:dyDescent="0.45">
      <c r="A154" s="212">
        <v>21</v>
      </c>
      <c r="B154" s="225" t="s">
        <v>775</v>
      </c>
      <c r="C154" s="225"/>
      <c r="D154" s="246"/>
      <c r="E154">
        <v>-0.1</v>
      </c>
      <c r="F154">
        <v>1.4</v>
      </c>
      <c r="H154" s="4"/>
      <c r="I154" s="4"/>
      <c r="J154" s="4"/>
    </row>
    <row r="155" spans="1:10" ht="14.25" x14ac:dyDescent="0.45">
      <c r="A155" s="212">
        <v>22</v>
      </c>
      <c r="B155" s="225" t="s">
        <v>776</v>
      </c>
      <c r="C155" s="225"/>
      <c r="D155" s="246"/>
      <c r="E155">
        <v>0.3</v>
      </c>
      <c r="F155">
        <v>1.4</v>
      </c>
      <c r="H155" s="4"/>
      <c r="I155" s="4"/>
      <c r="J155" s="4"/>
    </row>
    <row r="156" spans="1:10" x14ac:dyDescent="0.4">
      <c r="A156" s="212">
        <v>23</v>
      </c>
      <c r="B156" s="225" t="s">
        <v>777</v>
      </c>
      <c r="C156" s="225" t="s">
        <v>5</v>
      </c>
      <c r="D156" s="144">
        <v>20.6</v>
      </c>
      <c r="E156">
        <v>12.7</v>
      </c>
      <c r="F156">
        <v>6.7</v>
      </c>
      <c r="H156" s="4"/>
      <c r="I156" s="4"/>
      <c r="J156" s="4"/>
    </row>
    <row r="157" spans="1:10" x14ac:dyDescent="0.4">
      <c r="A157" s="212">
        <v>24</v>
      </c>
      <c r="B157" s="225" t="s">
        <v>778</v>
      </c>
      <c r="C157" s="225"/>
      <c r="D157">
        <v>23298</v>
      </c>
      <c r="E157">
        <v>13</v>
      </c>
      <c r="F157">
        <v>6.7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779</v>
      </c>
      <c r="C159" s="225"/>
      <c r="D159" s="246"/>
      <c r="E159">
        <v>6.5</v>
      </c>
      <c r="F159">
        <v>6.7</v>
      </c>
      <c r="H159" s="4"/>
      <c r="I159" s="4"/>
      <c r="J159" s="4"/>
    </row>
    <row r="160" spans="1:10" x14ac:dyDescent="0.4">
      <c r="A160" s="212"/>
      <c r="B160" s="212" t="s">
        <v>780</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781</v>
      </c>
      <c r="C161" s="225"/>
      <c r="D161" s="246"/>
      <c r="E161">
        <v>2.2999999999999998</v>
      </c>
      <c r="F161">
        <v>2.2000000000000002</v>
      </c>
      <c r="G161">
        <v>2.1</v>
      </c>
      <c r="H161" s="4">
        <v>1.2</v>
      </c>
      <c r="I161" s="4">
        <v>0.9</v>
      </c>
      <c r="J161" s="4">
        <v>0.9</v>
      </c>
    </row>
    <row r="162" spans="1:26" x14ac:dyDescent="0.4">
      <c r="A162" s="212"/>
      <c r="B162" s="225" t="s">
        <v>782</v>
      </c>
      <c r="C162" s="225"/>
      <c r="D162" s="225"/>
      <c r="E162" s="225"/>
      <c r="F162" s="225"/>
      <c r="G162" s="225"/>
      <c r="H162" s="242"/>
      <c r="I162" s="242"/>
      <c r="J162" s="242"/>
    </row>
    <row r="163" spans="1:26" ht="14.25" x14ac:dyDescent="0.45">
      <c r="A163" s="212">
        <v>27</v>
      </c>
      <c r="B163" s="240" t="s">
        <v>783</v>
      </c>
      <c r="C163" s="225"/>
      <c r="D163" s="246"/>
      <c r="E163">
        <v>0</v>
      </c>
      <c r="F163">
        <v>0.1</v>
      </c>
      <c r="H163" s="4"/>
      <c r="I163" s="4"/>
      <c r="J163" s="4"/>
    </row>
    <row r="164" spans="1:26" ht="14.25" x14ac:dyDescent="0.45">
      <c r="A164" s="212">
        <v>28</v>
      </c>
      <c r="B164" s="240" t="s">
        <v>784</v>
      </c>
      <c r="C164" s="225"/>
      <c r="D164" s="246"/>
      <c r="E164">
        <v>0.9</v>
      </c>
      <c r="F164">
        <v>0.8</v>
      </c>
      <c r="H164" s="4"/>
      <c r="I164" s="4"/>
      <c r="J164" s="4"/>
    </row>
    <row r="165" spans="1:26" ht="14.25" x14ac:dyDescent="0.45">
      <c r="A165" s="212">
        <v>29</v>
      </c>
      <c r="B165" s="240" t="s">
        <v>785</v>
      </c>
      <c r="C165" s="225"/>
      <c r="D165" s="246"/>
      <c r="E165">
        <v>1.4</v>
      </c>
      <c r="F165">
        <v>1.4</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v>
      </c>
      <c r="F167">
        <v>-1.8</v>
      </c>
      <c r="G167">
        <v>-1</v>
      </c>
      <c r="H167" s="4">
        <v>-0.7</v>
      </c>
      <c r="I167" s="4">
        <v>-0.5</v>
      </c>
      <c r="J167" s="4">
        <v>-0.4</v>
      </c>
    </row>
    <row r="170" spans="1:26" ht="23.25" x14ac:dyDescent="0.6">
      <c r="A170" s="187" t="s">
        <v>818</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819</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820</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4">
      <c r="A173" s="194">
        <v>2</v>
      </c>
      <c r="B173" s="195" t="s">
        <v>821</v>
      </c>
      <c r="C173" s="196" t="s">
        <v>822</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4">
      <c r="A174" s="194">
        <v>3</v>
      </c>
      <c r="B174" s="195" t="s">
        <v>3</v>
      </c>
      <c r="C174" s="196" t="s">
        <v>823</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4">
      <c r="A175" s="194">
        <v>4</v>
      </c>
      <c r="B175" s="195" t="s">
        <v>824</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825</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826</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4">
      <c r="A178" s="194">
        <v>7</v>
      </c>
      <c r="B178" s="199" t="s">
        <v>827</v>
      </c>
      <c r="C178" s="196" t="s">
        <v>828</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4">
      <c r="A179" s="194">
        <v>8</v>
      </c>
      <c r="B179" s="199" t="s">
        <v>829</v>
      </c>
      <c r="C179" s="196" t="s">
        <v>830</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831</v>
      </c>
      <c r="C180" s="196" t="s">
        <v>832</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4">
      <c r="A181" s="194">
        <v>10</v>
      </c>
      <c r="B181" s="195" t="s">
        <v>833</v>
      </c>
      <c r="C181" s="196" t="s">
        <v>834</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835</v>
      </c>
      <c r="C182" s="196" t="s">
        <v>836</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4">
      <c r="A183" s="194">
        <v>12</v>
      </c>
      <c r="B183" s="200" t="s">
        <v>7</v>
      </c>
      <c r="C183" s="196" t="s">
        <v>837</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4">
      <c r="A184" s="194">
        <v>13</v>
      </c>
      <c r="B184" s="201" t="s">
        <v>8</v>
      </c>
      <c r="C184" s="196" t="s">
        <v>838</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839</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840</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820</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827</v>
      </c>
      <c r="C190" s="196" t="s">
        <v>828</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829</v>
      </c>
      <c r="C191" s="196" t="s">
        <v>830</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820</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823</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820</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827</v>
      </c>
      <c r="C197" s="196" t="s">
        <v>828</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829</v>
      </c>
      <c r="C198" s="196" t="s">
        <v>830</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837</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835</v>
      </c>
      <c r="C200" s="196" t="s">
        <v>836</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841</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842</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820</v>
      </c>
      <c r="D206" s="225"/>
    </row>
    <row r="207" spans="1:23" x14ac:dyDescent="0.4">
      <c r="A207" s="224">
        <v>2</v>
      </c>
      <c r="B207" s="225" t="s">
        <v>821</v>
      </c>
      <c r="C207" s="225" t="s">
        <v>822</v>
      </c>
      <c r="D207" s="225"/>
    </row>
    <row r="208" spans="1:23" x14ac:dyDescent="0.4">
      <c r="A208" s="224">
        <v>3</v>
      </c>
      <c r="B208" s="225" t="s">
        <v>3</v>
      </c>
      <c r="C208" s="225" t="s">
        <v>823</v>
      </c>
      <c r="D208" s="225"/>
    </row>
    <row r="209" spans="1:23" x14ac:dyDescent="0.4">
      <c r="A209" s="224">
        <v>4</v>
      </c>
      <c r="B209" s="225" t="s">
        <v>824</v>
      </c>
      <c r="C209" s="225"/>
      <c r="D209" s="225"/>
    </row>
    <row r="210" spans="1:23" x14ac:dyDescent="0.4">
      <c r="A210" s="224">
        <v>5</v>
      </c>
      <c r="B210" s="225" t="s">
        <v>25</v>
      </c>
      <c r="C210" s="225" t="s">
        <v>826</v>
      </c>
      <c r="D210" s="225"/>
    </row>
    <row r="211" spans="1:23" x14ac:dyDescent="0.4">
      <c r="A211" s="224">
        <v>6</v>
      </c>
      <c r="B211" s="225" t="s">
        <v>827</v>
      </c>
      <c r="C211" s="225" t="s">
        <v>828</v>
      </c>
      <c r="D211" s="225"/>
    </row>
    <row r="212" spans="1:23" x14ac:dyDescent="0.4">
      <c r="A212" s="224">
        <v>7</v>
      </c>
      <c r="B212" s="225" t="s">
        <v>829</v>
      </c>
      <c r="C212" s="225" t="s">
        <v>830</v>
      </c>
      <c r="D212" s="225"/>
    </row>
    <row r="213" spans="1:23" x14ac:dyDescent="0.4">
      <c r="A213" s="224">
        <v>8</v>
      </c>
      <c r="B213" s="225" t="s">
        <v>831</v>
      </c>
      <c r="C213" s="225" t="s">
        <v>832</v>
      </c>
      <c r="D213" s="225"/>
    </row>
    <row r="214" spans="1:23" x14ac:dyDescent="0.4">
      <c r="A214" s="224">
        <v>9</v>
      </c>
      <c r="B214" s="225" t="s">
        <v>835</v>
      </c>
      <c r="C214" s="225" t="s">
        <v>836</v>
      </c>
      <c r="D214" s="225"/>
    </row>
    <row r="215" spans="1:23" x14ac:dyDescent="0.4">
      <c r="A215" s="224">
        <v>10</v>
      </c>
      <c r="B215" s="225" t="s">
        <v>7</v>
      </c>
      <c r="C215" s="225" t="s">
        <v>837</v>
      </c>
      <c r="D215" s="225"/>
    </row>
    <row r="216" spans="1:23" x14ac:dyDescent="0.4">
      <c r="A216" s="224">
        <v>11</v>
      </c>
      <c r="B216" s="225" t="s">
        <v>8</v>
      </c>
      <c r="C216" s="225" t="s">
        <v>838</v>
      </c>
      <c r="D216" s="225"/>
    </row>
    <row r="217" spans="1:23" x14ac:dyDescent="0.4">
      <c r="A217" s="224">
        <v>12</v>
      </c>
      <c r="B217" s="225" t="s">
        <v>9</v>
      </c>
      <c r="C217" s="225" t="s">
        <v>839</v>
      </c>
      <c r="D217" s="225"/>
    </row>
    <row r="218" spans="1:23" x14ac:dyDescent="0.4">
      <c r="A218" s="226">
        <v>13</v>
      </c>
      <c r="B218" s="227" t="s">
        <v>843</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844</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820</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845</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846</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847</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848</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31" priority="21">
      <formula>ISNUMBER(D4)</formula>
    </cfRule>
  </conditionalFormatting>
  <conditionalFormatting sqref="D4:N4">
    <cfRule type="expression" dxfId="130" priority="20">
      <formula>ISNUMBER(D4)</formula>
    </cfRule>
  </conditionalFormatting>
  <conditionalFormatting sqref="D19:K19">
    <cfRule type="expression" dxfId="129" priority="19">
      <formula>ISNUMBER(D$4)</formula>
    </cfRule>
  </conditionalFormatting>
  <conditionalFormatting sqref="D63:W63">
    <cfRule type="expression" dxfId="128" priority="18">
      <formula>ISNUMBER(D37)</formula>
    </cfRule>
  </conditionalFormatting>
  <conditionalFormatting sqref="D37:W37">
    <cfRule type="expression" dxfId="127" priority="17">
      <formula>ISNUMBER(D37)</formula>
    </cfRule>
  </conditionalFormatting>
  <conditionalFormatting sqref="D22:W22 D38:W38">
    <cfRule type="expression" dxfId="126" priority="16">
      <formula>ISNUMBER(D21)</formula>
    </cfRule>
  </conditionalFormatting>
  <conditionalFormatting sqref="D21:W21">
    <cfRule type="expression" dxfId="125" priority="15">
      <formula>ISNUMBER(D21)</formula>
    </cfRule>
  </conditionalFormatting>
  <conditionalFormatting sqref="D33:W33">
    <cfRule type="expression" dxfId="124" priority="14">
      <formula>ISNUMBER(D$21)</formula>
    </cfRule>
  </conditionalFormatting>
  <conditionalFormatting sqref="D40:Z41">
    <cfRule type="expression" dxfId="123" priority="13">
      <formula>AND(D$37=AdjustmentPeriodEnd, Receives_reference_trajectory=FALSE)</formula>
    </cfRule>
  </conditionalFormatting>
  <conditionalFormatting sqref="D25:Z25 D27:Z27 D44:Z47">
    <cfRule type="expression" dxfId="122" priority="12">
      <formula>AND(D$37&lt;&gt;"", Receives_reference_trajectory=FALSE)</formula>
    </cfRule>
  </conditionalFormatting>
  <conditionalFormatting sqref="D33">
    <cfRule type="expression" dxfId="121" priority="9">
      <formula>AND(Receives_reference_trajectory=TRUE,D$21&lt;&gt;"")</formula>
    </cfRule>
  </conditionalFormatting>
  <conditionalFormatting sqref="D25:Z25 D29:Z32 D27:Z27">
    <cfRule type="expression" dxfId="120" priority="8">
      <formula>AND(Receives_reference_trajectory=TRUE,D$21&lt;&gt;"")</formula>
    </cfRule>
  </conditionalFormatting>
  <conditionalFormatting sqref="D49:Z52 D29:S32 D44:Z47">
    <cfRule type="expression" dxfId="119" priority="7">
      <formula>AND(Receives_reference_trajectory,D$37&lt;&gt;"")</formula>
    </cfRule>
  </conditionalFormatting>
  <conditionalFormatting sqref="F39:L39">
    <cfRule type="expression" dxfId="118" priority="6">
      <formula>AND(Receives_reference_trajectory,F$38&lt;&gt;"")</formula>
    </cfRule>
  </conditionalFormatting>
  <conditionalFormatting sqref="D54:Z62">
    <cfRule type="expression" dxfId="117" priority="5">
      <formula>AND(D$37&gt;AdjustmentPeriodEnd,D$37&lt;=StochasticLastYear,Receives_reference_trajectory)</formula>
    </cfRule>
  </conditionalFormatting>
  <conditionalFormatting sqref="D63:Z63">
    <cfRule type="expression" dxfId="116" priority="4">
      <formula>AND(D$37&gt;AdjustmentPeriodEnd,D$37&lt;=StochasticLastYear,Receives_reference_trajectory)</formula>
    </cfRule>
  </conditionalFormatting>
  <conditionalFormatting sqref="O6">
    <cfRule type="expression" dxfId="115" priority="760">
      <formula>ISNUMBER(AA14)</formula>
    </cfRule>
  </conditionalFormatting>
  <conditionalFormatting sqref="D29:W33">
    <cfRule type="expression" dxfId="114" priority="2">
      <formula>NOT(Receives_reference_trajectory)</formula>
    </cfRule>
  </conditionalFormatting>
  <conditionalFormatting sqref="G6:M16">
    <cfRule type="expression" dxfId="113"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628</v>
      </c>
      <c r="D2" s="3"/>
    </row>
    <row r="3" spans="2:5" ht="15" customHeight="1" x14ac:dyDescent="0.4">
      <c r="B3" t="s">
        <v>328</v>
      </c>
      <c r="C3" t="s">
        <v>329</v>
      </c>
      <c r="D3" s="52" t="s">
        <v>23</v>
      </c>
      <c r="E3" s="10" t="str">
        <f t="shared" ref="E3:E5" si="0">HYPERLINK("#"&amp;ADDRESS(ROW(),COLUMN()-1),CHAR(128))</f>
        <v>€</v>
      </c>
    </row>
    <row r="4" spans="2:5" x14ac:dyDescent="0.4">
      <c r="B4" t="s">
        <v>874</v>
      </c>
      <c r="D4" s="52" t="s">
        <v>23</v>
      </c>
      <c r="E4" s="10" t="str">
        <f t="shared" si="0"/>
        <v>€</v>
      </c>
    </row>
    <row r="5" spans="2:5" x14ac:dyDescent="0.4">
      <c r="B5" t="s">
        <v>881</v>
      </c>
      <c r="D5" s="52" t="s">
        <v>23</v>
      </c>
      <c r="E5" s="10" t="str">
        <f t="shared" si="0"/>
        <v>€</v>
      </c>
    </row>
    <row r="6" spans="2:5" x14ac:dyDescent="0.4">
      <c r="D6" s="53"/>
    </row>
    <row r="7" spans="2:5" ht="18" x14ac:dyDescent="0.55000000000000004">
      <c r="B7" s="50" t="s">
        <v>629</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630</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631</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 style="22" customWidth="1"/>
    <col min="4" max="4" width="5.57031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parameters'!B32,
  IF('Step 1 - Set global parameters'!B34,
    Country&amp;" is subject to both an excessive deficit procedure and an excessive debt procedure.",
    Country&amp;" is subject to an excessive deficit procedure."),
  IF('Step 1 - Set global parameters'!B34,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2"/>
      <c r="B9" s="50" t="s">
        <v>891</v>
      </c>
      <c r="C9" s="50"/>
      <c r="D9" s="75"/>
      <c r="E9" s="27"/>
    </row>
    <row r="10" spans="1:27" ht="19.149999999999999" customHeight="1" x14ac:dyDescent="0.7">
      <c r="A10" s="112" t="s">
        <v>394</v>
      </c>
      <c r="B10" s="78" t="s">
        <v>872</v>
      </c>
      <c r="C10" s="78" t="s">
        <v>888</v>
      </c>
      <c r="D10" s="75" t="str">
        <f>IF(E10="At risk","⚠",IF(E10="Compliant","☑",IF(E10="Breach","⮽","☐")))</f>
        <v>☑</v>
      </c>
      <c r="E10" s="27" t="str">
        <f>IF(Assessment!$C$230,"Compliant","Breach")</f>
        <v>Compliant</v>
      </c>
      <c r="F10" s="22" t="str">
        <f>Assessment!C231</f>
        <v>The Fiscal Discipline Council has concluded that the MTP's alternative macroeconomic assumptions are based on sound and data-driven arguments and are plausible.</v>
      </c>
    </row>
    <row r="11" spans="1:27" ht="19.149999999999999" customHeight="1" x14ac:dyDescent="0.7">
      <c r="A11" s="112" t="s">
        <v>395</v>
      </c>
      <c r="B11" s="78" t="s">
        <v>518</v>
      </c>
      <c r="C11" s="78" t="s">
        <v>886</v>
      </c>
      <c r="D11" s="75" t="str">
        <f>IF(E11="At risk","⚠",IF(E11="Compliant","☑",IF(E11="Breach","⮽","☐")))</f>
        <v>☑</v>
      </c>
      <c r="E11" s="27" t="str">
        <f>IF(Assessment!$C$234,"Compliant","Breach")</f>
        <v>Compliant</v>
      </c>
      <c r="F11" s="22" t="str">
        <f>Assessment!C235</f>
        <v>The Fiscal Discipline Council has concluded that the plan contains all information required by Article 13 of Regulation (EU) 2024/1263.</v>
      </c>
    </row>
    <row r="12" spans="1:27" ht="19.149999999999999" customHeight="1" x14ac:dyDescent="0.7">
      <c r="A12" s="112" t="s">
        <v>396</v>
      </c>
      <c r="B12" s="78" t="s">
        <v>530</v>
      </c>
      <c r="C12" s="78" t="s">
        <v>887</v>
      </c>
      <c r="D12" s="75" t="str">
        <f>IF(E12="At risk","⚠",IF(E12="Compliant","☑",IF(E12="Breach","⮽","☐")))</f>
        <v>☐</v>
      </c>
      <c r="E12" s="27" t="str">
        <f>IF(
  AdjustmentPeriod=7,
  IF(Assessment!C239, "Compliant", "Breach"),
  "N/A"
)</f>
        <v>N/A</v>
      </c>
      <c r="F12" s="22" t="str">
        <f>Assessment!C240</f>
        <v>Not applicable. Latvia has not requested an extension of the adjustment period.</v>
      </c>
    </row>
    <row r="13" spans="1:27" ht="19.149999999999999" customHeight="1" x14ac:dyDescent="0.7">
      <c r="A13" s="112"/>
      <c r="B13" s="250" t="s">
        <v>906</v>
      </c>
      <c r="D13" s="75"/>
      <c r="E13" s="27"/>
    </row>
    <row r="14" spans="1:27" ht="19.149999999999999" customHeight="1" x14ac:dyDescent="0.7">
      <c r="A14" s="112" t="s">
        <v>397</v>
      </c>
      <c r="B14" s="78" t="s">
        <v>517</v>
      </c>
      <c r="C14" s="78" t="s">
        <v>907</v>
      </c>
      <c r="D14" s="75" t="str">
        <f>IF(E14="At risk","⚠",IF(E14="Compliant","☑",IF(E14="Breach","⮽","☐")))</f>
        <v>☐</v>
      </c>
      <c r="E14" s="27" t="str">
        <f>_xlfn.IFNA(
  IF(
    NOT(Receives_reference_trajectory),
    "N/A",
    IF(
      NOT(Assessment!$C$248),
      "Compliant",
      IF(
        Assessment!$C$249,
        "Compliant",
        "Breach"
      )
    )
  ),
  "N/A"
)</f>
        <v>N/A</v>
      </c>
      <c r="F14" s="22" t="str">
        <f>Assessment!C250</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2" t="s">
        <v>398</v>
      </c>
      <c r="B15" s="78" t="s">
        <v>901</v>
      </c>
      <c r="C15" s="78" t="s">
        <v>907</v>
      </c>
      <c r="D15" s="75" t="str">
        <f>IF(E15="At risk","⚠",IF(E15="Compliant","☑",IF(E15="Breach","⮽","☐")))</f>
        <v>☑</v>
      </c>
      <c r="E15" s="27" t="str">
        <f>IF(Receives_reference_trajectory,IF(Assessment!C256,"Compliant","Breach"),IF(Assessment!C266,"Compliant","Breach"))</f>
        <v>Compliant</v>
      </c>
      <c r="F15" s="22" t="str">
        <f>IF(Receives_reference_trajectory,Assessment!C257,Assessment!C267)</f>
        <v>The net expenditure path in Latvia's latest MTP ensures the primary structural balance is above the minimum level of the Commission's prior guidance at the end of the adjustment period.</v>
      </c>
    </row>
    <row r="16" spans="1:27" ht="19.149999999999999" customHeight="1" x14ac:dyDescent="0.7">
      <c r="A16" s="112" t="s">
        <v>399</v>
      </c>
      <c r="B16" s="78" t="s">
        <v>579</v>
      </c>
      <c r="C16" s="78" t="s">
        <v>902</v>
      </c>
      <c r="D16" s="75" t="str">
        <f t="shared" ref="D16:D19" si="0">IF(E16="At risk","⚠",IF(E16="Compliant","☑",IF(E16="Breach","⮽","☐")))</f>
        <v>☑</v>
      </c>
      <c r="E16" s="27" t="str">
        <f>IF(Receives_reference_trajectory,IF(Assessment!C279,"Compliant","Breach"),IF(Assessment!C283,"Compliant","Breach"))</f>
        <v>Compliant</v>
      </c>
      <c r="F16" s="22" t="str">
        <f>IF(Receives_reference_trajectory,Assessment!$C$280,Assessment!$C$284)</f>
        <v>Latvia's debt remains below the TFEU debt reference level in each of the ten years following the adjustment period.</v>
      </c>
    </row>
    <row r="17" spans="1:34" ht="19.149999999999999" customHeight="1" x14ac:dyDescent="0.7">
      <c r="A17" s="112" t="s">
        <v>400</v>
      </c>
      <c r="B17" s="78" t="s">
        <v>580</v>
      </c>
      <c r="C17" s="78" t="s">
        <v>902</v>
      </c>
      <c r="D17" s="75" t="str">
        <f t="shared" si="0"/>
        <v>☑</v>
      </c>
      <c r="E17" s="27" t="str">
        <f>IF(Receives_reference_trajectory,IF(Assessment!C289,"Compliant","Breach"),IF(Assessment!C293,"Compliant","Breach"))</f>
        <v>Compliant</v>
      </c>
      <c r="F17" s="22" t="str">
        <f>IF(Receives_reference_trajectory,Assessment!$C$290,Assessment!$C$297)</f>
        <v>Latvia's deficit remains below the TFEU reference level in the final year of the adjustment period and throughout the following ten years.</v>
      </c>
    </row>
    <row r="18" spans="1:34" ht="19.149999999999999" customHeight="1" x14ac:dyDescent="0.7">
      <c r="A18" s="112" t="s">
        <v>401</v>
      </c>
      <c r="B18" s="78" t="s">
        <v>500</v>
      </c>
      <c r="C18" s="78" t="s">
        <v>908</v>
      </c>
      <c r="D18" s="75" t="str">
        <f t="shared" si="0"/>
        <v>☐</v>
      </c>
      <c r="E18" s="27" t="str">
        <f>IF(Receives_reference_trajectory,IF(Assessment!C308,"Compliant","Breach"),"N/A")</f>
        <v>N/A</v>
      </c>
      <c r="F18" s="22" t="str">
        <f>Assessment!C310</f>
        <v>Not applicable - Latvia is not required to comply with a reference trajectory.</v>
      </c>
    </row>
    <row r="19" spans="1:34" ht="19.149999999999999" customHeight="1" x14ac:dyDescent="0.7">
      <c r="A19" s="112" t="s">
        <v>402</v>
      </c>
      <c r="B19" s="78" t="s">
        <v>290</v>
      </c>
      <c r="C19" s="78" t="s">
        <v>903</v>
      </c>
      <c r="D19" s="75" t="str">
        <f t="shared" si="0"/>
        <v>☐</v>
      </c>
      <c r="E19" s="78" t="str">
        <f>_xlfn.IFNA(IF(Assessment!C321,"Compliant",IF(NOT(Assessment!C330),"Breach")),"N/A")</f>
        <v>N/A</v>
      </c>
      <c r="F19" s="22" t="str">
        <f>Assessment!C322</f>
        <v>The Council has not opened an excessive deficit procedure against Latvia.</v>
      </c>
    </row>
    <row r="20" spans="1:34" ht="19.149999999999999" customHeight="1" x14ac:dyDescent="0.7">
      <c r="A20" s="112"/>
      <c r="B20" s="250" t="s">
        <v>873</v>
      </c>
      <c r="C20" s="250"/>
      <c r="D20" s="75"/>
      <c r="E20" s="78"/>
    </row>
    <row r="21" spans="1:34" ht="19.149999999999999" customHeight="1" x14ac:dyDescent="0.7">
      <c r="A21" s="112" t="s">
        <v>403</v>
      </c>
      <c r="B21" s="78" t="s">
        <v>459</v>
      </c>
      <c r="C21" s="78" t="s">
        <v>904</v>
      </c>
      <c r="D21" s="75" t="str">
        <f t="shared" ref="D21:D22" si="1">IF(E21="At risk","⚠",IF(E21="Compliant","☑",IF(E21="Breach","⮽","☐")))</f>
        <v>☐</v>
      </c>
      <c r="E21" s="27" t="str">
        <f>IF(
  NOT(Receives_reference_trajectory),
  "N/A",
  IF(
    OR(Assessment!C327, Assessment!C328),
    IF(
      OR(
        IF(Assessment!C327,NOT(Assessment!C329), FALSE),
        IF(Assessment!C328,NOT(Assessment!C330), FALSE)
      ),
      "Breach",
      "Compliant"
    ),
    "The debt sustainability safeguard does not apply."
  )
)</f>
        <v>N/A</v>
      </c>
      <c r="F21" s="22" t="str">
        <f>Assessment!C333</f>
        <v>Latvia does not receive a reference trajectory and its MTP is not assessed against the debt sustainability safeguard.</v>
      </c>
    </row>
    <row r="22" spans="1:34" ht="19.149999999999999" customHeight="1" x14ac:dyDescent="0.7">
      <c r="A22" s="112" t="s">
        <v>404</v>
      </c>
      <c r="B22" s="78" t="s">
        <v>588</v>
      </c>
      <c r="C22" s="78" t="s">
        <v>905</v>
      </c>
      <c r="D22" s="75" t="str">
        <f t="shared" si="1"/>
        <v>☐</v>
      </c>
      <c r="E22" s="27" t="str">
        <f>IF(
  NOT(Receives_reference_trajectory),
  "N/A",
  IF(
    OR(Assessment!C342=FALSE, ISNA(Assessment!C344)),
    "N/A",
    IF(Assessment!C344, "Compliant", "Breach")
  )
)</f>
        <v>N/A</v>
      </c>
      <c r="F22" s="22" t="str">
        <f>Assessment!C346</f>
        <v>Latvia does not receive a reference trajectory and its MTP is not assessed against the deficit resilience safeguard.</v>
      </c>
    </row>
    <row r="23" spans="1:34" ht="19.149999999999999" customHeight="1" x14ac:dyDescent="0.7">
      <c r="A23" s="112" t="s">
        <v>461</v>
      </c>
      <c r="B23" s="78" t="s">
        <v>689</v>
      </c>
      <c r="C23" s="78" t="s">
        <v>909</v>
      </c>
      <c r="D23" s="75" t="str">
        <f>IF(E23="At risk","⚠",IF(E23="Compliant","☑",IF(E23="Breach","⮽","☐")))</f>
        <v>☑</v>
      </c>
      <c r="E23" s="78" t="str">
        <f>IF(
  Receives_reference_trajectory,
  IF(
    OR(ISNA(Assessment!C350), ISNA(Assessment!C351)),
    "N/A",
    IF(
      Assessment!C351 &gt;= Assessment!C350,
      "Compliant",
      IF(
        EscapeClauseActivated,
        "At risk",
        "At risk"
      )
    )
  ),
  IF(
    ISNA(Assessment!$C$362),
    "N/A",
    IF(
      Assessment!$C$362,
      "Compliant",
      "Breach"
    )
  )
)</f>
        <v>Compliant</v>
      </c>
      <c r="F23" s="22" t="str">
        <f>_xlfn.IFNA(IF(Receives_reference_trajectory,Assessment!C356,Assessment!C365),"N/A")</f>
        <v>Latvia is required to meet the structural primary balance condition without a safeguard. This condition is met, although the safeguard threshold is not.</v>
      </c>
    </row>
    <row r="24" spans="1:34" ht="19.149999999999999" customHeight="1" x14ac:dyDescent="0.7">
      <c r="A24" s="112"/>
      <c r="B24" s="250" t="s">
        <v>882</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IF(Receives_reference_trajectory,Assessment!C370,Assessment!C374)</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2" priority="782">
      <formula>E10="Caution"</formula>
    </cfRule>
    <cfRule type="expression" dxfId="111" priority="783">
      <formula>E10="Breach"</formula>
    </cfRule>
    <cfRule type="expression" dxfId="110" priority="784">
      <formula>E10="Compliant"</formula>
    </cfRule>
    <cfRule type="expression" dxfId="109" priority="785">
      <formula>AND(E10&lt;&gt;"Compliant", E10&lt;&gt;"Caution", E10&lt;&gt;"Breach")</formula>
    </cfRule>
  </conditionalFormatting>
  <conditionalFormatting sqref="B25:AH25">
    <cfRule type="expression" dxfId="108" priority="790">
      <formula>$E$25="Compliant"</formula>
    </cfRule>
    <cfRule type="expression" dxfId="107" priority="791">
      <formula>$E$25="Caution"</formula>
    </cfRule>
    <cfRule type="expression" dxfId="106" priority="792">
      <formula>$E$25="Breach"</formula>
    </cfRule>
  </conditionalFormatting>
  <conditionalFormatting sqref="D9:D10">
    <cfRule type="expression" dxfId="105" priority="848">
      <formula>#REF!="No"</formula>
    </cfRule>
    <cfRule type="expression" dxfId="104"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140625" customWidth="1"/>
    <col min="15" max="15" width="9.140625" customWidth="1"/>
  </cols>
  <sheetData>
    <row r="1" spans="1:14" ht="31.9" x14ac:dyDescent="1">
      <c r="A1" s="77" t="s">
        <v>798</v>
      </c>
      <c r="C1" s="7"/>
    </row>
    <row r="2" spans="1:14" x14ac:dyDescent="0.4">
      <c r="B2" s="3" t="s">
        <v>930</v>
      </c>
      <c r="C2" s="179">
        <v>2023</v>
      </c>
    </row>
    <row r="4" spans="1:14" ht="23.25" x14ac:dyDescent="0.7">
      <c r="A4" s="13" t="s">
        <v>787</v>
      </c>
    </row>
    <row r="5" spans="1:14" x14ac:dyDescent="0.4">
      <c r="A5" s="234"/>
      <c r="B5" s="234"/>
      <c r="C5" s="234"/>
      <c r="D5" s="271">
        <f>C2</f>
        <v>2023</v>
      </c>
      <c r="E5" s="271" cm="1">
        <f t="array" ref="E5:H5">_xlfn.SEQUENCE(1, AssessmentEnd-C2+1, C2)</f>
        <v>2023</v>
      </c>
      <c r="F5" s="271">
        <v>2024</v>
      </c>
      <c r="G5" s="271">
        <v>2025</v>
      </c>
      <c r="H5" s="271">
        <v>2026</v>
      </c>
      <c r="I5" s="271"/>
      <c r="J5" s="271"/>
      <c r="K5" s="271"/>
      <c r="L5" s="271"/>
      <c r="M5" s="271"/>
    </row>
    <row r="6" spans="1:14" x14ac:dyDescent="0.4">
      <c r="A6" s="212"/>
      <c r="B6" s="212" t="s">
        <v>30</v>
      </c>
      <c r="C6" s="212" t="s">
        <v>31</v>
      </c>
      <c r="D6" s="271" t="s">
        <v>6</v>
      </c>
      <c r="E6" s="271" t="str" cm="1">
        <f t="array" ref="E6:H6">IF(ISNUMBER(_xlfn.ANCHORARRAY(E$5)),"% of GDP","")</f>
        <v>% of GDP</v>
      </c>
      <c r="F6" s="271" t="str">
        <v>% of GDP</v>
      </c>
      <c r="G6" s="271" t="str">
        <v>% of GDP</v>
      </c>
      <c r="H6" s="271" t="str">
        <v>% of GDP</v>
      </c>
      <c r="I6" s="271"/>
      <c r="J6" s="271"/>
      <c r="K6" s="271"/>
      <c r="L6" s="271"/>
      <c r="M6" s="271"/>
    </row>
    <row r="7" spans="1:14" x14ac:dyDescent="0.4">
      <c r="A7" s="212">
        <v>1</v>
      </c>
      <c r="B7" s="238" t="s">
        <v>32</v>
      </c>
      <c r="C7" s="238" t="s">
        <v>72</v>
      </c>
      <c r="D7" s="270"/>
      <c r="E7" s="270"/>
      <c r="F7" s="270"/>
      <c r="G7" s="270"/>
      <c r="H7" s="270"/>
      <c r="I7" s="270"/>
      <c r="J7" s="270"/>
      <c r="K7" s="270"/>
      <c r="L7" s="270"/>
      <c r="M7" s="270"/>
    </row>
    <row r="8" spans="1:14" x14ac:dyDescent="0.4">
      <c r="A8" s="212">
        <v>2</v>
      </c>
      <c r="B8" s="238" t="s">
        <v>33</v>
      </c>
      <c r="C8" s="238" t="s">
        <v>73</v>
      </c>
      <c r="D8" s="270"/>
      <c r="E8" s="270"/>
      <c r="F8" s="270"/>
      <c r="G8" s="270"/>
      <c r="H8" s="270"/>
      <c r="I8" s="270"/>
      <c r="J8" s="270"/>
      <c r="K8" s="270"/>
      <c r="L8" s="270"/>
      <c r="M8" s="270"/>
    </row>
    <row r="9" spans="1:14" x14ac:dyDescent="0.4">
      <c r="A9" s="212">
        <v>3</v>
      </c>
      <c r="B9" s="238" t="s">
        <v>34</v>
      </c>
      <c r="C9" s="238" t="s">
        <v>74</v>
      </c>
      <c r="D9" s="270"/>
      <c r="E9" s="270"/>
      <c r="F9" s="270"/>
      <c r="G9" s="270"/>
      <c r="H9" s="270"/>
      <c r="I9" s="270"/>
      <c r="J9" s="270"/>
      <c r="K9" s="270"/>
      <c r="L9" s="270"/>
      <c r="M9" s="270"/>
    </row>
    <row r="10" spans="1:14" x14ac:dyDescent="0.4">
      <c r="A10" s="212">
        <v>4</v>
      </c>
      <c r="B10" s="238" t="s">
        <v>36</v>
      </c>
      <c r="C10" s="238" t="s">
        <v>75</v>
      </c>
      <c r="D10" s="270"/>
      <c r="E10" s="270"/>
      <c r="F10" s="270"/>
      <c r="G10" s="270"/>
      <c r="H10" s="270"/>
      <c r="I10" s="270"/>
      <c r="J10" s="270"/>
      <c r="K10" s="270"/>
      <c r="L10" s="270"/>
      <c r="M10" s="270"/>
    </row>
    <row r="11" spans="1:14" x14ac:dyDescent="0.4">
      <c r="A11" s="212">
        <v>5</v>
      </c>
      <c r="B11" s="238" t="s">
        <v>37</v>
      </c>
      <c r="C11" s="238" t="s">
        <v>76</v>
      </c>
      <c r="D11" s="270"/>
      <c r="E11" s="270"/>
      <c r="F11" s="270"/>
      <c r="G11" s="270"/>
      <c r="H11" s="270"/>
      <c r="I11" s="270"/>
      <c r="J11" s="270"/>
      <c r="K11" s="270"/>
      <c r="L11" s="270"/>
      <c r="M11" s="270"/>
    </row>
    <row r="12" spans="1:14" x14ac:dyDescent="0.4">
      <c r="A12" s="212">
        <v>6</v>
      </c>
      <c r="B12" s="238" t="s">
        <v>38</v>
      </c>
      <c r="C12" s="238" t="s">
        <v>77</v>
      </c>
      <c r="D12" s="270"/>
      <c r="E12" s="270"/>
      <c r="F12" s="270"/>
      <c r="G12" s="270"/>
      <c r="H12" s="270"/>
      <c r="I12" s="270"/>
      <c r="J12" s="270"/>
      <c r="K12" s="270"/>
      <c r="L12" s="270"/>
      <c r="M12" s="270"/>
    </row>
    <row r="13" spans="1:14" x14ac:dyDescent="0.4">
      <c r="A13" s="212">
        <v>7</v>
      </c>
      <c r="B13" s="238" t="s">
        <v>39</v>
      </c>
      <c r="C13" s="238" t="s">
        <v>78</v>
      </c>
      <c r="D13" s="274">
        <f>D7+D8+D9+D10+D11+D12</f>
        <v>0</v>
      </c>
      <c r="E13" s="274">
        <f t="shared" ref="E13:J13" si="0">E7+E8+E9+E10+E11+E12</f>
        <v>0</v>
      </c>
      <c r="F13" s="274">
        <f t="shared" si="0"/>
        <v>0</v>
      </c>
      <c r="G13" s="274">
        <f t="shared" si="0"/>
        <v>0</v>
      </c>
      <c r="H13" s="274">
        <f t="shared" si="0"/>
        <v>0</v>
      </c>
      <c r="I13" s="274">
        <f t="shared" si="0"/>
        <v>0</v>
      </c>
      <c r="J13" s="274">
        <f t="shared" si="0"/>
        <v>0</v>
      </c>
      <c r="K13" s="274">
        <f t="shared" ref="K13" si="1">K7+K8+K9+K10+K11+K12</f>
        <v>0</v>
      </c>
      <c r="L13" s="274">
        <f t="shared" ref="L13" si="2">L7+L8+L9+L10+L11+L12</f>
        <v>0</v>
      </c>
      <c r="M13" s="274">
        <f t="shared" ref="M13" si="3">M7+M8+M9+M10+M11+M12</f>
        <v>0</v>
      </c>
      <c r="N13" s="44"/>
    </row>
    <row r="14" spans="1:14" x14ac:dyDescent="0.4">
      <c r="A14" s="212">
        <v>8</v>
      </c>
      <c r="B14" s="238" t="s">
        <v>40</v>
      </c>
      <c r="C14" s="238" t="s">
        <v>79</v>
      </c>
      <c r="D14" s="270"/>
      <c r="E14" s="270"/>
      <c r="F14" s="270"/>
      <c r="G14" s="270"/>
      <c r="H14" s="270"/>
      <c r="I14" s="270"/>
      <c r="J14" s="270"/>
      <c r="K14" s="270"/>
      <c r="L14" s="270"/>
      <c r="M14" s="270"/>
    </row>
    <row r="15" spans="1:14" x14ac:dyDescent="0.4">
      <c r="A15" s="212">
        <v>9</v>
      </c>
      <c r="B15" s="238" t="s">
        <v>41</v>
      </c>
      <c r="C15" s="238"/>
      <c r="D15" s="274">
        <f>D13-D14</f>
        <v>0</v>
      </c>
      <c r="E15" s="274">
        <f t="shared" ref="E15:J15" si="4">E13-E14</f>
        <v>0</v>
      </c>
      <c r="F15" s="274">
        <f t="shared" si="4"/>
        <v>0</v>
      </c>
      <c r="G15" s="274">
        <f t="shared" si="4"/>
        <v>0</v>
      </c>
      <c r="H15" s="274">
        <f t="shared" si="4"/>
        <v>0</v>
      </c>
      <c r="I15" s="274">
        <f t="shared" si="4"/>
        <v>0</v>
      </c>
      <c r="J15" s="274">
        <f t="shared" si="4"/>
        <v>0</v>
      </c>
      <c r="K15" s="274">
        <f t="shared" ref="K15" si="5">K13-K14</f>
        <v>0</v>
      </c>
      <c r="L15" s="274">
        <f t="shared" ref="L15" si="6">L13-L14</f>
        <v>0</v>
      </c>
      <c r="M15" s="274">
        <f t="shared" ref="M15" si="7">M13-M14</f>
        <v>0</v>
      </c>
    </row>
    <row r="16" spans="1:14" x14ac:dyDescent="0.4">
      <c r="A16" s="212">
        <v>10</v>
      </c>
      <c r="B16" s="238" t="s">
        <v>42</v>
      </c>
      <c r="C16" s="238"/>
      <c r="D16" s="270"/>
      <c r="E16" s="270"/>
      <c r="F16" s="270"/>
      <c r="G16" s="270"/>
      <c r="H16" s="270"/>
      <c r="I16" s="270"/>
      <c r="J16" s="270"/>
      <c r="K16" s="270"/>
      <c r="L16" s="270"/>
      <c r="M16" s="270"/>
    </row>
    <row r="17" spans="1:13" x14ac:dyDescent="0.4">
      <c r="A17" s="212">
        <v>11</v>
      </c>
      <c r="B17" s="238" t="s">
        <v>43</v>
      </c>
      <c r="C17" s="238"/>
      <c r="D17" s="270"/>
      <c r="E17" s="270"/>
      <c r="F17" s="270"/>
      <c r="G17" s="270"/>
      <c r="H17" s="270"/>
      <c r="I17" s="270"/>
      <c r="J17" s="270"/>
      <c r="K17" s="270"/>
      <c r="L17" s="270"/>
      <c r="M17" s="270"/>
    </row>
    <row r="18" spans="1:13" x14ac:dyDescent="0.4">
      <c r="A18" s="212"/>
      <c r="B18" s="212" t="s">
        <v>29</v>
      </c>
      <c r="C18" s="212" t="s">
        <v>31</v>
      </c>
      <c r="D18" s="271" t="s">
        <v>6</v>
      </c>
      <c r="E18" s="271" t="str" cm="1">
        <f t="array" ref="E18:H18">IF(ISNUMBER(_xlfn.ANCHORARRAY(E$5)),"% of GDP","")</f>
        <v>% of GDP</v>
      </c>
      <c r="F18" s="271" t="str">
        <v>% of GDP</v>
      </c>
      <c r="G18" s="271" t="str">
        <v>% of GDP</v>
      </c>
      <c r="H18" s="271" t="str">
        <v>% of GDP</v>
      </c>
      <c r="I18" s="271"/>
      <c r="J18" s="271"/>
      <c r="K18" s="271"/>
      <c r="L18" s="271"/>
      <c r="M18" s="271"/>
    </row>
    <row r="19" spans="1:13" x14ac:dyDescent="0.4">
      <c r="A19" s="212">
        <v>12</v>
      </c>
      <c r="B19" s="225" t="s">
        <v>44</v>
      </c>
      <c r="C19" s="225" t="s">
        <v>5</v>
      </c>
      <c r="D19" s="270"/>
      <c r="E19" s="270"/>
      <c r="F19" s="270"/>
      <c r="G19" s="270"/>
      <c r="H19" s="270"/>
      <c r="I19" s="270"/>
      <c r="J19" s="270"/>
      <c r="K19" s="270"/>
      <c r="L19" s="270"/>
      <c r="M19" s="270"/>
    </row>
    <row r="20" spans="1:13" x14ac:dyDescent="0.4">
      <c r="A20" s="212">
        <v>13</v>
      </c>
      <c r="B20" s="225" t="s">
        <v>45</v>
      </c>
      <c r="C20" s="225" t="s">
        <v>80</v>
      </c>
      <c r="D20" s="270"/>
      <c r="E20" s="270"/>
      <c r="F20" s="270"/>
      <c r="G20" s="270"/>
      <c r="H20" s="270"/>
      <c r="I20" s="270"/>
      <c r="J20" s="270"/>
      <c r="K20" s="270"/>
      <c r="L20" s="270"/>
      <c r="M20" s="270"/>
    </row>
    <row r="21" spans="1:13" x14ac:dyDescent="0.4">
      <c r="A21" s="212">
        <v>14</v>
      </c>
      <c r="B21" s="225" t="s">
        <v>46</v>
      </c>
      <c r="C21" s="225" t="s">
        <v>28</v>
      </c>
      <c r="D21" s="270"/>
      <c r="E21" s="270"/>
      <c r="F21" s="270"/>
      <c r="G21" s="270"/>
      <c r="H21" s="270"/>
      <c r="I21" s="270"/>
      <c r="J21" s="270"/>
      <c r="K21" s="270"/>
      <c r="L21" s="270"/>
      <c r="M21" s="270"/>
    </row>
    <row r="22" spans="1:13" x14ac:dyDescent="0.4">
      <c r="A22" s="212">
        <v>15</v>
      </c>
      <c r="B22" s="225" t="s">
        <v>47</v>
      </c>
      <c r="C22" s="225" t="s">
        <v>81</v>
      </c>
      <c r="D22" s="270"/>
      <c r="E22" s="270"/>
      <c r="F22" s="270"/>
      <c r="G22" s="270"/>
      <c r="H22" s="270"/>
      <c r="I22" s="270"/>
      <c r="J22" s="270"/>
      <c r="K22" s="270"/>
      <c r="L22" s="270"/>
      <c r="M22" s="270"/>
    </row>
    <row r="23" spans="1:13" x14ac:dyDescent="0.4">
      <c r="A23" s="212">
        <v>16</v>
      </c>
      <c r="B23" s="225" t="s">
        <v>48</v>
      </c>
      <c r="C23" s="225" t="s">
        <v>82</v>
      </c>
      <c r="D23" s="270"/>
      <c r="E23" s="270"/>
      <c r="F23" s="270"/>
      <c r="G23" s="270"/>
      <c r="H23" s="270"/>
      <c r="I23" s="270"/>
      <c r="J23" s="270"/>
      <c r="K23" s="270"/>
      <c r="L23" s="270"/>
      <c r="M23" s="270"/>
    </row>
    <row r="24" spans="1:13" x14ac:dyDescent="0.4">
      <c r="A24" s="212">
        <v>17</v>
      </c>
      <c r="B24" s="225" t="s">
        <v>49</v>
      </c>
      <c r="C24" s="225" t="s">
        <v>83</v>
      </c>
      <c r="D24" s="270"/>
      <c r="E24" s="270"/>
      <c r="F24" s="270"/>
      <c r="G24" s="270"/>
      <c r="H24" s="270"/>
      <c r="I24" s="270"/>
      <c r="J24" s="270"/>
      <c r="K24" s="270"/>
      <c r="L24" s="270"/>
      <c r="M24" s="270"/>
    </row>
    <row r="25" spans="1:13" x14ac:dyDescent="0.4">
      <c r="A25" s="212">
        <v>18</v>
      </c>
      <c r="B25" s="225" t="s">
        <v>50</v>
      </c>
      <c r="C25" s="225" t="s">
        <v>84</v>
      </c>
      <c r="D25" s="270"/>
      <c r="E25" s="270"/>
      <c r="F25" s="270"/>
      <c r="G25" s="270"/>
      <c r="H25" s="270"/>
      <c r="I25" s="270"/>
      <c r="J25" s="270"/>
      <c r="K25" s="270"/>
      <c r="L25" s="270"/>
      <c r="M25" s="270"/>
    </row>
    <row r="26" spans="1:13" x14ac:dyDescent="0.4">
      <c r="A26" s="212">
        <v>19</v>
      </c>
      <c r="B26" s="225" t="s">
        <v>10</v>
      </c>
      <c r="C26" s="225" t="s">
        <v>4</v>
      </c>
      <c r="D26" s="270"/>
      <c r="E26" s="270"/>
      <c r="F26" s="270"/>
      <c r="G26" s="270"/>
      <c r="H26" s="270"/>
      <c r="I26" s="270"/>
      <c r="J26" s="270"/>
      <c r="K26" s="270"/>
      <c r="L26" s="270"/>
      <c r="M26" s="270"/>
    </row>
    <row r="27" spans="1:13" x14ac:dyDescent="0.4">
      <c r="A27" s="212">
        <v>20</v>
      </c>
      <c r="B27" s="225" t="s">
        <v>51</v>
      </c>
      <c r="C27" s="225"/>
      <c r="D27" s="270"/>
      <c r="E27" s="270"/>
      <c r="F27" s="270"/>
      <c r="G27" s="270"/>
      <c r="H27" s="270"/>
      <c r="I27" s="270"/>
      <c r="J27" s="270"/>
      <c r="K27" s="270"/>
      <c r="L27" s="270"/>
      <c r="M27" s="270"/>
    </row>
    <row r="28" spans="1:13" x14ac:dyDescent="0.4">
      <c r="A28" s="212">
        <v>21</v>
      </c>
      <c r="B28" s="225" t="s">
        <v>52</v>
      </c>
      <c r="C28" s="225" t="s">
        <v>85</v>
      </c>
      <c r="D28" s="270"/>
      <c r="E28" s="270"/>
      <c r="F28" s="270"/>
      <c r="G28" s="270"/>
      <c r="H28" s="270"/>
      <c r="I28" s="270"/>
      <c r="J28" s="270"/>
      <c r="K28" s="270"/>
      <c r="L28" s="270"/>
      <c r="M28" s="270"/>
    </row>
    <row r="29" spans="1:13" x14ac:dyDescent="0.4">
      <c r="A29" s="212">
        <v>22</v>
      </c>
      <c r="B29" s="225" t="s">
        <v>53</v>
      </c>
      <c r="C29" s="225" t="s">
        <v>86</v>
      </c>
      <c r="D29" s="270"/>
      <c r="E29" s="270"/>
      <c r="F29" s="270"/>
      <c r="G29" s="270"/>
      <c r="H29" s="270"/>
      <c r="I29" s="270"/>
      <c r="J29" s="270"/>
      <c r="K29" s="270"/>
      <c r="L29" s="270"/>
      <c r="M29" s="270"/>
    </row>
    <row r="30" spans="1:13" x14ac:dyDescent="0.4">
      <c r="A30" s="212">
        <v>23</v>
      </c>
      <c r="B30" s="225" t="s">
        <v>54</v>
      </c>
      <c r="C30" s="225" t="s">
        <v>87</v>
      </c>
      <c r="D30" s="274">
        <f>D19+D20+D21+D22+D23+D24+D25+D26+D28+D29</f>
        <v>0</v>
      </c>
      <c r="E30" s="274">
        <f t="shared" ref="E30:J30" si="8">E19+E20+E21+E22+E23+E24+E25+E26+E28+E29</f>
        <v>0</v>
      </c>
      <c r="F30" s="274">
        <f t="shared" si="8"/>
        <v>0</v>
      </c>
      <c r="G30" s="274">
        <f t="shared" si="8"/>
        <v>0</v>
      </c>
      <c r="H30" s="274">
        <f t="shared" si="8"/>
        <v>0</v>
      </c>
      <c r="I30" s="274">
        <f t="shared" si="8"/>
        <v>0</v>
      </c>
      <c r="J30" s="274">
        <f t="shared" si="8"/>
        <v>0</v>
      </c>
      <c r="K30" s="274">
        <f t="shared" ref="K30" si="9">K19+K20+K21+K22+K23+K24+K25+K26+K28+K29</f>
        <v>0</v>
      </c>
      <c r="L30" s="274">
        <f t="shared" ref="L30" si="10">L19+L20+L21+L22+L23+L24+L25+L26+L28+L29</f>
        <v>0</v>
      </c>
      <c r="M30" s="274">
        <f t="shared" ref="M30" si="11">M19+M20+M21+M22+M23+M24+M25+M26+M28+M29</f>
        <v>0</v>
      </c>
    </row>
    <row r="31" spans="1:13" x14ac:dyDescent="0.4">
      <c r="A31" s="212">
        <v>24</v>
      </c>
      <c r="B31" s="225" t="s">
        <v>55</v>
      </c>
      <c r="C31" s="225" t="s">
        <v>79</v>
      </c>
      <c r="D31" s="270"/>
      <c r="E31" s="270"/>
      <c r="F31" s="270"/>
      <c r="G31" s="270"/>
      <c r="H31" s="270"/>
      <c r="I31" s="270"/>
      <c r="J31" s="270"/>
      <c r="K31" s="270"/>
      <c r="L31" s="270"/>
      <c r="M31" s="270"/>
    </row>
    <row r="32" spans="1:13" x14ac:dyDescent="0.4">
      <c r="A32" s="212">
        <v>25</v>
      </c>
      <c r="B32" s="225" t="s">
        <v>56</v>
      </c>
      <c r="C32" s="225"/>
      <c r="D32" s="274">
        <f>D30-D31</f>
        <v>0</v>
      </c>
      <c r="E32" s="274">
        <f t="shared" ref="E32:J32" si="12">E30-E31</f>
        <v>0</v>
      </c>
      <c r="F32" s="274">
        <f t="shared" si="12"/>
        <v>0</v>
      </c>
      <c r="G32" s="274">
        <f t="shared" si="12"/>
        <v>0</v>
      </c>
      <c r="H32" s="274">
        <f t="shared" si="12"/>
        <v>0</v>
      </c>
      <c r="I32" s="274">
        <f t="shared" si="12"/>
        <v>0</v>
      </c>
      <c r="J32" s="274">
        <f t="shared" si="12"/>
        <v>0</v>
      </c>
      <c r="K32" s="274">
        <f t="shared" ref="K32" si="13">K30-K31</f>
        <v>0</v>
      </c>
      <c r="L32" s="274">
        <f t="shared" ref="L32" si="14">L30-L31</f>
        <v>0</v>
      </c>
      <c r="M32" s="274">
        <f t="shared" ref="M32" si="15">M30-M31</f>
        <v>0</v>
      </c>
    </row>
    <row r="33" spans="1:13" x14ac:dyDescent="0.4">
      <c r="A33" s="212">
        <v>26</v>
      </c>
      <c r="B33" s="225" t="s">
        <v>736</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0"/>
      <c r="E34" s="270"/>
      <c r="F34" s="270"/>
      <c r="G34" s="270"/>
      <c r="H34" s="270"/>
      <c r="I34" s="270"/>
      <c r="J34" s="270"/>
      <c r="K34" s="270"/>
      <c r="L34" s="270"/>
      <c r="M34" s="270"/>
    </row>
    <row r="35" spans="1:13" x14ac:dyDescent="0.4">
      <c r="A35" s="212">
        <v>28</v>
      </c>
      <c r="B35" s="225" t="s">
        <v>58</v>
      </c>
      <c r="C35" s="225"/>
      <c r="D35" s="270"/>
      <c r="E35" s="270"/>
      <c r="F35" s="270"/>
      <c r="G35" s="270"/>
      <c r="H35" s="270"/>
      <c r="I35" s="270"/>
      <c r="J35" s="270"/>
      <c r="K35" s="270"/>
      <c r="L35" s="270"/>
      <c r="M35" s="270"/>
    </row>
    <row r="36" spans="1:13" x14ac:dyDescent="0.4">
      <c r="A36" s="212">
        <v>29</v>
      </c>
      <c r="B36" s="225" t="s">
        <v>59</v>
      </c>
      <c r="C36" s="225"/>
      <c r="D36" s="274">
        <f>D32-D33-D34-D35-D21</f>
        <v>0</v>
      </c>
      <c r="E36" s="274">
        <f t="shared" ref="E36:J36" si="18">E32-E33-E34-E35-E21</f>
        <v>0</v>
      </c>
      <c r="F36" s="274">
        <f t="shared" si="18"/>
        <v>0</v>
      </c>
      <c r="G36" s="274">
        <f t="shared" si="18"/>
        <v>0</v>
      </c>
      <c r="H36" s="274">
        <f t="shared" si="18"/>
        <v>0</v>
      </c>
      <c r="I36" s="274">
        <f t="shared" si="18"/>
        <v>0</v>
      </c>
      <c r="J36" s="274">
        <f t="shared" si="18"/>
        <v>0</v>
      </c>
      <c r="K36" s="274">
        <f t="shared" ref="K36" si="19">K32-K33-K34-K35-K21</f>
        <v>0</v>
      </c>
      <c r="L36" s="274">
        <f t="shared" ref="L36" si="20">L32-L33-L34-L35-L21</f>
        <v>0</v>
      </c>
      <c r="M36" s="274">
        <f t="shared" ref="M36" si="21">M32-M33-M34-M35-M21</f>
        <v>0</v>
      </c>
    </row>
    <row r="37" spans="1:13" x14ac:dyDescent="0.4">
      <c r="A37" s="212"/>
      <c r="B37" s="212" t="s">
        <v>35</v>
      </c>
      <c r="C37" s="212"/>
      <c r="D37" s="271"/>
      <c r="E37" s="271" t="str" cm="1">
        <f t="array" ref="E37:H37">IF(ISNUMBER(_xlfn.ANCHORARRAY(E$5)),"growth rate","")</f>
        <v>growth rate</v>
      </c>
      <c r="F37" s="271" t="str">
        <v>growth rate</v>
      </c>
      <c r="G37" s="271" t="str">
        <v>growth rate</v>
      </c>
      <c r="H37" s="271" t="str">
        <v>growth rate</v>
      </c>
      <c r="I37" s="271"/>
      <c r="J37" s="271"/>
      <c r="K37" s="271"/>
      <c r="L37" s="271"/>
      <c r="M37" s="271"/>
    </row>
    <row r="38" spans="1:13" ht="14.25" x14ac:dyDescent="0.45">
      <c r="A38" s="212">
        <v>30</v>
      </c>
      <c r="B38" s="225" t="s">
        <v>811</v>
      </c>
      <c r="C38" s="225" t="s">
        <v>737</v>
      </c>
      <c r="D38" s="267"/>
      <c r="E38" s="270"/>
      <c r="F38" s="270"/>
      <c r="G38" s="270"/>
      <c r="H38" s="270"/>
      <c r="I38" s="270"/>
      <c r="J38" s="270"/>
      <c r="K38" s="270"/>
      <c r="L38" s="270"/>
      <c r="M38" s="270"/>
    </row>
    <row r="39" spans="1:13" x14ac:dyDescent="0.4">
      <c r="A39" s="212"/>
      <c r="B39" s="212" t="s">
        <v>60</v>
      </c>
      <c r="C39" s="212"/>
      <c r="D39" s="271" t="s">
        <v>6</v>
      </c>
      <c r="E39" s="271" t="s">
        <v>599</v>
      </c>
      <c r="F39" s="271" t="s">
        <v>599</v>
      </c>
      <c r="G39" s="271" t="s">
        <v>599</v>
      </c>
      <c r="H39" s="271" t="s">
        <v>599</v>
      </c>
      <c r="I39" s="271" t="s">
        <v>599</v>
      </c>
      <c r="J39" s="271" t="s">
        <v>599</v>
      </c>
      <c r="K39" s="271" t="s">
        <v>599</v>
      </c>
      <c r="L39" s="271" t="s">
        <v>599</v>
      </c>
      <c r="M39" s="271" t="s">
        <v>599</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1"/>
      <c r="E42" s="271" t="s">
        <v>599</v>
      </c>
      <c r="F42" s="271" t="s">
        <v>599</v>
      </c>
      <c r="G42" s="271" t="s">
        <v>599</v>
      </c>
      <c r="H42" s="271" t="s">
        <v>599</v>
      </c>
      <c r="I42" s="271" t="s">
        <v>599</v>
      </c>
      <c r="J42" s="271" t="s">
        <v>599</v>
      </c>
      <c r="K42" s="271" t="s">
        <v>599</v>
      </c>
      <c r="L42" s="271" t="s">
        <v>599</v>
      </c>
      <c r="M42" s="271" t="s">
        <v>599</v>
      </c>
    </row>
    <row r="43" spans="1:13" ht="14.25" x14ac:dyDescent="0.45">
      <c r="A43" s="212">
        <v>33</v>
      </c>
      <c r="B43" s="239" t="s">
        <v>0</v>
      </c>
      <c r="C43" s="239"/>
      <c r="D43" s="267"/>
      <c r="E43" s="270"/>
      <c r="F43" s="270"/>
      <c r="G43" s="270"/>
      <c r="H43" s="270"/>
      <c r="I43" s="270"/>
      <c r="J43" s="270"/>
      <c r="K43" s="270"/>
      <c r="L43" s="270"/>
      <c r="M43" s="270"/>
    </row>
    <row r="44" spans="1:13" ht="14.25" x14ac:dyDescent="0.45">
      <c r="A44" s="212">
        <v>34</v>
      </c>
      <c r="B44" s="239" t="s">
        <v>3</v>
      </c>
      <c r="C44" s="239"/>
      <c r="D44" s="267"/>
      <c r="E44" s="270"/>
      <c r="F44" s="270"/>
      <c r="G44" s="270"/>
      <c r="H44" s="270"/>
      <c r="I44" s="270"/>
      <c r="J44" s="270"/>
      <c r="K44" s="270"/>
      <c r="L44" s="270"/>
      <c r="M44" s="270"/>
    </row>
    <row r="45" spans="1:13" x14ac:dyDescent="0.4">
      <c r="A45" s="212"/>
      <c r="B45" s="212" t="s">
        <v>20</v>
      </c>
      <c r="C45" s="212"/>
      <c r="D45" s="271" t="s">
        <v>6</v>
      </c>
      <c r="E45" s="271" t="s">
        <v>599</v>
      </c>
      <c r="F45" s="271" t="s">
        <v>599</v>
      </c>
      <c r="G45" s="271" t="s">
        <v>599</v>
      </c>
      <c r="H45" s="271" t="s">
        <v>599</v>
      </c>
      <c r="I45" s="271" t="s">
        <v>599</v>
      </c>
      <c r="J45" s="271" t="s">
        <v>599</v>
      </c>
      <c r="K45" s="271" t="s">
        <v>599</v>
      </c>
      <c r="L45" s="271" t="s">
        <v>599</v>
      </c>
      <c r="M45" s="271" t="s">
        <v>599</v>
      </c>
    </row>
    <row r="46" spans="1:13" x14ac:dyDescent="0.4">
      <c r="A46" s="212">
        <v>35</v>
      </c>
      <c r="B46" s="225" t="s">
        <v>1</v>
      </c>
      <c r="C46" s="225"/>
      <c r="D46" s="270"/>
      <c r="E46" s="270"/>
      <c r="F46" s="270"/>
      <c r="G46" s="270"/>
      <c r="H46" s="270"/>
      <c r="I46" s="270"/>
      <c r="J46" s="270"/>
      <c r="K46" s="270"/>
      <c r="L46" s="270"/>
      <c r="M46" s="270"/>
    </row>
    <row r="47" spans="1:13" x14ac:dyDescent="0.4">
      <c r="A47" s="212">
        <v>36</v>
      </c>
      <c r="B47" s="225" t="s">
        <v>2</v>
      </c>
      <c r="C47" s="225"/>
      <c r="D47" s="270"/>
      <c r="E47" s="270"/>
      <c r="F47" s="270"/>
      <c r="G47" s="270"/>
      <c r="H47" s="270"/>
      <c r="I47" s="270"/>
      <c r="J47" s="270"/>
      <c r="K47" s="270"/>
      <c r="L47" s="270"/>
      <c r="M47" s="270"/>
    </row>
    <row r="48" spans="1:13" x14ac:dyDescent="0.4">
      <c r="A48" s="212">
        <v>37</v>
      </c>
      <c r="B48" s="225" t="s">
        <v>64</v>
      </c>
      <c r="C48" s="225"/>
      <c r="D48" s="272"/>
      <c r="E48" s="272"/>
      <c r="F48" s="272"/>
      <c r="G48" s="272"/>
      <c r="H48" s="273"/>
      <c r="I48" s="273"/>
      <c r="J48" s="273"/>
      <c r="K48" s="273"/>
      <c r="L48" s="273"/>
      <c r="M48" s="273"/>
    </row>
    <row r="49" spans="1:13" ht="14.25" x14ac:dyDescent="0.45">
      <c r="A49" s="212">
        <v>38</v>
      </c>
      <c r="B49" s="240" t="s">
        <v>738</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739</v>
      </c>
      <c r="C50" s="225"/>
      <c r="D50" s="267"/>
      <c r="E50" s="270"/>
      <c r="F50" s="270"/>
      <c r="G50" s="270"/>
      <c r="H50" s="270"/>
      <c r="I50" s="270"/>
      <c r="J50" s="270"/>
      <c r="K50" s="270"/>
      <c r="L50" s="270"/>
      <c r="M50" s="270"/>
    </row>
    <row r="51" spans="1:13" ht="14.25" x14ac:dyDescent="0.45">
      <c r="A51" s="212">
        <v>40</v>
      </c>
      <c r="B51" s="241" t="s">
        <v>740</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741</v>
      </c>
      <c r="C52" s="225"/>
      <c r="D52" s="267"/>
      <c r="E52" s="270"/>
      <c r="F52" s="270"/>
      <c r="G52" s="270"/>
      <c r="H52" s="270"/>
      <c r="I52" s="270"/>
      <c r="J52" s="270"/>
      <c r="K52" s="270"/>
      <c r="L52" s="270"/>
      <c r="M52" s="270"/>
    </row>
    <row r="53" spans="1:13" ht="14.25" x14ac:dyDescent="0.45">
      <c r="A53" s="212">
        <v>42</v>
      </c>
      <c r="B53" s="241" t="s">
        <v>742</v>
      </c>
      <c r="C53" s="225"/>
      <c r="D53" s="267"/>
      <c r="E53" s="270"/>
      <c r="F53" s="270"/>
      <c r="G53" s="270"/>
      <c r="H53" s="270"/>
      <c r="I53" s="270"/>
      <c r="J53" s="270"/>
      <c r="K53" s="270"/>
      <c r="L53" s="270"/>
      <c r="M53" s="270"/>
    </row>
    <row r="54" spans="1:13" ht="14.25" x14ac:dyDescent="0.45">
      <c r="A54" s="212">
        <v>43</v>
      </c>
      <c r="B54" s="240" t="s">
        <v>743</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1"/>
      <c r="E55" s="271" t="str" cm="1">
        <f t="array" ref="E55:H55">IF(ISNUMBER(_xlfn.ANCHORARRAY(E$37)),"%","")</f>
        <v/>
      </c>
      <c r="F55" s="271" t="str">
        <v/>
      </c>
      <c r="G55" s="271" t="str">
        <v/>
      </c>
      <c r="H55" s="271" t="str">
        <v/>
      </c>
      <c r="I55" s="271"/>
      <c r="J55" s="271"/>
      <c r="K55" s="271"/>
      <c r="L55" s="271"/>
      <c r="M55" s="271"/>
    </row>
    <row r="56" spans="1:13" ht="14.25" x14ac:dyDescent="0.45">
      <c r="A56" s="212">
        <v>44</v>
      </c>
      <c r="B56" s="227" t="s">
        <v>71</v>
      </c>
      <c r="C56" s="227"/>
      <c r="D56" s="268"/>
      <c r="E56" s="270"/>
      <c r="F56" s="270"/>
      <c r="G56" s="270"/>
      <c r="H56" s="270"/>
      <c r="I56" s="270"/>
      <c r="J56" s="270"/>
      <c r="K56" s="270"/>
      <c r="L56" s="270"/>
      <c r="M56" s="270"/>
    </row>
    <row r="57" spans="1:13" x14ac:dyDescent="0.4">
      <c r="A57" s="212"/>
      <c r="B57" s="212"/>
      <c r="C57" s="212"/>
      <c r="D57" s="271"/>
      <c r="E57" s="271" t="s">
        <v>599</v>
      </c>
      <c r="F57" s="271" t="s">
        <v>599</v>
      </c>
      <c r="G57" s="271" t="s">
        <v>599</v>
      </c>
      <c r="H57" s="271" t="s">
        <v>599</v>
      </c>
      <c r="I57" s="271" t="s">
        <v>599</v>
      </c>
      <c r="J57" s="271" t="s">
        <v>599</v>
      </c>
      <c r="K57" s="271" t="s">
        <v>599</v>
      </c>
      <c r="L57" s="271" t="s">
        <v>599</v>
      </c>
      <c r="M57" s="271" t="s">
        <v>599</v>
      </c>
    </row>
    <row r="58" spans="1:13" x14ac:dyDescent="0.4">
      <c r="A58" s="212">
        <v>45</v>
      </c>
      <c r="B58" s="239" t="s">
        <v>744</v>
      </c>
      <c r="C58" s="239" t="s">
        <v>745</v>
      </c>
      <c r="D58" s="270"/>
      <c r="E58" s="270"/>
      <c r="F58" s="270"/>
      <c r="G58" s="270"/>
      <c r="H58" s="270"/>
      <c r="I58" s="270"/>
      <c r="J58" s="270"/>
      <c r="K58" s="270"/>
      <c r="L58" s="270"/>
      <c r="M58" s="270"/>
    </row>
    <row r="59" spans="1:13" x14ac:dyDescent="0.4">
      <c r="A59" s="212">
        <v>46</v>
      </c>
      <c r="B59" s="239" t="s">
        <v>746</v>
      </c>
      <c r="C59" s="239" t="s">
        <v>747</v>
      </c>
      <c r="D59" s="270"/>
      <c r="E59" s="270"/>
      <c r="F59" s="270"/>
      <c r="G59" s="270"/>
      <c r="H59" s="270"/>
      <c r="I59" s="270"/>
      <c r="J59" s="270"/>
      <c r="K59" s="270"/>
      <c r="L59" s="270"/>
      <c r="M59" s="270"/>
    </row>
    <row r="60" spans="1:13" x14ac:dyDescent="0.4">
      <c r="D60" s="270"/>
      <c r="E60" s="270"/>
      <c r="F60" s="270"/>
      <c r="G60" s="270"/>
      <c r="H60" s="270"/>
      <c r="I60" s="270"/>
      <c r="J60" s="270"/>
      <c r="K60" s="270"/>
      <c r="L60" s="270"/>
      <c r="M60" s="270"/>
    </row>
    <row r="61" spans="1:13" x14ac:dyDescent="0.4">
      <c r="D61" s="270"/>
      <c r="E61" s="270"/>
      <c r="F61" s="270"/>
      <c r="G61" s="270"/>
      <c r="H61" s="270"/>
      <c r="I61" s="270"/>
      <c r="J61" s="270"/>
      <c r="K61" s="270"/>
      <c r="L61" s="270"/>
      <c r="M61" s="270"/>
    </row>
    <row r="62" spans="1:13" ht="23.25" x14ac:dyDescent="0.7">
      <c r="A62" s="13" t="s">
        <v>788</v>
      </c>
      <c r="D62" s="270"/>
      <c r="E62" s="270"/>
      <c r="F62" s="270"/>
      <c r="G62" s="270"/>
      <c r="H62" s="270"/>
      <c r="I62" s="270"/>
      <c r="J62" s="270"/>
      <c r="K62" s="270"/>
      <c r="L62" s="270"/>
      <c r="M62" s="270"/>
    </row>
    <row r="63" spans="1:13" x14ac:dyDescent="0.4">
      <c r="A63" s="234"/>
      <c r="B63" s="234" t="s">
        <v>8</v>
      </c>
      <c r="C63" s="234" t="s">
        <v>31</v>
      </c>
      <c r="D63" s="271">
        <f>C2</f>
        <v>2023</v>
      </c>
      <c r="E63" s="271" cm="1">
        <f t="array" ref="E63:H63">_xlfn.SEQUENCE(1, AssessmentEnd-C2+1, C2)</f>
        <v>2023</v>
      </c>
      <c r="F63" s="271">
        <v>2024</v>
      </c>
      <c r="G63" s="271">
        <v>2025</v>
      </c>
      <c r="H63" s="271">
        <v>2026</v>
      </c>
      <c r="I63" s="271"/>
      <c r="J63" s="271"/>
      <c r="K63" s="271"/>
      <c r="L63" s="271"/>
      <c r="M63" s="271"/>
    </row>
    <row r="64" spans="1:13" x14ac:dyDescent="0.4">
      <c r="A64" s="212"/>
      <c r="B64" s="212"/>
      <c r="C64" s="212"/>
      <c r="D64" s="271" t="s">
        <v>6</v>
      </c>
      <c r="E64" s="271" t="str" cm="1">
        <f t="array" ref="E64:H64">IF(ISNUMBER(_xlfn.ANCHORARRAY(E$37)),"growth rate","")</f>
        <v/>
      </c>
      <c r="F64" s="271" t="str">
        <v/>
      </c>
      <c r="G64" s="271" t="str">
        <v/>
      </c>
      <c r="H64" s="271" t="str">
        <v/>
      </c>
      <c r="I64" s="271"/>
      <c r="J64" s="271"/>
      <c r="K64" s="271"/>
      <c r="L64" s="271"/>
      <c r="M64" s="271"/>
    </row>
    <row r="65" spans="1:13" ht="14.25" x14ac:dyDescent="0.45">
      <c r="A65" s="212">
        <v>1</v>
      </c>
      <c r="B65" s="225" t="s">
        <v>7</v>
      </c>
      <c r="C65" s="225" t="s">
        <v>748</v>
      </c>
      <c r="D65" s="269"/>
      <c r="E65" s="270"/>
      <c r="F65" s="270"/>
      <c r="G65" s="270"/>
      <c r="H65" s="270"/>
      <c r="I65" s="270"/>
      <c r="J65" s="270"/>
      <c r="K65" s="270"/>
      <c r="L65" s="270"/>
      <c r="M65" s="270"/>
    </row>
    <row r="66" spans="1:13" ht="14.25" x14ac:dyDescent="0.45">
      <c r="A66" s="212">
        <v>2</v>
      </c>
      <c r="B66" s="225" t="s">
        <v>8</v>
      </c>
      <c r="C66" s="225"/>
      <c r="D66" s="269"/>
      <c r="E66" s="270"/>
      <c r="F66" s="270"/>
      <c r="G66" s="270"/>
      <c r="H66" s="270"/>
      <c r="I66" s="270"/>
      <c r="J66" s="270"/>
      <c r="K66" s="270"/>
      <c r="L66" s="270"/>
      <c r="M66" s="270"/>
    </row>
    <row r="67" spans="1:13" x14ac:dyDescent="0.4">
      <c r="A67" s="212">
        <v>3</v>
      </c>
      <c r="B67" s="225" t="s">
        <v>9</v>
      </c>
      <c r="C67" s="225" t="s">
        <v>748</v>
      </c>
      <c r="D67" s="270"/>
      <c r="E67" s="270"/>
      <c r="F67" s="270"/>
      <c r="G67" s="270"/>
      <c r="H67" s="270"/>
      <c r="I67" s="270"/>
      <c r="J67" s="270"/>
      <c r="K67" s="270"/>
      <c r="L67" s="270"/>
      <c r="M67" s="270"/>
    </row>
    <row r="68" spans="1:13" x14ac:dyDescent="0.4">
      <c r="A68" s="212"/>
      <c r="B68" s="212" t="s">
        <v>749</v>
      </c>
      <c r="C68" s="212"/>
      <c r="D68" s="271" t="s">
        <v>6</v>
      </c>
      <c r="E68" s="271" t="str" cm="1">
        <f t="array" ref="E68:H68">IF(ISNUMBER(_xlfn.ANCHORARRAY(E$37)),"growth rate","")</f>
        <v/>
      </c>
      <c r="F68" s="271" t="str">
        <v/>
      </c>
      <c r="G68" s="271" t="str">
        <v/>
      </c>
      <c r="H68" s="271" t="str">
        <v/>
      </c>
      <c r="I68" s="271"/>
      <c r="J68" s="271"/>
      <c r="K68" s="271"/>
      <c r="L68" s="271"/>
      <c r="M68" s="271"/>
    </row>
    <row r="69" spans="1:13" ht="14.25" x14ac:dyDescent="0.45">
      <c r="A69" s="212">
        <v>4</v>
      </c>
      <c r="B69" s="225" t="s">
        <v>750</v>
      </c>
      <c r="C69" s="225" t="s">
        <v>751</v>
      </c>
      <c r="D69" s="269"/>
      <c r="E69" s="270"/>
      <c r="F69" s="270"/>
      <c r="G69" s="270"/>
      <c r="H69" s="270"/>
      <c r="I69" s="270"/>
      <c r="J69" s="270"/>
      <c r="K69" s="270"/>
      <c r="L69" s="270"/>
      <c r="M69" s="270"/>
    </row>
    <row r="70" spans="1:13" ht="14.25" x14ac:dyDescent="0.45">
      <c r="A70" s="212">
        <v>5</v>
      </c>
      <c r="B70" s="225" t="s">
        <v>752</v>
      </c>
      <c r="C70" s="225" t="s">
        <v>751</v>
      </c>
      <c r="D70" s="269"/>
      <c r="E70" s="270"/>
      <c r="F70" s="270"/>
      <c r="G70" s="270"/>
      <c r="H70" s="270"/>
      <c r="I70" s="270"/>
      <c r="J70" s="270"/>
      <c r="K70" s="270"/>
      <c r="L70" s="270"/>
      <c r="M70" s="270"/>
    </row>
    <row r="71" spans="1:13" ht="14.25" x14ac:dyDescent="0.45">
      <c r="A71" s="212">
        <v>6</v>
      </c>
      <c r="B71" s="225" t="s">
        <v>10</v>
      </c>
      <c r="C71" s="225" t="s">
        <v>4</v>
      </c>
      <c r="D71" s="269"/>
      <c r="E71" s="270"/>
      <c r="F71" s="270"/>
      <c r="G71" s="270"/>
      <c r="H71" s="270"/>
      <c r="I71" s="270"/>
      <c r="J71" s="270"/>
      <c r="K71" s="270"/>
      <c r="L71" s="270"/>
      <c r="M71" s="270"/>
    </row>
    <row r="72" spans="1:13" ht="14.25" x14ac:dyDescent="0.45">
      <c r="A72" s="212">
        <v>7</v>
      </c>
      <c r="B72" s="225" t="s">
        <v>753</v>
      </c>
      <c r="C72" s="225" t="s">
        <v>754</v>
      </c>
      <c r="D72" s="269"/>
      <c r="E72" s="275"/>
      <c r="F72" s="275"/>
      <c r="G72" s="275"/>
      <c r="H72" s="276"/>
      <c r="I72" s="276"/>
      <c r="J72" s="276"/>
      <c r="K72" s="276"/>
      <c r="L72" s="276"/>
      <c r="M72" s="276"/>
    </row>
    <row r="73" spans="1:13" ht="14.25" x14ac:dyDescent="0.45">
      <c r="A73" s="212">
        <v>8</v>
      </c>
      <c r="B73" s="225" t="s">
        <v>755</v>
      </c>
      <c r="C73" s="225" t="s">
        <v>756</v>
      </c>
      <c r="D73" s="269"/>
      <c r="E73" s="270"/>
      <c r="F73" s="270"/>
      <c r="G73" s="270"/>
      <c r="H73" s="270"/>
      <c r="I73" s="270"/>
      <c r="J73" s="270"/>
      <c r="K73" s="270"/>
      <c r="L73" s="270"/>
      <c r="M73" s="270"/>
    </row>
    <row r="74" spans="1:13" ht="14.25" x14ac:dyDescent="0.45">
      <c r="A74" s="212">
        <v>9</v>
      </c>
      <c r="B74" s="225" t="s">
        <v>757</v>
      </c>
      <c r="C74" s="225" t="s">
        <v>758</v>
      </c>
      <c r="D74" s="269"/>
      <c r="E74" s="270"/>
      <c r="F74" s="270"/>
      <c r="G74" s="270"/>
      <c r="H74" s="270"/>
      <c r="I74" s="270"/>
      <c r="J74" s="270"/>
      <c r="K74" s="270"/>
      <c r="L74" s="270"/>
      <c r="M74" s="270"/>
    </row>
    <row r="75" spans="1:13" x14ac:dyDescent="0.4">
      <c r="A75" s="212"/>
      <c r="B75" s="225" t="s">
        <v>759</v>
      </c>
      <c r="C75" s="225"/>
      <c r="D75" s="272"/>
      <c r="E75" s="272"/>
      <c r="F75" s="272"/>
      <c r="G75" s="272"/>
      <c r="H75" s="273"/>
      <c r="I75" s="273"/>
      <c r="J75" s="273"/>
      <c r="K75" s="273"/>
      <c r="L75" s="273"/>
      <c r="M75" s="273"/>
    </row>
    <row r="76" spans="1:13" ht="14.25" x14ac:dyDescent="0.45">
      <c r="A76" s="212">
        <v>10</v>
      </c>
      <c r="B76" s="243" t="s">
        <v>760</v>
      </c>
      <c r="C76" s="225"/>
      <c r="D76" s="269"/>
      <c r="E76" s="270"/>
      <c r="F76" s="270"/>
      <c r="G76" s="270"/>
      <c r="H76" s="270"/>
      <c r="I76" s="270"/>
      <c r="J76" s="270"/>
      <c r="K76" s="270"/>
      <c r="L76" s="270"/>
      <c r="M76" s="270"/>
    </row>
    <row r="77" spans="1:13" ht="14.25" x14ac:dyDescent="0.45">
      <c r="A77" s="212">
        <v>11</v>
      </c>
      <c r="B77" s="243" t="s">
        <v>761</v>
      </c>
      <c r="C77" s="225" t="s">
        <v>754</v>
      </c>
      <c r="D77" s="269"/>
      <c r="E77" s="270"/>
      <c r="F77" s="270"/>
      <c r="G77" s="270"/>
      <c r="H77" s="270"/>
      <c r="I77" s="270"/>
      <c r="J77" s="270"/>
      <c r="K77" s="270"/>
      <c r="L77" s="270"/>
      <c r="M77" s="270"/>
    </row>
    <row r="78" spans="1:13" ht="14.25" x14ac:dyDescent="0.45">
      <c r="A78" s="212">
        <v>12</v>
      </c>
      <c r="B78" s="243" t="s">
        <v>762</v>
      </c>
      <c r="C78" s="225" t="s">
        <v>763</v>
      </c>
      <c r="D78" s="269"/>
      <c r="E78" s="270"/>
      <c r="F78" s="270"/>
      <c r="G78" s="270"/>
      <c r="H78" s="270"/>
      <c r="I78" s="270"/>
      <c r="J78" s="270"/>
      <c r="K78" s="270"/>
      <c r="L78" s="270"/>
      <c r="M78" s="270"/>
    </row>
    <row r="79" spans="1:13" x14ac:dyDescent="0.4">
      <c r="A79" s="212"/>
      <c r="B79" s="212" t="s">
        <v>764</v>
      </c>
      <c r="C79" s="212"/>
      <c r="D79" s="271"/>
      <c r="E79" s="271" t="str" cm="1">
        <f t="array" ref="E79:H79">IF(ISNUMBER(_xlfn.ANCHORARRAY(E$37)),"growth rate","")</f>
        <v/>
      </c>
      <c r="F79" s="271" t="str">
        <v/>
      </c>
      <c r="G79" s="271" t="str">
        <v/>
      </c>
      <c r="H79" s="271" t="str">
        <v/>
      </c>
      <c r="I79" s="271"/>
      <c r="J79" s="271"/>
      <c r="K79" s="271"/>
      <c r="L79" s="271"/>
      <c r="M79" s="271"/>
    </row>
    <row r="80" spans="1:13" ht="14.25" x14ac:dyDescent="0.45">
      <c r="A80" s="212">
        <v>13</v>
      </c>
      <c r="B80" s="225" t="s">
        <v>765</v>
      </c>
      <c r="C80" s="225"/>
      <c r="D80" s="269"/>
      <c r="E80" s="270"/>
      <c r="F80" s="270"/>
      <c r="G80" s="270"/>
      <c r="H80" s="270"/>
      <c r="I80" s="270"/>
      <c r="J80" s="270"/>
      <c r="K80" s="270"/>
      <c r="L80" s="270"/>
      <c r="M80" s="270"/>
    </row>
    <row r="81" spans="1:13" ht="14.25" x14ac:dyDescent="0.45">
      <c r="A81" s="212">
        <v>14</v>
      </c>
      <c r="B81" s="240" t="s">
        <v>766</v>
      </c>
      <c r="C81" s="225"/>
      <c r="D81" s="269"/>
      <c r="E81" s="270"/>
      <c r="F81" s="270"/>
      <c r="G81" s="270"/>
      <c r="H81" s="270"/>
      <c r="I81" s="270"/>
      <c r="J81" s="270"/>
      <c r="K81" s="270"/>
      <c r="L81" s="270"/>
      <c r="M81" s="270"/>
    </row>
    <row r="82" spans="1:13" ht="14.25" x14ac:dyDescent="0.45">
      <c r="A82" s="212">
        <v>15</v>
      </c>
      <c r="B82" s="225" t="s">
        <v>767</v>
      </c>
      <c r="C82" s="225"/>
      <c r="D82" s="269"/>
      <c r="E82" s="270"/>
      <c r="F82" s="270"/>
      <c r="G82" s="270"/>
      <c r="H82" s="270"/>
      <c r="I82" s="270"/>
      <c r="J82" s="270"/>
      <c r="K82" s="270"/>
      <c r="L82" s="270"/>
      <c r="M82" s="270"/>
    </row>
    <row r="83" spans="1:13" ht="14.25" x14ac:dyDescent="0.45">
      <c r="A83" s="212">
        <v>16</v>
      </c>
      <c r="B83" s="225" t="s">
        <v>768</v>
      </c>
      <c r="C83" s="225"/>
      <c r="D83" s="269"/>
      <c r="E83" s="270"/>
      <c r="F83" s="270"/>
      <c r="G83" s="270"/>
      <c r="H83" s="270"/>
      <c r="I83" s="270"/>
      <c r="J83" s="270"/>
      <c r="K83" s="270"/>
      <c r="L83" s="270"/>
      <c r="M83" s="270"/>
    </row>
    <row r="84" spans="1:13" ht="14.25" x14ac:dyDescent="0.45">
      <c r="A84" s="212">
        <v>17</v>
      </c>
      <c r="B84" s="225" t="s">
        <v>769</v>
      </c>
      <c r="C84" s="225"/>
      <c r="D84" s="269"/>
      <c r="E84" s="270"/>
      <c r="F84" s="270"/>
      <c r="G84" s="270"/>
      <c r="H84" s="270"/>
      <c r="I84" s="270"/>
      <c r="J84" s="270"/>
      <c r="K84" s="270"/>
      <c r="L84" s="270"/>
      <c r="M84" s="270"/>
    </row>
    <row r="85" spans="1:13" ht="14.25" x14ac:dyDescent="0.45">
      <c r="A85" s="212">
        <v>18</v>
      </c>
      <c r="B85" s="225" t="s">
        <v>770</v>
      </c>
      <c r="C85" s="225"/>
      <c r="D85" s="269"/>
      <c r="E85" s="270"/>
      <c r="F85" s="270"/>
      <c r="G85" s="270"/>
      <c r="H85" s="270"/>
      <c r="I85" s="270"/>
      <c r="J85" s="270"/>
      <c r="K85" s="270"/>
      <c r="L85" s="270"/>
      <c r="M85" s="270"/>
    </row>
    <row r="86" spans="1:13" x14ac:dyDescent="0.4">
      <c r="A86" s="212"/>
      <c r="B86" s="212" t="s">
        <v>771</v>
      </c>
      <c r="C86" s="212" t="s">
        <v>26</v>
      </c>
      <c r="D86" s="271" t="s">
        <v>772</v>
      </c>
      <c r="E86" s="271" t="str" cm="1">
        <f t="array" ref="E86:H86">IF(ISNUMBER(_xlfn.ANCHORARRAY(E$37)),"growth rate","")</f>
        <v/>
      </c>
      <c r="F86" s="271" t="str">
        <v/>
      </c>
      <c r="G86" s="271" t="str">
        <v/>
      </c>
      <c r="H86" s="271" t="str">
        <v/>
      </c>
      <c r="I86" s="271"/>
      <c r="J86" s="271"/>
      <c r="K86" s="271"/>
      <c r="L86" s="271"/>
      <c r="M86" s="271"/>
    </row>
    <row r="87" spans="1:13" x14ac:dyDescent="0.4">
      <c r="A87" s="212">
        <v>19</v>
      </c>
      <c r="B87" s="225" t="s">
        <v>773</v>
      </c>
      <c r="C87" s="225"/>
      <c r="D87" s="278"/>
      <c r="E87" s="270"/>
      <c r="F87" s="270"/>
      <c r="G87" s="270"/>
      <c r="H87" s="270"/>
      <c r="I87" s="270"/>
      <c r="J87" s="270"/>
      <c r="K87" s="270"/>
      <c r="L87" s="270"/>
      <c r="M87" s="270"/>
    </row>
    <row r="88" spans="1:13" x14ac:dyDescent="0.4">
      <c r="A88" s="212">
        <v>20</v>
      </c>
      <c r="B88" s="225" t="s">
        <v>774</v>
      </c>
      <c r="C88" s="225"/>
      <c r="D88" s="278"/>
      <c r="E88" s="270"/>
      <c r="F88" s="270"/>
      <c r="G88" s="270"/>
      <c r="H88" s="270"/>
      <c r="I88" s="270"/>
      <c r="J88" s="270"/>
      <c r="K88" s="270"/>
      <c r="L88" s="270"/>
      <c r="M88" s="270"/>
    </row>
    <row r="89" spans="1:13" ht="14.25" x14ac:dyDescent="0.45">
      <c r="A89" s="212">
        <v>21</v>
      </c>
      <c r="B89" s="225" t="s">
        <v>775</v>
      </c>
      <c r="C89" s="225"/>
      <c r="D89" s="269"/>
      <c r="E89" s="270"/>
      <c r="F89" s="270"/>
      <c r="G89" s="270"/>
      <c r="H89" s="270"/>
      <c r="I89" s="270"/>
      <c r="J89" s="270"/>
      <c r="K89" s="270"/>
      <c r="L89" s="270"/>
      <c r="M89" s="270"/>
    </row>
    <row r="90" spans="1:13" ht="14.25" x14ac:dyDescent="0.45">
      <c r="A90" s="212">
        <v>22</v>
      </c>
      <c r="B90" s="225" t="s">
        <v>776</v>
      </c>
      <c r="C90" s="225"/>
      <c r="D90" s="269"/>
      <c r="E90" s="270"/>
      <c r="F90" s="270"/>
      <c r="G90" s="270"/>
      <c r="H90" s="270"/>
      <c r="I90" s="270"/>
      <c r="J90" s="270"/>
      <c r="K90" s="270"/>
      <c r="L90" s="270"/>
      <c r="M90" s="270"/>
    </row>
    <row r="91" spans="1:13" x14ac:dyDescent="0.4">
      <c r="A91" s="212">
        <v>23</v>
      </c>
      <c r="B91" s="225" t="s">
        <v>777</v>
      </c>
      <c r="C91" s="225" t="s">
        <v>5</v>
      </c>
      <c r="D91" s="270"/>
      <c r="E91" s="270"/>
      <c r="F91" s="270"/>
      <c r="G91" s="270"/>
      <c r="H91" s="270"/>
      <c r="I91" s="270"/>
      <c r="J91" s="270"/>
      <c r="K91" s="270"/>
      <c r="L91" s="270"/>
      <c r="M91" s="270"/>
    </row>
    <row r="92" spans="1:13" x14ac:dyDescent="0.4">
      <c r="A92" s="212">
        <v>24</v>
      </c>
      <c r="B92" s="225" t="s">
        <v>778</v>
      </c>
      <c r="C92" s="225"/>
      <c r="D92" s="270"/>
      <c r="E92" s="270"/>
      <c r="F92" s="270"/>
      <c r="G92" s="270"/>
      <c r="H92" s="270"/>
      <c r="I92" s="270"/>
      <c r="J92" s="270"/>
      <c r="K92" s="270"/>
      <c r="L92" s="270"/>
      <c r="M92" s="270"/>
    </row>
    <row r="93" spans="1:13" x14ac:dyDescent="0.4">
      <c r="A93" s="212"/>
      <c r="B93" s="212"/>
      <c r="C93" s="212"/>
      <c r="D93" s="271"/>
      <c r="E93" s="271" t="str" cm="1">
        <f t="array" ref="E93:H93">IF(ISNUMBER(_xlfn.ANCHORARRAY(E$37)),"%","")</f>
        <v/>
      </c>
      <c r="F93" s="271" t="str">
        <v/>
      </c>
      <c r="G93" s="271" t="str">
        <v/>
      </c>
      <c r="H93" s="271" t="str">
        <v/>
      </c>
      <c r="I93" s="271"/>
      <c r="J93" s="271"/>
      <c r="K93" s="271"/>
      <c r="L93" s="271"/>
      <c r="M93" s="271"/>
    </row>
    <row r="94" spans="1:13" ht="14.25" x14ac:dyDescent="0.45">
      <c r="A94" s="212">
        <v>25</v>
      </c>
      <c r="B94" s="225" t="s">
        <v>779</v>
      </c>
      <c r="C94" s="225"/>
      <c r="D94" s="269"/>
      <c r="E94" s="270"/>
      <c r="F94" s="270"/>
      <c r="G94" s="270"/>
      <c r="H94" s="270"/>
      <c r="I94" s="270"/>
      <c r="J94" s="270"/>
      <c r="K94" s="270"/>
      <c r="L94" s="270"/>
      <c r="M94" s="270"/>
    </row>
    <row r="95" spans="1:13" x14ac:dyDescent="0.4">
      <c r="A95" s="212"/>
      <c r="B95" s="212" t="s">
        <v>780</v>
      </c>
      <c r="C95" s="212"/>
      <c r="D95" s="271"/>
      <c r="E95" s="271" t="str" cm="1">
        <f t="array" ref="E95:H95">IF(ISNUMBER(_xlfn.ANCHORARRAY(E$37)),"growth rate","")</f>
        <v/>
      </c>
      <c r="F95" s="271" t="str">
        <v/>
      </c>
      <c r="G95" s="271" t="str">
        <v/>
      </c>
      <c r="H95" s="271" t="str">
        <v/>
      </c>
      <c r="I95" s="271"/>
      <c r="J95" s="271"/>
      <c r="K95" s="271"/>
      <c r="L95" s="271"/>
      <c r="M95" s="271"/>
    </row>
    <row r="96" spans="1:13" ht="14.25" x14ac:dyDescent="0.45">
      <c r="A96" s="212">
        <v>26</v>
      </c>
      <c r="B96" s="225" t="s">
        <v>781</v>
      </c>
      <c r="C96" s="225"/>
      <c r="D96" s="269"/>
      <c r="E96" s="270"/>
      <c r="F96" s="270"/>
      <c r="G96" s="270"/>
      <c r="H96" s="270"/>
      <c r="I96" s="270"/>
      <c r="J96" s="270"/>
      <c r="K96" s="270"/>
      <c r="L96" s="270"/>
      <c r="M96" s="270"/>
    </row>
    <row r="97" spans="1:13" x14ac:dyDescent="0.4">
      <c r="A97" s="212"/>
      <c r="B97" s="225" t="s">
        <v>782</v>
      </c>
      <c r="C97" s="225"/>
      <c r="D97" s="272"/>
      <c r="E97" s="272"/>
      <c r="F97" s="272"/>
      <c r="G97" s="272"/>
      <c r="H97" s="273"/>
      <c r="I97" s="273"/>
      <c r="J97" s="273"/>
      <c r="K97" s="273"/>
      <c r="L97" s="273"/>
      <c r="M97" s="273"/>
    </row>
    <row r="98" spans="1:13" ht="14.25" x14ac:dyDescent="0.45">
      <c r="A98" s="212">
        <v>27</v>
      </c>
      <c r="B98" s="240" t="s">
        <v>783</v>
      </c>
      <c r="C98" s="225"/>
      <c r="D98" s="269"/>
      <c r="E98" s="270"/>
      <c r="F98" s="270"/>
      <c r="G98" s="270"/>
      <c r="H98" s="270"/>
      <c r="I98" s="270"/>
      <c r="J98" s="270"/>
      <c r="K98" s="270"/>
      <c r="L98" s="270"/>
      <c r="M98" s="270"/>
    </row>
    <row r="99" spans="1:13" ht="14.25" x14ac:dyDescent="0.45">
      <c r="A99" s="212">
        <v>28</v>
      </c>
      <c r="B99" s="240" t="s">
        <v>784</v>
      </c>
      <c r="C99" s="225"/>
      <c r="D99" s="269"/>
      <c r="E99" s="270"/>
      <c r="F99" s="270"/>
      <c r="G99" s="270"/>
      <c r="H99" s="270"/>
      <c r="I99" s="270"/>
      <c r="J99" s="270"/>
      <c r="K99" s="270"/>
      <c r="L99" s="270"/>
      <c r="M99" s="270"/>
    </row>
    <row r="100" spans="1:13" ht="14.25" x14ac:dyDescent="0.45">
      <c r="A100" s="212">
        <v>29</v>
      </c>
      <c r="B100" s="240" t="s">
        <v>785</v>
      </c>
      <c r="C100" s="225"/>
      <c r="D100" s="269"/>
      <c r="E100" s="270"/>
      <c r="F100" s="270"/>
      <c r="G100" s="270"/>
      <c r="H100" s="270"/>
      <c r="I100" s="270"/>
      <c r="J100" s="270"/>
      <c r="K100" s="270"/>
      <c r="L100" s="270"/>
      <c r="M100" s="270"/>
    </row>
    <row r="101" spans="1:13" x14ac:dyDescent="0.4">
      <c r="A101" s="212"/>
      <c r="B101" s="212"/>
      <c r="C101" s="212"/>
      <c r="D101" s="271"/>
      <c r="E101" s="271" t="str" cm="1">
        <f t="array" ref="E101:H101">IF(ISNUMBER(_xlfn.ANCHORARRAY(E$37)),"% pot. GDP","")</f>
        <v/>
      </c>
      <c r="F101" s="271" t="str">
        <v/>
      </c>
      <c r="G101" s="271" t="str">
        <v/>
      </c>
      <c r="H101" s="271" t="str">
        <v/>
      </c>
      <c r="I101" s="271"/>
      <c r="J101" s="271"/>
      <c r="K101" s="271"/>
      <c r="L101" s="271"/>
      <c r="M101" s="271"/>
    </row>
    <row r="102" spans="1:13" ht="14.25" x14ac:dyDescent="0.45">
      <c r="A102" s="212">
        <v>30</v>
      </c>
      <c r="B102" s="225" t="s">
        <v>89</v>
      </c>
      <c r="C102" s="225"/>
      <c r="D102" s="269"/>
      <c r="E102" s="270"/>
      <c r="F102" s="270"/>
      <c r="G102" s="270"/>
      <c r="H102" s="270"/>
      <c r="I102" s="270"/>
      <c r="J102" s="270"/>
      <c r="K102" s="270"/>
      <c r="L102" s="270"/>
      <c r="M102" s="270"/>
    </row>
  </sheetData>
  <conditionalFormatting sqref="D7:M12">
    <cfRule type="expression" dxfId="103" priority="95">
      <formula>ISNUMBER(D$5)</formula>
    </cfRule>
  </conditionalFormatting>
  <conditionalFormatting sqref="D14:M14">
    <cfRule type="expression" dxfId="102" priority="69">
      <formula>ISNUMBER(D$5)</formula>
    </cfRule>
  </conditionalFormatting>
  <conditionalFormatting sqref="D16:M17">
    <cfRule type="expression" dxfId="101" priority="68">
      <formula>ISNUMBER(D$5)</formula>
    </cfRule>
  </conditionalFormatting>
  <conditionalFormatting sqref="D19:M29">
    <cfRule type="expression" dxfId="100" priority="67">
      <formula>ISNUMBER(D$5)</formula>
    </cfRule>
  </conditionalFormatting>
  <conditionalFormatting sqref="D31:M31">
    <cfRule type="expression" dxfId="99" priority="66">
      <formula>ISNUMBER(D$5)</formula>
    </cfRule>
  </conditionalFormatting>
  <conditionalFormatting sqref="D34:M35">
    <cfRule type="expression" dxfId="98" priority="65">
      <formula>ISNUMBER(D$5)</formula>
    </cfRule>
  </conditionalFormatting>
  <conditionalFormatting sqref="E38:M38">
    <cfRule type="expression" dxfId="97" priority="64">
      <formula>ISNUMBER(E$5)</formula>
    </cfRule>
  </conditionalFormatting>
  <conditionalFormatting sqref="E43:M44">
    <cfRule type="expression" dxfId="96" priority="63">
      <formula>ISNUMBER(E$5)</formula>
    </cfRule>
  </conditionalFormatting>
  <conditionalFormatting sqref="D46:M47">
    <cfRule type="expression" dxfId="95" priority="62">
      <formula>ISNUMBER(D$5)</formula>
    </cfRule>
  </conditionalFormatting>
  <conditionalFormatting sqref="E50:M50">
    <cfRule type="expression" dxfId="94" priority="61">
      <formula>ISNUMBER(E$5)</formula>
    </cfRule>
  </conditionalFormatting>
  <conditionalFormatting sqref="E52:M53">
    <cfRule type="expression" dxfId="93" priority="60">
      <formula>ISNUMBER(E$5)</formula>
    </cfRule>
  </conditionalFormatting>
  <conditionalFormatting sqref="E56:M56">
    <cfRule type="expression" dxfId="92" priority="59">
      <formula>ISNUMBER(E$5)</formula>
    </cfRule>
  </conditionalFormatting>
  <conditionalFormatting sqref="D58:M59 J60:M62">
    <cfRule type="expression" dxfId="91" priority="58">
      <formula>ISNUMBER(D$5)</formula>
    </cfRule>
  </conditionalFormatting>
  <conditionalFormatting sqref="E65:M67">
    <cfRule type="expression" dxfId="90" priority="57">
      <formula>ISNUMBER(E$5)</formula>
    </cfRule>
  </conditionalFormatting>
  <conditionalFormatting sqref="D67">
    <cfRule type="expression" dxfId="89" priority="56">
      <formula>ISNUMBER(D$5)</formula>
    </cfRule>
  </conditionalFormatting>
  <conditionalFormatting sqref="E69:M71">
    <cfRule type="expression" dxfId="88" priority="55">
      <formula>ISNUMBER(E$5)</formula>
    </cfRule>
  </conditionalFormatting>
  <conditionalFormatting sqref="E73:M74">
    <cfRule type="expression" dxfId="87" priority="54">
      <formula>ISNUMBER(E$5)</formula>
    </cfRule>
  </conditionalFormatting>
  <conditionalFormatting sqref="E76:M78">
    <cfRule type="expression" dxfId="86" priority="53">
      <formula>ISNUMBER(E$5)</formula>
    </cfRule>
  </conditionalFormatting>
  <conditionalFormatting sqref="E80:M85">
    <cfRule type="expression" dxfId="85" priority="52">
      <formula>ISNUMBER(E$5)</formula>
    </cfRule>
  </conditionalFormatting>
  <conditionalFormatting sqref="D87:M88">
    <cfRule type="expression" dxfId="84" priority="51">
      <formula>ISNUMBER(D$5)</formula>
    </cfRule>
  </conditionalFormatting>
  <conditionalFormatting sqref="E89:M90">
    <cfRule type="expression" dxfId="83" priority="50">
      <formula>ISNUMBER(E$5)</formula>
    </cfRule>
  </conditionalFormatting>
  <conditionalFormatting sqref="D91:M92">
    <cfRule type="expression" dxfId="82" priority="49">
      <formula>ISNUMBER(D$5)</formula>
    </cfRule>
  </conditionalFormatting>
  <conditionalFormatting sqref="E94:M94">
    <cfRule type="expression" dxfId="81" priority="48">
      <formula>ISNUMBER(E$5)</formula>
    </cfRule>
  </conditionalFormatting>
  <conditionalFormatting sqref="E96:M96">
    <cfRule type="expression" dxfId="80" priority="47">
      <formula>ISNUMBER(E$5)</formula>
    </cfRule>
  </conditionalFormatting>
  <conditionalFormatting sqref="E98:M100">
    <cfRule type="expression" dxfId="79" priority="46">
      <formula>ISNUMBER(E$5)</formula>
    </cfRule>
  </conditionalFormatting>
  <conditionalFormatting sqref="E102:M102">
    <cfRule type="expression" dxfId="78" priority="45">
      <formula>ISNUMBER(E$5)</formula>
    </cfRule>
  </conditionalFormatting>
  <conditionalFormatting sqref="D5:J6 K6:M6">
    <cfRule type="expression" dxfId="77" priority="44">
      <formula>ISNUMBER(D$5)</formula>
    </cfRule>
  </conditionalFormatting>
  <conditionalFormatting sqref="D18:M18">
    <cfRule type="expression" dxfId="76" priority="43">
      <formula>ISNUMBER(D$5)</formula>
    </cfRule>
  </conditionalFormatting>
  <conditionalFormatting sqref="D37:M37">
    <cfRule type="expression" dxfId="75" priority="42">
      <formula>ISNUMBER(D$5)</formula>
    </cfRule>
  </conditionalFormatting>
  <conditionalFormatting sqref="D39:M39">
    <cfRule type="expression" dxfId="74" priority="40">
      <formula>ISNUMBER(D$5)</formula>
    </cfRule>
  </conditionalFormatting>
  <conditionalFormatting sqref="D42:M42">
    <cfRule type="expression" dxfId="73" priority="39">
      <formula>ISNUMBER(D$5)</formula>
    </cfRule>
  </conditionalFormatting>
  <conditionalFormatting sqref="D45:M45">
    <cfRule type="expression" dxfId="72" priority="38">
      <formula>ISNUMBER(D$5)</formula>
    </cfRule>
  </conditionalFormatting>
  <conditionalFormatting sqref="D55:M55">
    <cfRule type="expression" dxfId="71" priority="37">
      <formula>ISNUMBER(D$5)</formula>
    </cfRule>
  </conditionalFormatting>
  <conditionalFormatting sqref="D57:M57">
    <cfRule type="expression" dxfId="70" priority="36">
      <formula>ISNUMBER(D$5)</formula>
    </cfRule>
  </conditionalFormatting>
  <conditionalFormatting sqref="D63:J64">
    <cfRule type="expression" dxfId="69" priority="35">
      <formula>ISNUMBER(D$5)</formula>
    </cfRule>
  </conditionalFormatting>
  <conditionalFormatting sqref="D68:M68">
    <cfRule type="expression" dxfId="68" priority="34">
      <formula>ISNUMBER(D$5)</formula>
    </cfRule>
  </conditionalFormatting>
  <conditionalFormatting sqref="D79:M79">
    <cfRule type="expression" dxfId="67" priority="33">
      <formula>ISNUMBER(D$5)</formula>
    </cfRule>
  </conditionalFormatting>
  <conditionalFormatting sqref="D86:M86">
    <cfRule type="expression" dxfId="66" priority="32">
      <formula>ISNUMBER(D$5)</formula>
    </cfRule>
  </conditionalFormatting>
  <conditionalFormatting sqref="D93:M93">
    <cfRule type="expression" dxfId="65" priority="31">
      <formula>ISNUMBER(D$5)</formula>
    </cfRule>
  </conditionalFormatting>
  <conditionalFormatting sqref="D95:M95">
    <cfRule type="expression" dxfId="64" priority="30">
      <formula>ISNUMBER(D$5)</formula>
    </cfRule>
  </conditionalFormatting>
  <conditionalFormatting sqref="D101:M101">
    <cfRule type="expression" dxfId="63" priority="29">
      <formula>ISNUMBER(D$5)</formula>
    </cfRule>
  </conditionalFormatting>
  <conditionalFormatting sqref="D97:M97">
    <cfRule type="expression" dxfId="62" priority="28">
      <formula>ISNUMBER(D$5)</formula>
    </cfRule>
  </conditionalFormatting>
  <conditionalFormatting sqref="D75:M75">
    <cfRule type="expression" dxfId="61" priority="27">
      <formula>ISNUMBER(D$5)</formula>
    </cfRule>
  </conditionalFormatting>
  <conditionalFormatting sqref="D48:M48">
    <cfRule type="expression" dxfId="60" priority="26">
      <formula>ISNUMBER(D$5)</formula>
    </cfRule>
  </conditionalFormatting>
  <conditionalFormatting sqref="D13:M13">
    <cfRule type="expression" dxfId="59" priority="15">
      <formula>NOT(ISNUMBER(D$5))</formula>
    </cfRule>
    <cfRule type="expression" dxfId="58" priority="21">
      <formula>ISNUMBER(D$5)</formula>
    </cfRule>
  </conditionalFormatting>
  <conditionalFormatting sqref="K5:M5">
    <cfRule type="expression" dxfId="57" priority="20">
      <formula>ISNUMBER(K$5)</formula>
    </cfRule>
  </conditionalFormatting>
  <conditionalFormatting sqref="K63:M64">
    <cfRule type="expression" dxfId="56" priority="19">
      <formula>ISNUMBER(K$5)</formula>
    </cfRule>
  </conditionalFormatting>
  <conditionalFormatting sqref="D72:M72">
    <cfRule type="expression" dxfId="55" priority="17">
      <formula>ISNUMBER(D$5)</formula>
    </cfRule>
  </conditionalFormatting>
  <conditionalFormatting sqref="D15:M15">
    <cfRule type="expression" dxfId="54" priority="13">
      <formula>NOT(ISNUMBER(D$5))</formula>
    </cfRule>
    <cfRule type="expression" dxfId="53" priority="14">
      <formula>ISNUMBER(D$5)</formula>
    </cfRule>
  </conditionalFormatting>
  <conditionalFormatting sqref="D30:M30">
    <cfRule type="expression" dxfId="52" priority="11">
      <formula>NOT(ISNUMBER(D$5))</formula>
    </cfRule>
    <cfRule type="expression" dxfId="51" priority="12">
      <formula>ISNUMBER(D$5)</formula>
    </cfRule>
  </conditionalFormatting>
  <conditionalFormatting sqref="D32:M32">
    <cfRule type="expression" dxfId="50" priority="9">
      <formula>NOT(ISNUMBER(D$5))</formula>
    </cfRule>
    <cfRule type="expression" dxfId="49" priority="10">
      <formula>ISNUMBER(D$5)</formula>
    </cfRule>
  </conditionalFormatting>
  <conditionalFormatting sqref="D36:M36">
    <cfRule type="expression" dxfId="48" priority="7">
      <formula>NOT(ISNUMBER(D$5))</formula>
    </cfRule>
    <cfRule type="expression" dxfId="47" priority="8">
      <formula>ISNUMBER(D$5)</formula>
    </cfRule>
  </conditionalFormatting>
  <conditionalFormatting sqref="D33:M33">
    <cfRule type="expression" dxfId="46" priority="5">
      <formula>NOT(ISNUMBER(D$5))</formula>
    </cfRule>
  </conditionalFormatting>
  <conditionalFormatting sqref="D40:M41">
    <cfRule type="expression" dxfId="45" priority="4">
      <formula>NOT(ISNUMBER(D$5))</formula>
    </cfRule>
  </conditionalFormatting>
  <conditionalFormatting sqref="D49:M49">
    <cfRule type="expression" dxfId="44" priority="3">
      <formula>NOT(ISNUMBER(D$5))</formula>
    </cfRule>
  </conditionalFormatting>
  <conditionalFormatting sqref="D51:M51">
    <cfRule type="expression" dxfId="43" priority="2">
      <formula>NOT(ISNUMBER(D$5))</formula>
    </cfRule>
  </conditionalFormatting>
  <conditionalFormatting sqref="D54:M54">
    <cfRule type="expression" dxfId="42"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81"/>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816</v>
      </c>
    </row>
    <row r="2" spans="2:23" customFormat="1" ht="23.25" x14ac:dyDescent="0.7">
      <c r="B2" s="13" t="str">
        <f>"Latest outturn data to "&amp;OutturnThrough&amp;IF(OutturnThrough=AssessmentEnd,""," and "&amp;ScenarioName)</f>
        <v>Latest outturn data to 2025 and Annual progress report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20.588509988199995</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0.59346037659999995</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9.130159639999998E-3</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0.73429999999999995</v>
      </c>
      <c r="E9" s="155">
        <f>IF(E$4&lt;=OutturnThrough,IF(ISNUMBER('Step 2 - Update outturn data'!F9),'Step 2 - Update outturn data'!F9,""),IF(ISNUMBER('Step 3 (IMPL) - Enter outlook'!E11),'Step 3 (IMPL) - Enter outlook'!E11,""))</f>
        <v>0.75549999999999995</v>
      </c>
      <c r="F9" s="155">
        <f>IF(F$4&lt;=OutturnThrough,IF(ISNUMBER('Step 2 - Update outturn data'!G9),'Step 2 - Update outturn data'!G9,""),IF(ISNUMBER('Step 3 (IMPL) - Enter outlook'!F11),'Step 3 (IMPL) - Enter outlook'!F11,""))</f>
        <v>1.2509999999999999</v>
      </c>
      <c r="G9" s="155">
        <f>IF(G$4&lt;=OutturnThrough,IF(ISNUMBER('Step 2 - Update outturn data'!H9),'Step 2 - Update outturn data'!H9,""),IF(ISNUMBER('Step 3 (IMPL) - Enter outlook'!G11),'Step 3 (IMPL) - Enter outlook'!G11,""))</f>
        <v>0.91301596399999985</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0.22825399099999996</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18.853779656599993</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592</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-9.1301596399999976E-2</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594</v>
      </c>
      <c r="C14" s="44" t="s">
        <v>6</v>
      </c>
      <c r="D14" s="155">
        <f>IF(D$4&lt;=OutturnThrough,IF(ISNUMBER('Step 2 - Update outturn data'!E14),'Step 2 - Update outturn data'!E14,""),IF(ISNUMBER('Step 3 (IMPL) - Enter outlook'!D16),'Step 3 (IMPL) - Enter outlook'!D16,""))</f>
        <v>1.0249299999999999</v>
      </c>
      <c r="E14" s="155">
        <f>IF(E$4&lt;=OutturnThrough,IF(ISNUMBER('Step 2 - Update outturn data'!F14),'Step 2 - Update outturn data'!F14,""),IF(ISNUMBER('Step 3 (IMPL) - Enter outlook'!E16),'Step 3 (IMPL) - Enter outlook'!E16,""))</f>
        <v>1.10371</v>
      </c>
      <c r="F14" s="155">
        <f>IF(F$4&lt;=OutturnThrough,IF(ISNUMBER('Step 2 - Update outturn data'!G14),'Step 2 - Update outturn data'!G14,""),IF(ISNUMBER('Step 3 (IMPL) - Enter outlook'!F16),'Step 3 (IMPL) - Enter outlook'!F16,""))</f>
        <v>1.36114</v>
      </c>
      <c r="G14" s="155">
        <f>IF(G$4&lt;=OutturnThrough,IF(ISNUMBER('Step 2 - Update outturn data'!H14),'Step 2 - Update outturn data'!H14,""),IF(ISNUMBER('Step 3 (IMPL) - Enter outlook'!G16),'Step 3 (IMPL) - Enter outlook'!G16,""))</f>
        <v>1.8716827261999993</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622</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5.3</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622</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15.873329279722892</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599</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599</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-2.6</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599</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-1.3</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599</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47.9</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599</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0.9</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621</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2.6</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621</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3.3</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621</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6.1</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621</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595</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-1</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623</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45.65079819999999</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684</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931</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933</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932</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934</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0</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935</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Assessment!C170, "Compliant"),
              "Breach"
            )
          )
        )
      ),
    _xlpm.plannedStatus,
      IF(Assessment!C97="Not applicable (all years adhere to the net expenditure path)", "Compliant",
        IF(Assessment!C97=TRUE,
          IF(Assessment!C98=TRUE, Assessment!C170,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adheres to the net expenditure path in its latest Council-endorsed MTP, but planned net expenditure to 2026 does not. Deviations occur only in years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627</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619</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17.182600000000001</v>
      </c>
      <c r="E108" s="144">
        <f t="shared" si="2"/>
        <v>18.413499999999999</v>
      </c>
      <c r="F108" s="144">
        <f t="shared" si="2"/>
        <v>19.8324</v>
      </c>
      <c r="G108" s="144">
        <f t="shared" si="2"/>
        <v>20.588509988199995</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0.28689999999999999</v>
      </c>
      <c r="E109" s="144">
        <f t="shared" si="3"/>
        <v>0.44330000000000003</v>
      </c>
      <c r="F109" s="144">
        <f t="shared" si="3"/>
        <v>0.4758</v>
      </c>
      <c r="G109" s="144">
        <f t="shared" si="3"/>
        <v>0.59346037659999995</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-2.3600000000000001E-3</v>
      </c>
      <c r="E110" s="144">
        <f t="shared" si="4"/>
        <v>3.14E-3</v>
      </c>
      <c r="F110" s="144">
        <f t="shared" si="4"/>
        <v>6.7000000000000002E-3</v>
      </c>
      <c r="G110" s="144">
        <f t="shared" si="4"/>
        <v>9.130159639999998E-3</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277</v>
      </c>
      <c r="C111" t="s">
        <v>6</v>
      </c>
      <c r="D111" s="144">
        <f t="shared" ref="D111:J111" si="5">IF(ISNUMBER(D105),D9,"")</f>
        <v>0.73429999999999995</v>
      </c>
      <c r="E111" s="144">
        <f t="shared" si="5"/>
        <v>0.75549999999999995</v>
      </c>
      <c r="F111" s="144">
        <f t="shared" si="5"/>
        <v>1.2509999999999999</v>
      </c>
      <c r="G111" s="144">
        <f t="shared" si="5"/>
        <v>0.91301596399999985</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0.15825</v>
      </c>
      <c r="E112" s="144">
        <f t="shared" si="6"/>
        <v>0.13764999999999999</v>
      </c>
      <c r="F112" s="144">
        <f t="shared" si="6"/>
        <v>0.19919999999999999</v>
      </c>
      <c r="G112" s="144">
        <f t="shared" si="6"/>
        <v>0.22825399099999996</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279</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t="s">
        <v>941</v>
      </c>
      <c r="B114" s="5" t="s">
        <v>942</v>
      </c>
      <c r="C114" t="s">
        <v>6</v>
      </c>
      <c r="D114" s="144">
        <f>IF(ISNUMBER(D105),D12,"")</f>
        <v>16.005510000000005</v>
      </c>
      <c r="E114" s="144">
        <f t="shared" ref="E114:J114" si="8">IF(ISNUMBER(E105),E12,"")</f>
        <v>17.073910000000001</v>
      </c>
      <c r="F114" s="144">
        <f t="shared" si="8"/>
        <v>17.899699999999999</v>
      </c>
      <c r="G114" s="144">
        <f t="shared" si="8"/>
        <v>18.853779656599993</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t="s">
        <v>943</v>
      </c>
      <c r="B115" s="5" t="s">
        <v>944</v>
      </c>
      <c r="C115" t="s">
        <v>6</v>
      </c>
      <c r="D115" s="144"/>
      <c r="E115" s="144">
        <f>IF(ISNUMBER(E105),'Step 1 - Set global parameters'!B40,"")</f>
        <v>0</v>
      </c>
      <c r="F115" s="144">
        <f>IF(ISNUMBER(F105),'Step 1 - Set global parameters'!C40,"")</f>
        <v>0</v>
      </c>
      <c r="G115" s="144">
        <f>IF(ISNUMBER(G105),'Step 1 - Set global parameters'!D40,"")</f>
        <v>0</v>
      </c>
      <c r="H115" s="144" t="str">
        <f>IF(ISNUMBER(H105),'Step 1 - Set global parameters'!E40,"")</f>
        <v/>
      </c>
      <c r="I115" s="144" t="str">
        <f>IF(ISNUMBER(I105),'Step 1 - Set global parameters'!F40,"")</f>
        <v/>
      </c>
      <c r="J115" s="144" t="str">
        <f>IF(ISNUMBER(J105),'Step 1 - Set global parameters'!G40,"")</f>
        <v/>
      </c>
      <c r="K115" s="144"/>
      <c r="L115" s="16"/>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8</v>
      </c>
      <c r="B116" s="5" t="s">
        <v>945</v>
      </c>
      <c r="C116" t="s">
        <v>6</v>
      </c>
      <c r="E116" s="91">
        <f>IF(ISNUMBER(E105),E114-D114-E115,"")</f>
        <v>1.0683999999999969</v>
      </c>
      <c r="F116" s="91">
        <f t="shared" ref="F116:I116" si="9">IF(ISNUMBER(F105),F114-E114-F115,"")</f>
        <v>0.8257899999999978</v>
      </c>
      <c r="G116" s="91">
        <f t="shared" si="9"/>
        <v>0.95407965659999405</v>
      </c>
      <c r="H116" s="91" t="str">
        <f t="shared" si="9"/>
        <v/>
      </c>
      <c r="I116" s="91" t="str">
        <f t="shared" si="9"/>
        <v/>
      </c>
      <c r="J116" s="91" t="str">
        <f>IF(ISNUMBER(J105),J114-I114-J115,"")</f>
        <v/>
      </c>
      <c r="K116" s="91"/>
      <c r="L116" s="91"/>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9</v>
      </c>
      <c r="B117" s="5" t="s">
        <v>946</v>
      </c>
      <c r="C117" t="s">
        <v>6</v>
      </c>
      <c r="D117" s="144"/>
      <c r="E117" s="144">
        <f t="shared" ref="E117:J117" si="10">IF(ISNUMBER(E105),E13,"")</f>
        <v>0.27381</v>
      </c>
      <c r="F117" s="144">
        <f t="shared" si="10"/>
        <v>0</v>
      </c>
      <c r="G117" s="144">
        <f t="shared" si="10"/>
        <v>-9.1301596399999976E-2</v>
      </c>
      <c r="H117" s="144" t="str">
        <f t="shared" si="10"/>
        <v/>
      </c>
      <c r="I117" s="144" t="str">
        <f t="shared" si="10"/>
        <v/>
      </c>
      <c r="J117" s="144" t="str">
        <f t="shared" si="10"/>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t="s">
        <v>947</v>
      </c>
      <c r="B118" s="5" t="s">
        <v>972</v>
      </c>
      <c r="C118" t="s">
        <v>6</v>
      </c>
      <c r="D118" s="144"/>
      <c r="E118" s="144">
        <f>IF(ISNUMBER(E105),E116-E117,"")</f>
        <v>0.79458999999999691</v>
      </c>
      <c r="F118" s="144">
        <f t="shared" ref="F118:J118" si="11">IF(ISNUMBER(F105),F116-F117,"")</f>
        <v>0.8257899999999978</v>
      </c>
      <c r="G118" s="144">
        <f t="shared" si="11"/>
        <v>1.045381252999994</v>
      </c>
      <c r="H118" s="144" t="str">
        <f t="shared" si="11"/>
        <v/>
      </c>
      <c r="I118" s="144" t="str">
        <f t="shared" si="11"/>
        <v/>
      </c>
      <c r="J118" s="144" t="str">
        <f t="shared" si="11"/>
        <v/>
      </c>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c r="B119" s="290" t="s">
        <v>973</v>
      </c>
      <c r="C119"/>
      <c r="D119" s="144"/>
      <c r="E119" s="144"/>
      <c r="F119" s="144"/>
      <c r="G119" s="144"/>
      <c r="H119" s="144"/>
      <c r="I119" s="144"/>
      <c r="J119" s="144"/>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11</v>
      </c>
      <c r="B120" s="5" t="s">
        <v>948</v>
      </c>
      <c r="C120" t="s">
        <v>597</v>
      </c>
      <c r="D120" s="144"/>
      <c r="E120" s="144">
        <f t="shared" ref="E120:J120" si="12">IF(ISNUMBER(E105),E118/D114*100,"")</f>
        <v>4.9644778579376521</v>
      </c>
      <c r="F120" s="144">
        <f t="shared" si="12"/>
        <v>4.8365605769270053</v>
      </c>
      <c r="G120" s="144">
        <f t="shared" si="12"/>
        <v>5.8402166125688924</v>
      </c>
      <c r="H120" s="144" t="str">
        <f t="shared" si="12"/>
        <v/>
      </c>
      <c r="I120" s="144" t="str">
        <f t="shared" si="12"/>
        <v/>
      </c>
      <c r="J120" s="144" t="str">
        <f t="shared" si="12"/>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12</v>
      </c>
      <c r="B121" s="5" t="s">
        <v>974</v>
      </c>
      <c r="C121" t="s">
        <v>597</v>
      </c>
      <c r="D121" s="144"/>
      <c r="E121" s="259">
        <f t="shared" ref="E121:J121" si="13">IF(ISNUMBER(E105),E34,"")</f>
        <v>9.1</v>
      </c>
      <c r="F121" s="144">
        <f t="shared" si="13"/>
        <v>5.8999999999999995</v>
      </c>
      <c r="G121" s="144">
        <f t="shared" si="13"/>
        <v>3.5999999999999996</v>
      </c>
      <c r="H121" s="144" t="str">
        <f t="shared" si="13"/>
        <v/>
      </c>
      <c r="I121" s="144" t="str">
        <f t="shared" si="13"/>
        <v/>
      </c>
      <c r="J121" s="144" t="str">
        <f t="shared" si="13"/>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t="s">
        <v>949</v>
      </c>
      <c r="B122" s="5" t="s">
        <v>950</v>
      </c>
      <c r="C122" t="s">
        <v>6</v>
      </c>
      <c r="D122" s="144"/>
      <c r="E122" s="259">
        <f>IF(ISNUMBER(E105),((E120-E121)/100)*D114,"")</f>
        <v>-0.66191141000000342</v>
      </c>
      <c r="F122" s="144">
        <f t="shared" ref="F122:J122" si="14">IF(ISNUMBER(F105),((F120-F121)/100)*E114,"")</f>
        <v>-0.18157069000000228</v>
      </c>
      <c r="G122" s="144">
        <f t="shared" si="14"/>
        <v>0.40099205299999402</v>
      </c>
      <c r="H122" s="144" t="str">
        <f t="shared" si="14"/>
        <v/>
      </c>
      <c r="I122" s="144" t="str">
        <f t="shared" si="14"/>
        <v/>
      </c>
      <c r="J122" s="144" t="str">
        <f t="shared" si="14"/>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14</v>
      </c>
      <c r="B123" s="143" t="s">
        <v>951</v>
      </c>
      <c r="C123" s="7" t="s">
        <v>6</v>
      </c>
      <c r="D123" s="144"/>
      <c r="E123" s="259">
        <f t="shared" ref="E123:J123" si="15">IF(ISNUMBER(E105),E122+IF(ISNUMBER(D105),D123,0),"")</f>
        <v>-0.66191141000000342</v>
      </c>
      <c r="F123" s="144">
        <f t="shared" si="15"/>
        <v>-0.84348210000000567</v>
      </c>
      <c r="G123" s="144">
        <f t="shared" si="15"/>
        <v>-0.44249004700001165</v>
      </c>
      <c r="H123" s="144" t="str">
        <f t="shared" si="15"/>
        <v/>
      </c>
      <c r="I123" s="144" t="str">
        <f t="shared" si="15"/>
        <v/>
      </c>
      <c r="J123" s="144" t="str">
        <f t="shared" si="15"/>
        <v/>
      </c>
      <c r="K123" s="144"/>
      <c r="L123"/>
      <c r="M123"/>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911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t="s">
        <v>952</v>
      </c>
      <c r="B125" s="5" t="s">
        <v>954</v>
      </c>
      <c r="C125" t="s">
        <v>599</v>
      </c>
      <c r="D125"/>
      <c r="E125" s="258">
        <f t="shared" ref="E125:J125" si="16">IF(ISNUMBER(E105),E122/E$127*100,"")</f>
        <v>-1.6282262258224094</v>
      </c>
      <c r="F125" s="4">
        <f t="shared" si="16"/>
        <v>-0.42200029284483015</v>
      </c>
      <c r="G125" s="4">
        <f t="shared" si="16"/>
        <v>0.87839001465694877</v>
      </c>
      <c r="H125" s="4" t="str">
        <f t="shared" si="16"/>
        <v/>
      </c>
      <c r="I125" s="4" t="str">
        <f t="shared" si="16"/>
        <v/>
      </c>
      <c r="J125" s="4" t="str">
        <f t="shared" si="16"/>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t="s">
        <v>953</v>
      </c>
      <c r="B126" s="5" t="s">
        <v>955</v>
      </c>
      <c r="C126" t="s">
        <v>599</v>
      </c>
      <c r="D126"/>
      <c r="E126" s="258">
        <f t="shared" ref="E126:J126" si="17">IF(ISNUMBER(E105),E123/E$127*100,"")</f>
        <v>-1.6282262258224094</v>
      </c>
      <c r="F126" s="4">
        <f t="shared" si="17"/>
        <v>-1.9603918077822482</v>
      </c>
      <c r="G126" s="4">
        <f t="shared" si="17"/>
        <v>-0.96929312180134408</v>
      </c>
      <c r="H126" s="4" t="str">
        <f t="shared" si="17"/>
        <v/>
      </c>
      <c r="I126" s="4" t="str">
        <f t="shared" si="17"/>
        <v/>
      </c>
      <c r="J126" s="4" t="str">
        <f t="shared" si="17"/>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x14ac:dyDescent="0.4">
      <c r="A127" s="3">
        <v>17</v>
      </c>
      <c r="B127" s="5" t="s">
        <v>956</v>
      </c>
      <c r="C127" t="s">
        <v>6</v>
      </c>
      <c r="D127" s="144">
        <f t="shared" ref="D127:J127" si="18">IF(ISNUMBER(D105),D27,"")</f>
        <v>39.5642</v>
      </c>
      <c r="E127" s="144">
        <f t="shared" si="18"/>
        <v>40.652300000000004</v>
      </c>
      <c r="F127" s="144">
        <f t="shared" si="18"/>
        <v>43.026199999999996</v>
      </c>
      <c r="G127" s="144">
        <f t="shared" si="18"/>
        <v>45.65079819999999</v>
      </c>
      <c r="H127" s="144" t="str">
        <f t="shared" si="18"/>
        <v/>
      </c>
      <c r="I127" s="144" t="str">
        <f t="shared" si="18"/>
        <v/>
      </c>
      <c r="J127" s="144" t="str">
        <f t="shared" si="18"/>
        <v/>
      </c>
      <c r="K127" s="144"/>
      <c r="L127" s="9"/>
      <c r="M127" s="9"/>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ht="21.4" customHeight="1" x14ac:dyDescent="0.4">
      <c r="B128" s="7" t="s">
        <v>977</v>
      </c>
      <c r="C128" s="19"/>
      <c r="D128" s="3" t="str">
        <f>"Reference level ("&amp;'Step 1 - Set global parameters'!B28&amp;")"</f>
        <v>Reference level (2021)</v>
      </c>
      <c r="E128" s="3"/>
      <c r="F128" s="3"/>
      <c r="G128" s="3"/>
      <c r="H128" s="3"/>
      <c r="I128" s="3"/>
      <c r="J128" s="3"/>
      <c r="K128" s="3"/>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v>1</v>
      </c>
      <c r="B129" s="5" t="s">
        <v>957</v>
      </c>
      <c r="C129" t="s">
        <v>599</v>
      </c>
      <c r="D129" s="144">
        <f>'Step 1 - Set global parameters'!B29</f>
        <v>2.5</v>
      </c>
      <c r="E129" s="144">
        <f>IF(ISNUMBER(E105),E14/E127*100,"")</f>
        <v>2.7150001352936979</v>
      </c>
      <c r="F129" s="144">
        <f>IF(ISNUMBER(F105),F14/F127*100,"")</f>
        <v>3.1635143238305963</v>
      </c>
      <c r="G129" s="144">
        <f>IF(ISNUMBER(G105),G14/G127*100,"")</f>
        <v>4.0999999999999996</v>
      </c>
      <c r="H129" s="144" t="str">
        <f t="shared" ref="H129:J129" si="19">IF(ISNUMBER(H105),H14/H127*100,"")</f>
        <v/>
      </c>
      <c r="I129" s="144" t="str">
        <f t="shared" si="19"/>
        <v/>
      </c>
      <c r="J129" s="144" t="str">
        <f t="shared" si="19"/>
        <v/>
      </c>
      <c r="K129" s="144"/>
      <c r="L129" s="9"/>
      <c r="M129" s="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v>2</v>
      </c>
      <c r="B130" s="5" t="s">
        <v>958</v>
      </c>
      <c r="C130" t="s">
        <v>599</v>
      </c>
      <c r="D130" s="144"/>
      <c r="E130" s="287" t="str">
        <f>IF(ISNUMBER(E105),IF('Step 1 - Set global parameters'!B21,MIN(Assessment!E129-Assessment!$D$129,'Step 1 - Set global parameters'!$C$26),"n.a."),"")</f>
        <v>n.a.</v>
      </c>
      <c r="F130" s="287">
        <f>IF(ISNUMBER(F105),IF('Step 1 - Set global parameters'!C21,MIN(Assessment!F129-Assessment!$D$129,'Step 1 - Set global parameters'!$C$26),"n.a."),"")</f>
        <v>0.66351432383059628</v>
      </c>
      <c r="G130" s="287">
        <f>IF(ISNUMBER(G105),IF('Step 1 - Set global parameters'!D21,MIN(Assessment!G129-Assessment!$D$129,'Step 1 - Set global parameters'!$C$26),"n.a."),"")</f>
        <v>1.5</v>
      </c>
      <c r="H130" s="287" t="str">
        <f>IF(ISNUMBER(H105),IF('Step 1 - Set global parameters'!E21,MIN(Assessment!H129-Assessment!$D$129,'Step 1 - Set global parameters'!$C$26),"n.a."),"")</f>
        <v/>
      </c>
      <c r="I130" s="287" t="str">
        <f>IF(ISNUMBER(I105),IF('Step 1 - Set global parameters'!F21,MIN(Assessment!I129-Assessment!$D$129,'Step 1 - Set global parameters'!$C$26),"n.a."),"")</f>
        <v/>
      </c>
      <c r="J130" s="287" t="str">
        <f>IF(ISNUMBER(J105),IF('Step 1 - Set global parameters'!G21,MIN(Assessment!J129-Assessment!$D$129,'Step 1 - Set global parameters'!$C$26),"n.a."),"")</f>
        <v/>
      </c>
      <c r="K130" s="144"/>
      <c r="L130" s="9"/>
      <c r="M130" s="9"/>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v>3</v>
      </c>
      <c r="B131" s="5" t="s">
        <v>976</v>
      </c>
      <c r="C131" t="s">
        <v>599</v>
      </c>
      <c r="D131" s="144"/>
      <c r="E131" s="287" t="str">
        <f>IF(ISNUMBER(E105),IF(IFERROR('Step 1 - Set global parameters'!B23,FALSE),E126-E130,"n.a."),"")</f>
        <v>n.a.</v>
      </c>
      <c r="F131" s="287">
        <f>IF(ISNUMBER(F105),IF(IFERROR('Step 1 - Set global parameters'!C23,FALSE),F126-F130,"n.a."),"")</f>
        <v>-2.6239061316128445</v>
      </c>
      <c r="G131" s="287">
        <f>IF(ISNUMBER(G105),IF(IFERROR('Step 1 - Set global parameters'!D23,FALSE),G126-G130,"n.a."),"")</f>
        <v>-2.4692931218013441</v>
      </c>
      <c r="H131" s="287" t="str">
        <f>IF(ISNUMBER(H105),IF(IFERROR('Step 1 - Set global parameters'!E23,FALSE),H126-H130,"n.a."),"")</f>
        <v/>
      </c>
      <c r="I131" s="287" t="str">
        <f>IF(ISNUMBER(I105),IF(IFERROR('Step 1 - Set global parameters'!F23,FALSE),I126-I130,"n.a."),"")</f>
        <v/>
      </c>
      <c r="J131" s="287" t="str">
        <f>IF(ISNUMBER(J105),IF(IFERROR('Step 1 - Set global parameters'!G23,FALSE),J126-J130,"n.a."),"")</f>
        <v/>
      </c>
      <c r="K131" s="144"/>
      <c r="L131" s="9"/>
      <c r="M131" s="9"/>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ht="16.899999999999999" customHeight="1" x14ac:dyDescent="0.4">
      <c r="A132" s="3">
        <v>4</v>
      </c>
      <c r="B132" s="5" t="str">
        <f>IF(Other_exempt_spending_flag,"Eligible other exempt spending measures","Eligible energy security measures")</f>
        <v>Eligible energy security measures</v>
      </c>
      <c r="C132" t="s">
        <v>599</v>
      </c>
      <c r="D132" s="144"/>
      <c r="E132" s="287" t="str">
        <f>IF(ISNUMBER(E105),IF(IFERROR('Step 1 - Set global parameters'!B24,FALSE),'Step 1 - Set global parameters'!B25,"n.a."),"")</f>
        <v>n.a.</v>
      </c>
      <c r="F132" s="287" t="str">
        <f>IF(ISNUMBER(F105),IF(IFERROR('Step 1 - Set global parameters'!C24,FALSE),'Step 1 - Set global parameters'!C25,"n.a."),"")</f>
        <v>n.a.</v>
      </c>
      <c r="G132" s="287" t="str">
        <f>IF(ISNUMBER(G105),IF(IFERROR('Step 1 - Set global parameters'!D24,FALSE),'Step 1 - Set global parameters'!D25,"n.a."),"")</f>
        <v>n.a.</v>
      </c>
      <c r="H132" s="287" t="str">
        <f>IF(ISNUMBER(H105),IF(IFERROR('Step 1 - Set global parameters'!E24,FALSE),'Step 1 - Set global parameters'!E25,"n.a."),"")</f>
        <v/>
      </c>
      <c r="I132" s="287" t="str">
        <f>IF(ISNUMBER(I105),IF(IFERROR('Step 1 - Set global parameters'!F24,FALSE),'Step 1 - Set global parameters'!F25,"n.a."),"")</f>
        <v/>
      </c>
      <c r="J132" s="287" t="str">
        <f>IF(ISNUMBER(J105),IF(IFERROR('Step 1 - Set global parameters'!G24,FALSE),'Step 1 - Set global parameters'!G25,"n.a."),"")</f>
        <v/>
      </c>
      <c r="K132" s="144"/>
      <c r="L132" s="9"/>
      <c r="M132" s="9"/>
      <c r="N132"/>
      <c r="O132"/>
      <c r="P132"/>
      <c r="Q132"/>
      <c r="R132" s="71"/>
      <c r="S132" s="71"/>
      <c r="T132" s="71"/>
      <c r="U132" s="71"/>
      <c r="V132" s="71"/>
      <c r="W132" s="71"/>
      <c r="X132" s="71"/>
      <c r="Y132" s="71"/>
      <c r="Z132" s="71"/>
      <c r="AA132" s="71"/>
      <c r="AB132" s="71"/>
      <c r="AC132" s="71"/>
      <c r="AD132" s="71"/>
      <c r="AE132" s="71"/>
      <c r="AF132" s="71"/>
      <c r="AG132" s="71"/>
      <c r="AH132" s="71"/>
      <c r="AI132" s="71"/>
    </row>
    <row r="133" spans="1:35" x14ac:dyDescent="0.4">
      <c r="A133" s="3">
        <v>5</v>
      </c>
      <c r="B133" s="5" t="str">
        <f>IF(Other_exempt_spending_flag,"Flexibility from other exempt spending measures","Flexibility from energy security measures")</f>
        <v>Flexibility from energy security measures</v>
      </c>
      <c r="C133" t="s">
        <v>599</v>
      </c>
      <c r="D133" s="144"/>
      <c r="E133" s="287" t="str">
        <f>IF(ISNUMBER(E105),IF(IFERROR('Step 1 - Set global parameters'!B24,FALSE),MIN(E132,0.3,0.6-SUM(D136)),"n.a."),"")</f>
        <v>n.a.</v>
      </c>
      <c r="F133" s="287" t="str">
        <f>IF(ISNUMBER(F105),IF(IFERROR('Step 1 - Set global parameters'!C24,FALSE),MIN(F132,0.3,0.6-SUM(E136)),"n.a."),"")</f>
        <v>n.a.</v>
      </c>
      <c r="G133" s="287" t="str">
        <f>IF(ISNUMBER(G105),IF(IFERROR('Step 1 - Set global parameters'!D24,FALSE),MIN(G132,0.3,0.6-SUM(F136)),"n.a."),"")</f>
        <v>n.a.</v>
      </c>
      <c r="H133" s="287" t="str">
        <f>IF(ISNUMBER(H105),IF(IFERROR('Step 1 - Set global parameters'!E24,FALSE),MIN(H132,0.3,0.6-SUM(G136)),"n.a."),"")</f>
        <v/>
      </c>
      <c r="I133" s="287" t="str">
        <f>IF(ISNUMBER(I105),IF(IFERROR('Step 1 - Set global parameters'!F24,FALSE),MIN(I132,0.3,0.6-SUM(H136)),"n.a."),"")</f>
        <v/>
      </c>
      <c r="J133" s="287" t="str">
        <f>IF(ISNUMBER(J105),IF(IFERROR('Step 1 - Set global parameters'!G24,FALSE),MIN(J132,0.3,0.6-SUM(I136)),"n.a."),"")</f>
        <v/>
      </c>
      <c r="K133" s="144"/>
      <c r="L133" s="9"/>
      <c r="M133" s="9"/>
      <c r="N133"/>
      <c r="O133"/>
      <c r="P133"/>
      <c r="Q133"/>
      <c r="R133" s="71"/>
      <c r="S133" s="71"/>
      <c r="T133" s="71"/>
      <c r="U133" s="71"/>
      <c r="V133" s="71"/>
      <c r="W133" s="71"/>
      <c r="X133" s="71"/>
      <c r="Y133" s="71"/>
      <c r="Z133" s="71"/>
      <c r="AA133" s="71"/>
      <c r="AB133" s="71"/>
      <c r="AC133" s="71"/>
      <c r="AD133" s="71"/>
      <c r="AE133" s="71"/>
      <c r="AF133" s="71"/>
      <c r="AG133" s="71"/>
      <c r="AH133" s="71"/>
      <c r="AI133" s="71"/>
    </row>
    <row r="134" spans="1:35" x14ac:dyDescent="0.4">
      <c r="A134" s="3">
        <v>6</v>
      </c>
      <c r="B134" s="5" t="s">
        <v>975</v>
      </c>
      <c r="C134" t="s">
        <v>599</v>
      </c>
      <c r="D134" s="144"/>
      <c r="E134" s="287" t="str">
        <f>IF(ISNUMBER(E105),IF(AND(IFERROR('Step 1 - Set global parameters'!B23,FALSE),IFERROR('Step 1 - Set global parameters'!B24,FALSE)),E131-E133,"n.a."),"")</f>
        <v>n.a.</v>
      </c>
      <c r="F134" s="287" t="str">
        <f>IF(ISNUMBER(F105),IF(AND(IFERROR('Step 1 - Set global parameters'!C23,FALSE),IFERROR('Step 1 - Set global parameters'!C24,FALSE)),F131-F133,"n.a."),"")</f>
        <v>n.a.</v>
      </c>
      <c r="G134" s="287" t="str">
        <f>IF(ISNUMBER(G105),IF(AND(IFERROR('Step 1 - Set global parameters'!D23,FALSE),IFERROR('Step 1 - Set global parameters'!D24,FALSE)),G131-G133,"n.a."),"")</f>
        <v>n.a.</v>
      </c>
      <c r="H134" s="287" t="str">
        <f>IF(ISNUMBER(H105),IF(AND(IFERROR('Step 1 - Set global parameters'!E23,FALSE),IFERROR('Step 1 - Set global parameters'!E24,FALSE)),H131-H133,"n.a."),"")</f>
        <v/>
      </c>
      <c r="I134" s="287" t="str">
        <f>IF(ISNUMBER(I105),IF(AND(IFERROR('Step 1 - Set global parameters'!F23,FALSE),IFERROR('Step 1 - Set global parameters'!F24,FALSE)),I131-I133,"n.a."),"")</f>
        <v/>
      </c>
      <c r="J134" s="287" t="str">
        <f>IF(ISNUMBER(J105),IF(AND(IFERROR('Step 1 - Set global parameters'!G23,FALSE),IFERROR('Step 1 - Set global parameters'!G24,FALSE)),J131-J133,"n.a."),"")</f>
        <v/>
      </c>
      <c r="K134" s="144"/>
      <c r="L134" s="9"/>
      <c r="M134" s="9"/>
      <c r="N134"/>
      <c r="O134"/>
      <c r="P134"/>
      <c r="Q134"/>
      <c r="R134" s="71"/>
      <c r="S134" s="71"/>
      <c r="T134" s="71"/>
      <c r="U134" s="71"/>
      <c r="V134" s="71"/>
      <c r="W134" s="71"/>
      <c r="X134" s="71"/>
      <c r="Y134" s="71"/>
      <c r="Z134" s="71"/>
      <c r="AA134" s="71"/>
      <c r="AB134" s="71"/>
      <c r="AC134" s="71"/>
      <c r="AD134" s="71"/>
      <c r="AE134" s="71"/>
      <c r="AF134" s="71"/>
      <c r="AG134" s="71"/>
      <c r="AH134" s="71"/>
      <c r="AI134" s="71"/>
    </row>
    <row r="135" spans="1:35" ht="15.4" customHeight="1" x14ac:dyDescent="0.4">
      <c r="A135" s="3">
        <v>7</v>
      </c>
      <c r="B135" s="5" t="str">
        <f>IF(Other_exempt_spending_flag,"p.m. Annual use of flexibility from other exempt spending measures","p.m. Annual use of flexibility from energy security measures")</f>
        <v>p.m. Annual use of flexibility from energy security measures</v>
      </c>
      <c r="C135" t="s">
        <v>599</v>
      </c>
      <c r="D135" s="144"/>
      <c r="E135" s="287" t="str">
        <f>IF(ISNUMBER(E105),IF(AND(IFERROR('Step 1 - Set global parameters'!B23,FALSE),IFERROR('Step 1 - Set global parameters'!B24,FALSE)),IF(E131&gt;0,MIN(E131,E133),0),"n.a."),"")</f>
        <v>n.a.</v>
      </c>
      <c r="F135" s="287" t="str">
        <f>IF(ISNUMBER(F105),IF(AND(IFERROR('Step 1 - Set global parameters'!C23,FALSE),IFERROR('Step 1 - Set global parameters'!C24,FALSE)),IF(F131&gt;0,MIN(F131,F133),0),"n.a."),"")</f>
        <v>n.a.</v>
      </c>
      <c r="G135" s="287" t="str">
        <f>IF(ISNUMBER(G105),IF(AND(IFERROR('Step 1 - Set global parameters'!D23,FALSE),IFERROR('Step 1 - Set global parameters'!D24,FALSE)),IF(G131&gt;0,MIN(G131,G133),0),"n.a."),"")</f>
        <v>n.a.</v>
      </c>
      <c r="H135" s="287" t="str">
        <f>IF(ISNUMBER(H105),IF(AND(IFERROR('Step 1 - Set global parameters'!E23,FALSE),IFERROR('Step 1 - Set global parameters'!E24,FALSE)),IF(H131&gt;0,MIN(H131,H133),0),"n.a."),"")</f>
        <v/>
      </c>
      <c r="I135" s="287" t="str">
        <f>IF(ISNUMBER(I105),IF(AND(IFERROR('Step 1 - Set global parameters'!F23,FALSE),IFERROR('Step 1 - Set global parameters'!F24,FALSE)),IF(I131&gt;0,MIN(I131,I133),0),"n.a."),"")</f>
        <v/>
      </c>
      <c r="J135" s="287" t="str">
        <f>IF(ISNUMBER(J105),IF(AND(IFERROR('Step 1 - Set global parameters'!G23,FALSE),IFERROR('Step 1 - Set global parameters'!G24,FALSE)),IF(J131&gt;0,MIN(J131,J133),0),"n.a."),"")</f>
        <v/>
      </c>
      <c r="K135" s="144"/>
      <c r="L135" s="9"/>
      <c r="M135" s="9"/>
      <c r="N135"/>
      <c r="O135"/>
      <c r="P135"/>
      <c r="Q135"/>
      <c r="R135" s="71"/>
      <c r="S135" s="71"/>
      <c r="T135" s="71"/>
      <c r="U135" s="71"/>
      <c r="V135" s="71"/>
      <c r="W135" s="71"/>
      <c r="X135" s="71"/>
      <c r="Y135" s="71"/>
      <c r="Z135" s="71"/>
      <c r="AA135" s="71"/>
      <c r="AB135" s="71"/>
      <c r="AC135" s="71"/>
      <c r="AD135" s="71"/>
      <c r="AE135" s="71"/>
      <c r="AF135" s="71"/>
      <c r="AG135" s="71"/>
      <c r="AH135" s="71"/>
      <c r="AI135" s="71"/>
    </row>
    <row r="136" spans="1:35" x14ac:dyDescent="0.4">
      <c r="A136" s="3">
        <v>8</v>
      </c>
      <c r="B136" s="5" t="str">
        <f>IF(Other_exempt_spending_flag,"p.m. Cumulated use of flexibility from other exempt spending measures","p.m. Cumulated use of flexibility from energy security measures")</f>
        <v>p.m. Cumulated use of flexibility from energy security measures</v>
      </c>
      <c r="C136" t="s">
        <v>599</v>
      </c>
      <c r="D136" s="144"/>
      <c r="E136" s="287" t="str">
        <f>IF(ISNUMBER(E105),IF(AND(IFERROR('Step 1 - Set global parameters'!B23,FALSE),IFERROR('Step 1 - Set global parameters'!B24,FALSE)),SUM(D136,E135),"n.a."),"")</f>
        <v>n.a.</v>
      </c>
      <c r="F136" s="287" t="str">
        <f>IF(ISNUMBER(F105),IF(AND(IFERROR('Step 1 - Set global parameters'!C23,FALSE),IFERROR('Step 1 - Set global parameters'!C24,FALSE)),SUM(E136,F135),"n.a."),"")</f>
        <v>n.a.</v>
      </c>
      <c r="G136" s="287" t="str">
        <f>IF(ISNUMBER(G105),IF(AND(IFERROR('Step 1 - Set global parameters'!D23,FALSE),IFERROR('Step 1 - Set global parameters'!D24,FALSE)),SUM(F136,G135),"n.a."),"")</f>
        <v>n.a.</v>
      </c>
      <c r="H136" s="287" t="str">
        <f>IF(ISNUMBER(H105),IF(AND(IFERROR('Step 1 - Set global parameters'!E23,FALSE),IFERROR('Step 1 - Set global parameters'!E24,FALSE)),SUM(G136,H135),"n.a."),"")</f>
        <v/>
      </c>
      <c r="I136" s="287" t="str">
        <f>IF(ISNUMBER(I105),IF(AND(IFERROR('Step 1 - Set global parameters'!F23,FALSE),IFERROR('Step 1 - Set global parameters'!F24,FALSE)),SUM(H136,I135),"n.a."),"")</f>
        <v/>
      </c>
      <c r="J136" s="287" t="str">
        <f>IF(ISNUMBER(J105),IF(AND(IFERROR('Step 1 - Set global parameters'!G23,FALSE),IFERROR('Step 1 - Set global parameters'!G24,FALSE)),SUM(I136,J135),"n.a."),"")</f>
        <v/>
      </c>
      <c r="K136" s="144"/>
      <c r="L136" s="9"/>
      <c r="M136" s="9"/>
      <c r="N136"/>
      <c r="O136"/>
      <c r="P136"/>
      <c r="Q136"/>
      <c r="R136" s="71"/>
      <c r="S136" s="71"/>
      <c r="T136" s="71"/>
      <c r="U136" s="71"/>
      <c r="V136" s="71"/>
      <c r="W136" s="71"/>
      <c r="X136" s="71"/>
      <c r="Y136" s="71"/>
      <c r="Z136" s="71"/>
      <c r="AA136" s="71"/>
      <c r="AB136" s="71"/>
      <c r="AC136" s="71"/>
      <c r="AD136" s="71"/>
      <c r="AE136" s="71"/>
      <c r="AF136" s="71"/>
      <c r="AG136" s="71"/>
      <c r="AH136" s="71"/>
      <c r="AI136" s="71"/>
    </row>
    <row r="137" spans="1:35" x14ac:dyDescent="0.4">
      <c r="A137" s="3"/>
      <c r="B137" s="5"/>
      <c r="C137"/>
      <c r="D137" s="144"/>
      <c r="E137" s="287"/>
      <c r="F137" s="287"/>
      <c r="G137" s="287"/>
      <c r="H137" s="287"/>
      <c r="I137" s="287"/>
      <c r="J137" s="287"/>
      <c r="K137" s="144"/>
      <c r="L137" s="9"/>
      <c r="M137" s="9"/>
      <c r="N137"/>
      <c r="O137"/>
      <c r="P137"/>
      <c r="Q137"/>
      <c r="R137" s="71"/>
      <c r="S137" s="71"/>
      <c r="T137" s="71"/>
      <c r="U137" s="71"/>
      <c r="V137" s="71"/>
      <c r="W137" s="71"/>
      <c r="X137" s="71"/>
      <c r="Y137" s="71"/>
      <c r="Z137" s="71"/>
      <c r="AA137" s="71"/>
      <c r="AB137" s="71"/>
      <c r="AC137" s="71"/>
      <c r="AD137" s="71"/>
      <c r="AE137" s="71"/>
      <c r="AF137" s="71"/>
      <c r="AG137" s="71"/>
      <c r="AH137" s="71"/>
      <c r="AI137" s="71"/>
    </row>
    <row r="138" spans="1:35" x14ac:dyDescent="0.4">
      <c r="A138" s="3"/>
      <c r="B138" s="7" t="s">
        <v>962</v>
      </c>
      <c r="C138" s="19"/>
      <c r="D138" s="3"/>
      <c r="E138" s="3"/>
      <c r="F138" s="3"/>
      <c r="G138" s="3"/>
      <c r="H138" s="3"/>
      <c r="I138" s="3"/>
      <c r="J138" s="3"/>
      <c r="K138" s="3"/>
      <c r="L138"/>
      <c r="M138"/>
      <c r="N138"/>
      <c r="O138"/>
      <c r="P138"/>
      <c r="Q138"/>
      <c r="R138" s="71"/>
      <c r="S138" s="71"/>
      <c r="T138" s="71"/>
      <c r="U138" s="71"/>
      <c r="V138" s="71"/>
      <c r="W138" s="71"/>
      <c r="X138" s="71"/>
      <c r="Y138" s="71"/>
      <c r="Z138" s="71"/>
      <c r="AA138" s="71"/>
      <c r="AB138" s="71"/>
      <c r="AC138" s="71"/>
      <c r="AD138" s="71"/>
      <c r="AE138" s="71"/>
      <c r="AF138" s="71"/>
      <c r="AG138" s="71"/>
      <c r="AH138" s="71"/>
      <c r="AI138" s="71"/>
    </row>
    <row r="139" spans="1:35" x14ac:dyDescent="0.4">
      <c r="A139" s="3" t="s">
        <v>633</v>
      </c>
      <c r="B139" s="5" t="s">
        <v>598</v>
      </c>
      <c r="C139" t="s">
        <v>599</v>
      </c>
      <c r="D139"/>
      <c r="E139" s="4">
        <f t="shared" ref="E139:G139" si="20">IF(ISNUMBER(E105),E122/E$127*100,"")</f>
        <v>-1.6282262258224094</v>
      </c>
      <c r="F139" s="4">
        <f t="shared" si="20"/>
        <v>-0.42200029284483015</v>
      </c>
      <c r="G139" s="4">
        <f t="shared" si="20"/>
        <v>0.87839001465694877</v>
      </c>
      <c r="H139" s="4" t="str">
        <f t="shared" ref="H139:J139" si="21">IF(ISNUMBER(H105),H122/H$127*100,"")</f>
        <v/>
      </c>
      <c r="I139" s="4" t="str">
        <f t="shared" si="21"/>
        <v/>
      </c>
      <c r="J139" s="4" t="str">
        <f t="shared" si="21"/>
        <v/>
      </c>
      <c r="K139" s="4"/>
      <c r="L139"/>
      <c r="M139"/>
      <c r="N139"/>
      <c r="O139"/>
      <c r="P139"/>
      <c r="Q139"/>
      <c r="R139" s="71"/>
      <c r="S139" s="71"/>
      <c r="T139" s="71"/>
      <c r="U139" s="71"/>
      <c r="V139" s="71"/>
      <c r="W139" s="71"/>
      <c r="X139" s="71"/>
      <c r="Y139" s="71"/>
      <c r="Z139" s="71"/>
      <c r="AA139" s="71"/>
      <c r="AB139" s="71"/>
      <c r="AC139" s="71"/>
      <c r="AD139" s="71"/>
      <c r="AE139" s="71"/>
      <c r="AF139" s="71"/>
      <c r="AG139" s="71"/>
      <c r="AH139" s="71"/>
      <c r="AI139" s="71"/>
    </row>
    <row r="140" spans="1:35" x14ac:dyDescent="0.4">
      <c r="A140" s="3"/>
      <c r="B140" s="5" t="s">
        <v>594</v>
      </c>
      <c r="C140" t="s">
        <v>6</v>
      </c>
      <c r="D140" s="144">
        <f t="shared" ref="D140:G140" si="22">IF(ISNUMBER(D105),D14,"")</f>
        <v>1.0249299999999999</v>
      </c>
      <c r="E140" s="144">
        <f t="shared" si="22"/>
        <v>1.10371</v>
      </c>
      <c r="F140" s="144">
        <f t="shared" si="22"/>
        <v>1.36114</v>
      </c>
      <c r="G140" s="144">
        <f t="shared" si="22"/>
        <v>1.8716827261999993</v>
      </c>
      <c r="H140" s="144" t="str">
        <f t="shared" ref="H140:J140" si="23">IF(ISNUMBER(H105),H14,"")</f>
        <v/>
      </c>
      <c r="I140" s="144" t="str">
        <f t="shared" si="23"/>
        <v/>
      </c>
      <c r="J140" s="144" t="str">
        <f t="shared" si="23"/>
        <v/>
      </c>
      <c r="K140" s="144"/>
      <c r="L140"/>
      <c r="M140"/>
      <c r="N140"/>
      <c r="O140"/>
      <c r="P140"/>
      <c r="Q140"/>
      <c r="R140" s="71"/>
      <c r="S140" s="71"/>
      <c r="T140" s="71"/>
      <c r="U140" s="71"/>
      <c r="V140" s="71"/>
      <c r="W140" s="71"/>
      <c r="X140" s="71"/>
      <c r="Y140" s="71"/>
      <c r="Z140" s="71"/>
      <c r="AA140" s="71"/>
      <c r="AB140" s="71"/>
      <c r="AC140" s="71"/>
      <c r="AD140" s="71"/>
      <c r="AE140" s="71"/>
      <c r="AF140" s="71"/>
      <c r="AG140" s="71"/>
      <c r="AH140" s="71"/>
      <c r="AI140" s="71"/>
    </row>
    <row r="141" spans="1:35" x14ac:dyDescent="0.4">
      <c r="A141" s="3"/>
      <c r="B141" s="5" t="s">
        <v>594</v>
      </c>
      <c r="C141" t="s">
        <v>599</v>
      </c>
      <c r="D141" s="4">
        <f t="shared" ref="D141:G141" si="24">IF(ISNUMBER(D105),D14/D127*100,"")</f>
        <v>2.5905490317003754</v>
      </c>
      <c r="E141" s="4">
        <f t="shared" si="24"/>
        <v>2.7150001352936979</v>
      </c>
      <c r="F141" s="4">
        <f t="shared" si="24"/>
        <v>3.1635143238305963</v>
      </c>
      <c r="G141" s="4">
        <f t="shared" si="24"/>
        <v>4.0999999999999996</v>
      </c>
      <c r="H141" s="4" t="str">
        <f t="shared" ref="H141:J141" si="25">IF(ISNUMBER(H105),H14/H127*100,"")</f>
        <v/>
      </c>
      <c r="I141" s="4" t="str">
        <f t="shared" si="25"/>
        <v/>
      </c>
      <c r="J141" s="4" t="str">
        <f t="shared" si="25"/>
        <v/>
      </c>
      <c r="K141" s="4"/>
      <c r="L141"/>
      <c r="M141"/>
      <c r="N141"/>
      <c r="O141"/>
      <c r="P141"/>
      <c r="Q141"/>
      <c r="R141" s="71"/>
      <c r="S141" s="71"/>
      <c r="T141" s="71"/>
      <c r="U141" s="71"/>
      <c r="V141" s="71"/>
      <c r="W141" s="71"/>
      <c r="X141" s="71"/>
      <c r="Y141" s="71"/>
      <c r="Z141" s="71"/>
      <c r="AA141" s="71"/>
      <c r="AB141" s="71"/>
      <c r="AC141" s="71"/>
      <c r="AD141" s="71"/>
      <c r="AE141" s="71"/>
      <c r="AF141" s="71"/>
      <c r="AG141" s="71"/>
      <c r="AH141" s="71"/>
      <c r="AI141" s="71"/>
    </row>
    <row r="142" spans="1:35" x14ac:dyDescent="0.4">
      <c r="A142" s="3"/>
      <c r="B142" s="5" t="s">
        <v>632</v>
      </c>
      <c r="C142" t="s">
        <v>6</v>
      </c>
      <c r="D142" s="4"/>
      <c r="E142" s="4">
        <f t="shared" ref="E142:G142" si="26">IF(ISNUMBER(E105),E140-D140,"")</f>
        <v>7.8780000000000072E-2</v>
      </c>
      <c r="F142" s="4">
        <f t="shared" si="26"/>
        <v>0.25743000000000005</v>
      </c>
      <c r="G142" s="4">
        <f t="shared" si="26"/>
        <v>0.5105427261999993</v>
      </c>
      <c r="H142" s="4" t="str">
        <f t="shared" ref="H142" si="27">IF(ISNUMBER(H105),H140-G140,"")</f>
        <v/>
      </c>
      <c r="I142" s="4" t="str">
        <f t="shared" ref="I142" si="28">IF(ISNUMBER(I105),I140-H140,"")</f>
        <v/>
      </c>
      <c r="J142" s="4" t="str">
        <f t="shared" ref="J142" si="29">IF(ISNUMBER(J105),J140-I140,"")</f>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B143" s="5" t="s">
        <v>632</v>
      </c>
      <c r="C143" t="s">
        <v>599</v>
      </c>
      <c r="E143" s="4">
        <f t="shared" ref="E143:G143" si="30">IF(ISNUMBER(E105),E142/E$27*100,"")</f>
        <v>0.19378977327236113</v>
      </c>
      <c r="F143" s="4">
        <f t="shared" si="30"/>
        <v>0.59830986701126299</v>
      </c>
      <c r="G143" s="4">
        <f t="shared" si="30"/>
        <v>1.1183653875300683</v>
      </c>
      <c r="H143" s="4" t="str">
        <f t="shared" ref="H143:J143" si="31">IF(ISNUMBER(H105),H142/H$27*100,"")</f>
        <v/>
      </c>
      <c r="I143" s="4" t="str">
        <f t="shared" si="31"/>
        <v/>
      </c>
      <c r="J143" s="4" t="str">
        <f t="shared" si="31"/>
        <v/>
      </c>
      <c r="K143" s="4"/>
    </row>
    <row r="144" spans="1:35" x14ac:dyDescent="0.4">
      <c r="B144" s="5" t="str">
        <f>"Growth of defence expenditure since "&amp;'Step 1 - Set global parameters'!B28&amp;""</f>
        <v>Growth of defence expenditure since 2021</v>
      </c>
      <c r="C144" t="s">
        <v>6</v>
      </c>
      <c r="E144" s="4">
        <f>IF(ISNUMBER(E105),E145/100*E$27,"")</f>
        <v>8.7402499999999939E-2</v>
      </c>
      <c r="F144" s="4">
        <f>IF(ISNUMBER(F105),F145/100*F$27,"")</f>
        <v>0.28548499999999999</v>
      </c>
      <c r="G144" s="4">
        <f>IF(ISNUMBER(G105),G145/100*G$27,"")</f>
        <v>0.7304127711999997</v>
      </c>
      <c r="H144" s="4" t="str">
        <f t="shared" ref="H144:J144" si="32">IF(ISNUMBER(H105),H145/100*H$27,"")</f>
        <v/>
      </c>
      <c r="I144" s="4" t="str">
        <f t="shared" si="32"/>
        <v/>
      </c>
      <c r="J144" s="4" t="str">
        <f t="shared" si="32"/>
        <v/>
      </c>
      <c r="K144" s="4"/>
    </row>
    <row r="145" spans="1:35" x14ac:dyDescent="0.4">
      <c r="B145" s="5" t="str">
        <f>"Growth of defence expenditure since "&amp;'Step 1 - Set global parameters'!B28&amp;""</f>
        <v>Growth of defence expenditure since 2021</v>
      </c>
      <c r="C145" t="s">
        <v>599</v>
      </c>
      <c r="E145" s="4">
        <f>IF(ISNUMBER(E105),E141-'Step 1 - Set global parameters'!$B$29,"")</f>
        <v>0.21500013529369788</v>
      </c>
      <c r="F145" s="4">
        <f>IF(ISNUMBER(F105),F141-'Step 1 - Set global parameters'!$B$29,"")</f>
        <v>0.66351432383059628</v>
      </c>
      <c r="G145" s="4">
        <f>IF(ISNUMBER(G105),G141-'Step 1 - Set global parameters'!$B$29,"")</f>
        <v>1.5999999999999996</v>
      </c>
      <c r="H145" s="4" t="str">
        <f>IF(ISNUMBER(H105),H141-'Step 1 - Set global parameters'!$B$29,"")</f>
        <v/>
      </c>
      <c r="I145" s="4" t="str">
        <f>IF(ISNUMBER(I105),I141-'Step 1 - Set global parameters'!$B$29,"")</f>
        <v/>
      </c>
      <c r="J145" s="4" t="str">
        <f>IF(ISNUMBER(J105),J141-'Step 1 - Set global parameters'!$B$29,"")</f>
        <v/>
      </c>
      <c r="K145" s="4"/>
    </row>
    <row r="146" spans="1:35" x14ac:dyDescent="0.4">
      <c r="B146" s="5" t="s">
        <v>635</v>
      </c>
      <c r="C146" s="14" t="s">
        <v>599</v>
      </c>
      <c r="E146" s="117">
        <f t="shared" ref="E146:G146" si="33">IF(ISNUMBER(E105),IF((E139-E145)&gt;0,E139-E145,0),"")</f>
        <v>0</v>
      </c>
      <c r="F146" s="117">
        <f t="shared" si="33"/>
        <v>0</v>
      </c>
      <c r="G146" s="117">
        <f t="shared" si="33"/>
        <v>0</v>
      </c>
      <c r="H146" s="117" t="str">
        <f t="shared" ref="H146:J146" si="34">IF(ISNUMBER(H105),IF((H139-H145)&gt;0,H139-H145,0),"")</f>
        <v/>
      </c>
      <c r="I146" s="117" t="str">
        <f t="shared" si="34"/>
        <v/>
      </c>
      <c r="J146" s="117" t="str">
        <f t="shared" si="34"/>
        <v/>
      </c>
      <c r="K146" s="117"/>
    </row>
    <row r="147" spans="1:35" s="44" customFormat="1" x14ac:dyDescent="0.4">
      <c r="B147" s="82" t="s">
        <v>637</v>
      </c>
      <c r="C147" s="44" t="s">
        <v>636</v>
      </c>
      <c r="E147" s="48">
        <f t="shared" ref="E147:G147" si="35">IF(ISNUMBER(E105),E122,"")</f>
        <v>-0.66191141000000342</v>
      </c>
      <c r="F147" s="48">
        <f t="shared" si="35"/>
        <v>-0.18157069000000228</v>
      </c>
      <c r="G147" s="48">
        <f t="shared" si="35"/>
        <v>0.40099205299999402</v>
      </c>
      <c r="H147" s="48" t="str">
        <f t="shared" ref="H147:J147" si="36">IF(ISNUMBER(H105),H122,"")</f>
        <v/>
      </c>
      <c r="I147" s="48" t="str">
        <f t="shared" si="36"/>
        <v/>
      </c>
      <c r="J147" s="48" t="str">
        <f t="shared" si="36"/>
        <v/>
      </c>
      <c r="K147" s="48"/>
    </row>
    <row r="148" spans="1:35" s="44" customFormat="1" x14ac:dyDescent="0.4">
      <c r="B148" s="90" t="s">
        <v>249</v>
      </c>
      <c r="C148" s="44" t="s">
        <v>636</v>
      </c>
      <c r="D148" s="48"/>
      <c r="E148" s="48">
        <f t="shared" ref="E148:G148" si="37">IF(ISNUMBER(E105),IF(OR(E147="",ISNA(E147)),"",MAX(E147,0)),"")</f>
        <v>0</v>
      </c>
      <c r="F148" s="48">
        <f t="shared" si="37"/>
        <v>0</v>
      </c>
      <c r="G148" s="48">
        <f t="shared" si="37"/>
        <v>0.40099205299999402</v>
      </c>
      <c r="H148" s="48" t="str">
        <f t="shared" ref="H148:J148" si="38">IF(ISNUMBER(H105),IF(OR(H147="",ISNA(H147)),"",MAX(H147,0)),"")</f>
        <v/>
      </c>
      <c r="I148" s="48" t="str">
        <f t="shared" si="38"/>
        <v/>
      </c>
      <c r="J148" s="48" t="str">
        <f t="shared" si="38"/>
        <v/>
      </c>
      <c r="K148" s="48"/>
    </row>
    <row r="149" spans="1:35" s="44" customFormat="1" x14ac:dyDescent="0.4">
      <c r="B149" s="90" t="s">
        <v>634</v>
      </c>
      <c r="C149" s="44" t="s">
        <v>636</v>
      </c>
      <c r="E149" s="48">
        <f>IF(ISNUMBER(E105),IF((E148-MAX(E144,0))&gt;0,E148-MAX(E144,0),0),"")</f>
        <v>0</v>
      </c>
      <c r="F149" s="48">
        <f>IF(ISNUMBER(F105),IF((F148-MAX(F144,0))&gt;0,F148-MAX(F144,0),0),"")</f>
        <v>0</v>
      </c>
      <c r="G149" s="48">
        <f>IF(ISNUMBER(G105),IF((G148-MAX(G144,0))&gt;0,G148-MAX(G144,0),0),"")</f>
        <v>0</v>
      </c>
      <c r="H149" s="48" t="str">
        <f t="shared" ref="H149:J149" si="39">IF(ISNUMBER(H105),IF((H148-MAX(H144,0))&gt;0,H148-MAX(H144,0),0),"")</f>
        <v/>
      </c>
      <c r="I149" s="48" t="str">
        <f t="shared" si="39"/>
        <v/>
      </c>
      <c r="J149" s="48" t="str">
        <f t="shared" si="39"/>
        <v/>
      </c>
      <c r="K149" s="48"/>
    </row>
    <row r="150" spans="1:35" s="44" customFormat="1" x14ac:dyDescent="0.4">
      <c r="B150" s="90" t="s">
        <v>250</v>
      </c>
      <c r="C150" s="44" t="s">
        <v>636</v>
      </c>
      <c r="D150" s="48"/>
      <c r="E150" s="48">
        <f t="shared" ref="E150:G150" si="40">IF(ISNUMBER(E105),IF(OR(E147="",ISNA(E147)),"",ABS(MIN(E147,0))),"")</f>
        <v>0.66191141000000342</v>
      </c>
      <c r="F150" s="48">
        <f t="shared" si="40"/>
        <v>0.18157069000000228</v>
      </c>
      <c r="G150" s="48">
        <f t="shared" si="40"/>
        <v>0</v>
      </c>
      <c r="H150" s="48" t="str">
        <f t="shared" ref="H150:J150" si="41">IF(ISNUMBER(H105),IF(OR(H147="",ISNA(H147)),"",ABS(MIN(H147,0))),"")</f>
        <v/>
      </c>
      <c r="I150" s="48" t="str">
        <f t="shared" si="41"/>
        <v/>
      </c>
      <c r="J150" s="48" t="str">
        <f t="shared" si="41"/>
        <v/>
      </c>
      <c r="K150" s="48"/>
    </row>
    <row r="151" spans="1:35" s="44" customFormat="1" x14ac:dyDescent="0.4">
      <c r="B151" s="55" t="s">
        <v>638</v>
      </c>
      <c r="C151" s="44" t="s">
        <v>636</v>
      </c>
      <c r="E151" s="48">
        <f t="shared" ref="E151:G151" si="42">IF(ISNUMBER(E105),IF(E156=FALSE,E148-E150,IF(E157=TRUE,E149-E150,E150)),"")</f>
        <v>-0.66191141000000342</v>
      </c>
      <c r="F151" s="48">
        <f t="shared" si="42"/>
        <v>-0.18157069000000228</v>
      </c>
      <c r="G151" s="48">
        <f t="shared" si="42"/>
        <v>0</v>
      </c>
      <c r="H151" s="48" t="str">
        <f t="shared" ref="H151:J151" si="43">IF(ISNUMBER(H105),IF(H156=FALSE,H148-H150,IF(H157=TRUE,H149-H150,H150)),"")</f>
        <v/>
      </c>
      <c r="I151" s="48" t="str">
        <f t="shared" si="43"/>
        <v/>
      </c>
      <c r="J151" s="48" t="str">
        <f t="shared" si="43"/>
        <v/>
      </c>
      <c r="K151" s="48"/>
    </row>
    <row r="152" spans="1:35" s="44" customFormat="1" x14ac:dyDescent="0.4">
      <c r="B152" s="55" t="s">
        <v>682</v>
      </c>
      <c r="C152" s="44" t="s">
        <v>636</v>
      </c>
      <c r="E152" s="48">
        <f t="shared" ref="E152:G152" si="44">IF(ISNUMBER(E105),E151+IF(ISNUMBER(D105),D152,0),"")</f>
        <v>-0.66191141000000342</v>
      </c>
      <c r="F152" s="48">
        <f t="shared" si="44"/>
        <v>-0.84348210000000567</v>
      </c>
      <c r="G152" s="48">
        <f t="shared" si="44"/>
        <v>-0.84348210000000567</v>
      </c>
      <c r="H152" s="48" t="str">
        <f t="shared" ref="H152" si="45">IF(ISNUMBER(H105),H151+IF(ISNUMBER(G105),G152,0),"")</f>
        <v/>
      </c>
      <c r="I152" s="48" t="str">
        <f t="shared" ref="I152" si="46">IF(ISNUMBER(I105),I151+IF(ISNUMBER(H105),H152,0),"")</f>
        <v/>
      </c>
      <c r="J152" s="48" t="str">
        <f t="shared" ref="J152" si="47">IF(ISNUMBER(J105),J151+IF(ISNUMBER(I105),I152,0),"")</f>
        <v/>
      </c>
      <c r="K152" s="48"/>
    </row>
    <row r="153" spans="1:35" x14ac:dyDescent="0.4">
      <c r="A153" s="3"/>
      <c r="B153" s="5" t="s">
        <v>638</v>
      </c>
      <c r="C153" t="s">
        <v>599</v>
      </c>
      <c r="D153"/>
      <c r="E153" s="4">
        <f t="shared" ref="E153:G153" si="48">IF(ISNUMBER(E105),E151/E127*100,"")</f>
        <v>-1.6282262258224094</v>
      </c>
      <c r="F153" s="4">
        <f t="shared" si="48"/>
        <v>-0.42200029284483015</v>
      </c>
      <c r="G153" s="4">
        <f t="shared" si="48"/>
        <v>0</v>
      </c>
      <c r="H153" s="4" t="str">
        <f t="shared" ref="H153:J153" si="49">IF(ISNUMBER(H105),H151/H127*100,"")</f>
        <v/>
      </c>
      <c r="I153" s="4" t="str">
        <f t="shared" si="49"/>
        <v/>
      </c>
      <c r="J153" s="4" t="str">
        <f t="shared" si="49"/>
        <v/>
      </c>
      <c r="K153" s="4"/>
      <c r="L153"/>
      <c r="M153"/>
      <c r="N153"/>
      <c r="O153"/>
      <c r="P153"/>
      <c r="Q153"/>
      <c r="R153" s="71"/>
      <c r="S153" s="71"/>
      <c r="T153" s="71"/>
      <c r="U153" s="71"/>
      <c r="V153" s="71"/>
      <c r="W153" s="71"/>
      <c r="X153" s="71"/>
      <c r="Y153" s="71"/>
      <c r="Z153" s="71"/>
      <c r="AA153" s="71"/>
      <c r="AB153" s="71"/>
      <c r="AC153" s="71"/>
      <c r="AD153" s="71"/>
      <c r="AE153" s="71"/>
      <c r="AF153" s="71"/>
      <c r="AG153" s="71"/>
      <c r="AH153" s="71"/>
      <c r="AI153" s="71"/>
    </row>
    <row r="154" spans="1:35" x14ac:dyDescent="0.4">
      <c r="A154" s="3"/>
      <c r="B154" s="5" t="s">
        <v>917</v>
      </c>
      <c r="C154" t="s">
        <v>599</v>
      </c>
      <c r="D154"/>
      <c r="E154" s="4">
        <f t="shared" ref="E154:G154" si="50">IF(ISNUMBER(E105),E152/E$127*100,"")</f>
        <v>-1.6282262258224094</v>
      </c>
      <c r="F154" s="4">
        <f t="shared" si="50"/>
        <v>-1.9603918077822482</v>
      </c>
      <c r="G154" s="4">
        <f t="shared" si="50"/>
        <v>-1.8476831364582929</v>
      </c>
      <c r="H154" s="4" t="str">
        <f t="shared" ref="H154:J154" si="51">IF(ISNUMBER(H105),H152/H$127*100,"")</f>
        <v/>
      </c>
      <c r="I154" s="4" t="str">
        <f t="shared" si="51"/>
        <v/>
      </c>
      <c r="J154" s="4" t="str">
        <f t="shared" si="51"/>
        <v/>
      </c>
      <c r="K154" s="4"/>
      <c r="L154"/>
      <c r="M154"/>
      <c r="N154"/>
      <c r="O154"/>
      <c r="P154"/>
      <c r="Q154"/>
      <c r="R154" s="71"/>
      <c r="S154" s="71"/>
      <c r="T154" s="71"/>
      <c r="U154" s="71"/>
      <c r="V154" s="71"/>
      <c r="W154" s="71"/>
      <c r="X154" s="71"/>
      <c r="Y154" s="71"/>
      <c r="Z154" s="71"/>
      <c r="AA154" s="71"/>
      <c r="AB154" s="71"/>
      <c r="AC154" s="71"/>
      <c r="AD154" s="71"/>
      <c r="AE154" s="71"/>
      <c r="AF154" s="71"/>
      <c r="AG154" s="71"/>
      <c r="AH154" s="71"/>
      <c r="AI154" s="71"/>
    </row>
    <row r="155" spans="1:35" x14ac:dyDescent="0.4">
      <c r="A155" s="3"/>
      <c r="B155" s="5" t="s">
        <v>918</v>
      </c>
      <c r="C155"/>
      <c r="D155"/>
      <c r="E155" s="4">
        <f t="shared" ref="E155:G155" si="52">IF(ISNUMBER(E105),E126-E145,"")</f>
        <v>-1.8432263611161073</v>
      </c>
      <c r="F155" s="4">
        <f t="shared" si="52"/>
        <v>-2.6239061316128445</v>
      </c>
      <c r="G155" s="4">
        <f t="shared" si="52"/>
        <v>-2.5692931218013437</v>
      </c>
      <c r="H155" s="4" t="str">
        <f t="shared" ref="H155:J155" si="53">IF(ISNUMBER(H105),H126-H145,"")</f>
        <v/>
      </c>
      <c r="I155" s="4" t="str">
        <f t="shared" si="53"/>
        <v/>
      </c>
      <c r="J155" s="4" t="str">
        <f t="shared" si="53"/>
        <v/>
      </c>
      <c r="K155" s="4"/>
      <c r="L155"/>
      <c r="M155"/>
      <c r="N155"/>
      <c r="O155"/>
      <c r="P155"/>
      <c r="Q155"/>
      <c r="R155" s="71"/>
      <c r="S155" s="71"/>
      <c r="T155" s="71"/>
      <c r="U155" s="71"/>
      <c r="V155" s="71"/>
      <c r="W155" s="71"/>
      <c r="X155" s="71"/>
      <c r="Y155" s="71"/>
      <c r="Z155" s="71"/>
      <c r="AA155" s="71"/>
      <c r="AB155" s="71"/>
      <c r="AC155" s="71"/>
      <c r="AD155" s="71"/>
      <c r="AE155" s="71"/>
      <c r="AF155" s="71"/>
      <c r="AG155" s="71"/>
      <c r="AH155" s="71"/>
      <c r="AI155" s="71"/>
    </row>
    <row r="156" spans="1:35" x14ac:dyDescent="0.4">
      <c r="B156" s="55" t="str">
        <f>'Step 1 - Set global parameters'!A21</f>
        <v>Years for which an escape clause has been activated</v>
      </c>
      <c r="C156" s="44"/>
      <c r="D156" s="148"/>
      <c r="E156" s="148" t="b">
        <f>'Step 1 - Set global parameters'!B21</f>
        <v>0</v>
      </c>
      <c r="F156" s="148" t="b">
        <f>'Step 1 - Set global parameters'!C21</f>
        <v>1</v>
      </c>
      <c r="G156" s="148" t="b">
        <f>'Step 1 - Set global parameters'!D21</f>
        <v>1</v>
      </c>
      <c r="H156" s="148" t="b">
        <f>'Step 1 - Set global parameters'!E21</f>
        <v>1</v>
      </c>
      <c r="I156" s="148" t="b">
        <f>'Step 1 - Set global parameters'!F21</f>
        <v>1</v>
      </c>
      <c r="J156" s="148" t="b">
        <f>'Step 1 - Set global parameters'!G21</f>
        <v>0</v>
      </c>
      <c r="K156" s="148"/>
      <c r="L156" s="95"/>
      <c r="M156" s="95"/>
      <c r="N156" s="95"/>
      <c r="O156" s="95"/>
      <c r="P156" s="95"/>
      <c r="Q156" s="95"/>
      <c r="R156" s="58"/>
      <c r="S156" s="58"/>
    </row>
    <row r="157" spans="1:35" x14ac:dyDescent="0.4">
      <c r="B157" s="55" t="s">
        <v>625</v>
      </c>
      <c r="C157" s="44"/>
      <c r="D157" s="95"/>
      <c r="E157" s="148" t="e">
        <f>IF('Step 1 - Set global parameters'!B21, IFERROR('Step 1 - Set global parameters'!B23, NA()), NA())</f>
        <v>#N/A</v>
      </c>
      <c r="F157" s="148" t="b">
        <f>IF('Step 1 - Set global parameters'!C21, IFERROR('Step 1 - Set global parameters'!C23, NA()), NA())</f>
        <v>1</v>
      </c>
      <c r="G157" s="148" t="b">
        <f>IF('Step 1 - Set global parameters'!D21, IFERROR('Step 1 - Set global parameters'!D23, NA()), NA())</f>
        <v>1</v>
      </c>
      <c r="H157" s="148" t="b">
        <f>IF('Step 1 - Set global parameters'!E21, IFERROR('Step 1 - Set global parameters'!E23, NA()), NA())</f>
        <v>1</v>
      </c>
      <c r="I157" s="148" t="b">
        <f>IF('Step 1 - Set global parameters'!F21, IFERROR('Step 1 - Set global parameters'!F23, NA()), NA())</f>
        <v>1</v>
      </c>
      <c r="J157" s="148" t="e">
        <f>IF('Step 1 - Set global parameters'!G21, IFERROR('Step 1 - Set global parameters'!G23, NA()), NA())</f>
        <v>#N/A</v>
      </c>
      <c r="K157" s="148"/>
      <c r="L157" s="148"/>
      <c r="M157" s="148"/>
      <c r="N157" s="95"/>
      <c r="O157" s="95"/>
      <c r="P157" s="95"/>
      <c r="Q157" s="95"/>
      <c r="R157" s="58"/>
      <c r="S157" s="58"/>
    </row>
    <row r="158" spans="1:35" x14ac:dyDescent="0.4">
      <c r="B158" s="55" t="s">
        <v>915</v>
      </c>
      <c r="C158" s="44" t="s">
        <v>599</v>
      </c>
      <c r="D158" s="95"/>
      <c r="E158" s="148" t="e">
        <f>IF('Step 1 - Set global parameters'!B21,'Step 1 - Set global parameters'!B26,NA())</f>
        <v>#N/A</v>
      </c>
      <c r="F158" s="148">
        <f>IF('Step 1 - Set global parameters'!C21,'Step 1 - Set global parameters'!C26,NA())</f>
        <v>1.5</v>
      </c>
      <c r="G158" s="148">
        <f>IF('Step 1 - Set global parameters'!D21,'Step 1 - Set global parameters'!D26,NA())</f>
        <v>1.5</v>
      </c>
      <c r="H158" s="148">
        <f>IF('Step 1 - Set global parameters'!E21,'Step 1 - Set global parameters'!E26,NA())</f>
        <v>1.5</v>
      </c>
      <c r="I158" s="148">
        <f>IF('Step 1 - Set global parameters'!F21,'Step 1 - Set global parameters'!F26,NA())</f>
        <v>1.5</v>
      </c>
      <c r="J158" s="148" t="e">
        <f>IF('Step 1 - Set global parameters'!G21,'Step 1 - Set global parameters'!G26,NA())</f>
        <v>#N/A</v>
      </c>
      <c r="K158" s="148"/>
      <c r="L158" s="148"/>
      <c r="M158" s="148"/>
      <c r="N158" s="95"/>
      <c r="O158" s="95"/>
      <c r="P158" s="95"/>
      <c r="Q158" s="95"/>
      <c r="R158" s="58"/>
      <c r="S158" s="58"/>
    </row>
    <row r="159" spans="1:35" x14ac:dyDescent="0.4">
      <c r="B159" t="s">
        <v>471</v>
      </c>
      <c r="C159" s="37"/>
      <c r="D159" s="76"/>
      <c r="E159" s="76"/>
      <c r="F159" s="76" t="b">
        <f>F153 &gt; 0.3</f>
        <v>0</v>
      </c>
      <c r="G159" s="76" t="b">
        <f>G153 &gt; 0.3</f>
        <v>0</v>
      </c>
      <c r="H159" s="76" t="b">
        <f t="shared" ref="H159:J159" si="54">H153 &gt; 0.3</f>
        <v>1</v>
      </c>
      <c r="I159" s="76" t="b">
        <f t="shared" si="54"/>
        <v>1</v>
      </c>
      <c r="J159" s="76" t="b">
        <f t="shared" si="54"/>
        <v>1</v>
      </c>
      <c r="K159" s="76"/>
      <c r="L159" s="76"/>
      <c r="M159" s="37"/>
      <c r="N159" s="37"/>
      <c r="O159" s="71"/>
      <c r="P159" s="71"/>
      <c r="Q159" s="71"/>
      <c r="R159" s="71"/>
      <c r="S159" s="71"/>
      <c r="T159" s="71"/>
      <c r="U159" s="71"/>
      <c r="V159" s="71"/>
      <c r="W159" s="71"/>
      <c r="X159" s="71"/>
      <c r="Y159" s="71"/>
      <c r="Z159" s="71"/>
      <c r="AA159" s="71"/>
      <c r="AB159" s="71"/>
      <c r="AC159" s="71"/>
      <c r="AD159" s="71"/>
      <c r="AE159" s="71"/>
      <c r="AF159" s="71"/>
      <c r="AG159" s="71"/>
      <c r="AH159" s="71"/>
      <c r="AI159" s="71"/>
    </row>
    <row r="160" spans="1:35" x14ac:dyDescent="0.4">
      <c r="B160" s="7" t="s">
        <v>472</v>
      </c>
      <c r="C160" s="93"/>
      <c r="D160" s="120"/>
      <c r="E160" s="119"/>
      <c r="F160" s="119" t="b">
        <f>IF(F154 &gt; 0.6, TRUE, FALSE)</f>
        <v>0</v>
      </c>
      <c r="G160" s="119" t="b">
        <f>IF(G154 &gt; 0.6, TRUE, FALSE)</f>
        <v>0</v>
      </c>
      <c r="H160" s="119" t="b">
        <f t="shared" ref="H160:J160" si="55">IF(H154 &gt; 0.6, TRUE, FALSE)</f>
        <v>1</v>
      </c>
      <c r="I160" s="119" t="b">
        <f t="shared" si="55"/>
        <v>1</v>
      </c>
      <c r="J160" s="119" t="b">
        <f t="shared" si="55"/>
        <v>1</v>
      </c>
      <c r="K160" s="119"/>
      <c r="L160" s="119"/>
      <c r="M160" s="37"/>
      <c r="N160" s="37"/>
      <c r="O160" s="71"/>
      <c r="P160" s="71"/>
      <c r="Q160" s="71"/>
      <c r="R160" s="71"/>
      <c r="S160" s="71"/>
      <c r="T160" s="71"/>
      <c r="U160" s="71"/>
      <c r="V160" s="71"/>
      <c r="W160" s="71"/>
      <c r="X160" s="71"/>
      <c r="Y160" s="71"/>
      <c r="Z160" s="71"/>
      <c r="AA160" s="71"/>
      <c r="AB160" s="71"/>
      <c r="AC160" s="71"/>
      <c r="AD160" s="71"/>
      <c r="AE160" s="71"/>
      <c r="AF160" s="71"/>
      <c r="AG160" s="71"/>
      <c r="AH160" s="71"/>
      <c r="AI160" s="71"/>
    </row>
    <row r="161" spans="1:35" x14ac:dyDescent="0.4">
      <c r="A161" s="3"/>
      <c r="B161" s="5"/>
      <c r="D161"/>
      <c r="E161" s="4"/>
      <c r="F161" s="4"/>
      <c r="G161" s="4"/>
      <c r="H161" s="4"/>
      <c r="I161" s="4"/>
      <c r="J161"/>
      <c r="K161"/>
      <c r="L161"/>
      <c r="M161"/>
      <c r="N161"/>
      <c r="O161"/>
      <c r="P161"/>
      <c r="Q161"/>
      <c r="R161" s="71"/>
      <c r="S161" s="71"/>
      <c r="T161" s="71"/>
      <c r="U161" s="71"/>
      <c r="V161" s="71"/>
      <c r="W161" s="71"/>
      <c r="X161" s="71"/>
      <c r="Y161" s="71"/>
      <c r="Z161" s="71"/>
      <c r="AA161" s="71"/>
      <c r="AB161" s="71"/>
      <c r="AC161" s="71"/>
      <c r="AD161" s="71"/>
      <c r="AE161" s="71"/>
      <c r="AF161" s="71"/>
      <c r="AG161" s="71"/>
      <c r="AH161" s="71"/>
      <c r="AI161" s="71"/>
    </row>
    <row r="162" spans="1:35" x14ac:dyDescent="0.4">
      <c r="B162" s="46" t="s">
        <v>639</v>
      </c>
      <c r="C162" s="46" t="b">
        <f>MAX(INDEX(153:153,_xlfn.XMATCH(MTP_YearT,105:105,0)):INDEX(153:153,_xlfn.XMATCH(AssessmentEnd,105:105,0)))&gt;0.3</f>
        <v>0</v>
      </c>
      <c r="D162" s="58"/>
      <c r="E162" s="58"/>
      <c r="F162" s="58"/>
      <c r="G162" s="58"/>
      <c r="H162" s="58"/>
      <c r="I162" s="58"/>
      <c r="J162" s="58"/>
      <c r="K162" s="58"/>
      <c r="L162" s="58"/>
      <c r="M162" s="58"/>
      <c r="N162" s="58"/>
      <c r="O162" s="58"/>
      <c r="P162" s="58"/>
      <c r="Q162" s="58"/>
      <c r="R162" s="58"/>
      <c r="S162" s="58"/>
      <c r="T162" s="58"/>
    </row>
    <row r="163" spans="1:35" x14ac:dyDescent="0.4">
      <c r="B163" s="46" t="s">
        <v>646</v>
      </c>
      <c r="C163" s="46" t="b">
        <f>MAX(INDEX(154:154,_xlfn.XMATCH(MTP_YearT,105:105,0)):INDEX(154:154,_xlfn.XMATCH(AssessmentEnd,105:105,0)))&gt;0.6</f>
        <v>0</v>
      </c>
      <c r="D163" s="58"/>
      <c r="E163" s="58"/>
      <c r="F163" s="58"/>
      <c r="G163" s="58"/>
      <c r="H163" s="58"/>
      <c r="I163" s="58"/>
      <c r="J163" s="58"/>
      <c r="K163" s="58"/>
      <c r="L163" s="58"/>
      <c r="M163" s="58"/>
      <c r="N163" s="58"/>
      <c r="O163" s="58"/>
      <c r="P163" s="58"/>
      <c r="Q163" s="58"/>
      <c r="R163" s="58"/>
      <c r="S163" s="58"/>
      <c r="T163" s="58"/>
    </row>
    <row r="164" spans="1:35" x14ac:dyDescent="0.4">
      <c r="B164" s="46" t="s">
        <v>640</v>
      </c>
      <c r="C164" s="46" t="b">
        <f>MAX(INDEX(153:153,_xlfn.XMATCH(MTP_YearT,105:105,0)):INDEX(153:153,_xlfn.XMATCH(OutturnThrough,105:105,0)))&gt;0.3</f>
        <v>0</v>
      </c>
      <c r="D164" s="58"/>
      <c r="E164" s="58"/>
      <c r="F164" s="58"/>
      <c r="G164" s="58"/>
      <c r="H164" s="58"/>
      <c r="I164" s="58"/>
      <c r="J164" s="58"/>
      <c r="K164" s="58"/>
      <c r="L164" s="58"/>
      <c r="M164" s="58"/>
      <c r="N164" s="58"/>
      <c r="O164" s="58"/>
      <c r="P164" s="58"/>
      <c r="Q164" s="58"/>
      <c r="R164" s="58"/>
      <c r="S164" s="58"/>
      <c r="T164" s="58"/>
    </row>
    <row r="165" spans="1:35" x14ac:dyDescent="0.4">
      <c r="B165" s="46" t="s">
        <v>647</v>
      </c>
      <c r="C165" s="46" t="b">
        <f>MAX(INDEX(154:154,_xlfn.XMATCH(MTP_YearT,105:105,0)):INDEX(154:154,_xlfn.XMATCH(OutturnThrough,105:105,0)))&gt;0.6</f>
        <v>0</v>
      </c>
      <c r="D165" s="58"/>
      <c r="E165" s="58"/>
      <c r="F165" s="58"/>
      <c r="G165" s="58"/>
      <c r="H165" s="58"/>
      <c r="I165" s="58"/>
      <c r="J165" s="58"/>
      <c r="K165" s="58"/>
      <c r="L165" s="58"/>
      <c r="M165" s="58"/>
      <c r="N165" s="58"/>
      <c r="O165" s="58"/>
      <c r="P165" s="58"/>
      <c r="Q165" s="58"/>
      <c r="R165" s="58"/>
      <c r="S165" s="58"/>
      <c r="T165" s="58"/>
    </row>
    <row r="166" spans="1:35" x14ac:dyDescent="0.4">
      <c r="B166" s="46" t="s">
        <v>642</v>
      </c>
      <c r="C166" s="46" t="b" cm="1">
        <f t="array" ref="C166">IF(SUMPRODUCT((INDEX(156:156,_xlfn.XMATCH(MTP_YearT,105:105,0)+_xlfn.SEQUENCE(1,AssessmentEnd-MTP_YearT+1)-1)=TRUE)*1)=0,NA(),ISNUMBER(MATCH(TRUE,IF(INDEX(156:156,_xlfn.XMATCH(MTP_YearT,105:105,0)+_xlfn.SEQUENCE(1,AssessmentEnd-MTP_YearT+1)-1)=TRUE,INDEX(154:154,_xlfn.XMATCH(MTP_YearT,105:105,0)+_xlfn.SEQUENCE(1,AssessmentEnd-MTP_YearT+1)-1)&gt;INDEX(158:158,_xlfn.XMATCH(MTP_YearT,105:105,0)+_xlfn.SEQUENCE(1,AssessmentEnd-MTP_YearT+1)-1),FALSE),0)))</f>
        <v>0</v>
      </c>
      <c r="D166" s="58"/>
      <c r="E166" s="58"/>
      <c r="F166" s="58"/>
      <c r="G166" s="58"/>
      <c r="H166" s="58"/>
      <c r="I166" s="58"/>
      <c r="J166" s="58"/>
      <c r="K166" s="58"/>
      <c r="L166" s="58"/>
      <c r="M166" s="58"/>
      <c r="N166" s="58"/>
      <c r="O166" s="58"/>
      <c r="P166" s="58"/>
      <c r="Q166" s="58"/>
      <c r="R166" s="58"/>
      <c r="S166" s="58"/>
      <c r="T166" s="58"/>
    </row>
    <row r="167" spans="1:35" x14ac:dyDescent="0.4">
      <c r="B167" s="46" t="s">
        <v>643</v>
      </c>
      <c r="C167" s="46" t="b" cm="1">
        <f t="array" ref="C167">IF(SUMPRODUCT((INDEX(156:156,_xlfn.XMATCH(MTP_YearT,105:105,0)+_xlfn.SEQUENCE(1,OutturnThrough-MTP_YearT+1)-1)=TRUE)*1)=0,NA(),ISNUMBER(MATCH(TRUE,IF(INDEX(156:156,_xlfn.XMATCH(MTP_YearT,105:105,0)+_xlfn.SEQUENCE(1,OutturnThrough-MTP_YearT+1)-1)=TRUE,INDEX(125:125,_xlfn.XMATCH(MTP_YearT,105:105,0)+_xlfn.SEQUENCE(1,OutturnThrough-MTP_YearT+1)-1)&gt;INDEX(158:158,_xlfn.XMATCH(MTP_YearT,105:105,0)+_xlfn.SEQUENCE(1,OutturnThrough-MTP_YearT+1)-1),FALSE),0)))</f>
        <v>0</v>
      </c>
      <c r="D167" s="58"/>
      <c r="E167" s="58"/>
      <c r="F167" s="58" t="s">
        <v>978</v>
      </c>
      <c r="G167" s="58"/>
      <c r="H167" s="58"/>
      <c r="I167" s="58"/>
      <c r="J167" s="58"/>
      <c r="K167" s="58"/>
      <c r="L167" s="58"/>
      <c r="M167" s="58"/>
      <c r="N167" s="58"/>
      <c r="O167" s="58"/>
      <c r="P167" s="58"/>
      <c r="Q167" s="58"/>
      <c r="R167" s="58"/>
      <c r="S167" s="58"/>
      <c r="T167" s="58"/>
    </row>
    <row r="168" spans="1:35" x14ac:dyDescent="0.4">
      <c r="B168" s="46" t="s">
        <v>679</v>
      </c>
      <c r="C168" s="46" t="b" cm="1">
        <f t="array" ref="C168">IF(SUMPRODUCT(((INDEX(153:153,_xlfn.XMATCH(MTP_YearT,105:105,0)+_xlfn.SEQUENCE(1,AssessmentEnd-MTP_YearT+1)-1)&gt;0.3)+(INDEX(154:154,_xlfn.XMATCH(MTP_YearT,105:105,0)+_xlfn.SEQUENCE(1,AssessmentEnd-MTP_YearT+1)-1)&gt;0.6))*1)=0,FALSE,SUMPRODUCT(((INDEX(153:153,_xlfn.XMATCH(MTP_YearT,105:105,0)+_xlfn.SEQUENCE(1,AssessmentEnd-MTP_YearT+1)-1)&gt;0.3)+(INDEX(154:154,_xlfn.XMATCH(MTP_YearT,105:105,0)+_xlfn.SEQUENCE(1,AssessmentEnd-MTP_YearT+1)-1)&gt;0.6))*(INDEX(156:156,_xlfn.XMATCH(MTP_YearT,105:105,0)+_xlfn.SEQUENCE(1,AssessmentEnd-MTP_YearT+1)-1)=TRUE)*1)=SUMPRODUCT(((INDEX(153:153,_xlfn.XMATCH(MTP_YearT,105:105,0)+_xlfn.SEQUENCE(1,AssessmentEnd-MTP_YearT+1)-1)&gt;0.3)+(INDEX(154:154,_xlfn.XMATCH(MTP_YearT,105:105,0)+_xlfn.SEQUENCE(1,AssessmentEnd-MTP_YearT+1)-1)&gt;0.6))*1))</f>
        <v>0</v>
      </c>
      <c r="D168" s="58"/>
      <c r="E168" s="58"/>
      <c r="F168" s="58"/>
      <c r="G168" s="58"/>
      <c r="H168" s="58"/>
      <c r="I168" s="58"/>
      <c r="J168" s="58"/>
      <c r="K168" s="58"/>
      <c r="L168" s="58"/>
      <c r="M168" s="58"/>
      <c r="N168" s="58"/>
      <c r="O168" s="58"/>
      <c r="P168" s="58"/>
      <c r="Q168" s="58"/>
      <c r="R168" s="58"/>
      <c r="S168" s="58"/>
      <c r="T168" s="58"/>
    </row>
    <row r="169" spans="1:35" x14ac:dyDescent="0.4">
      <c r="B169" s="46" t="s">
        <v>680</v>
      </c>
      <c r="C169" s="46" t="b" cm="1">
        <f t="array" ref="C169">IF(SUMPRODUCT(((INDEX(153:153,_xlfn.XMATCH(MTP_YearT,105:105,0)+_xlfn.SEQUENCE(1,AssessmentEnd-MTP_YearT+1)-1)&gt;0.3)+(INDEX(154:154,_xlfn.XMATCH(MTP_YearT,105:105,0)+_xlfn.SEQUENCE(1,AssessmentEnd-MTP_YearT+1)-1)&gt;0.6))*(IFERROR(INDEX(157:157,_xlfn.XMATCH(MTP_YearT,105:105,0)+_xlfn.SEQUENCE(1,AssessmentEnd-MTP_YearT+1)-1)=TRUE,FALSE))*1)&gt;0,TRUE,FALSE)</f>
        <v>0</v>
      </c>
      <c r="D169" s="58"/>
      <c r="E169" s="58"/>
      <c r="F169" s="58"/>
      <c r="G169" s="58"/>
      <c r="H169" s="58"/>
      <c r="I169" s="58"/>
      <c r="J169" s="58"/>
      <c r="K169" s="58"/>
      <c r="L169" s="58"/>
      <c r="M169" s="58"/>
      <c r="N169" s="58"/>
      <c r="O169" s="58"/>
      <c r="P169" s="58"/>
      <c r="Q169" s="58"/>
      <c r="R169" s="58"/>
      <c r="S169" s="58"/>
      <c r="T169" s="58"/>
    </row>
    <row r="170" spans="1:35" x14ac:dyDescent="0.4">
      <c r="B170" s="46" t="s">
        <v>937</v>
      </c>
      <c r="C170" s="46" t="str">
        <f>IF(
  AssessmentRound="New or revised MTP",
  "N/A",
  IF(
    OR(IF(ISNA(Assessment!C166),FALSE,Assessment!C166),
       IF(ISNA(Assessment!C167),FALSE,Assessment!C167)),
    "Breach",
    IF(
      AND(OR(Assessment!C164,Assessment!C165),
          NOT(Assessment!C168)),
      "Breach",
      IF(
        AND(OR(Assessment!C162,Assessment!C163),
            NOT(Assessment!C168)),
        "At risk",
        "Compliant"
      )
    )
  )
)</f>
        <v>Compliant</v>
      </c>
      <c r="D170" s="58"/>
      <c r="E170" s="58"/>
      <c r="F170" s="58"/>
      <c r="G170" s="58"/>
      <c r="H170" s="58"/>
      <c r="I170" s="58"/>
      <c r="J170" s="58"/>
      <c r="K170" s="58"/>
      <c r="L170" s="58"/>
      <c r="M170" s="58"/>
      <c r="N170" s="58"/>
      <c r="O170" s="58"/>
      <c r="P170" s="58"/>
      <c r="Q170" s="58"/>
      <c r="R170" s="58"/>
      <c r="S170" s="58"/>
      <c r="T170" s="58"/>
    </row>
    <row r="171" spans="1:35" x14ac:dyDescent="0.4">
      <c r="B171" s="46" t="str">
        <f>IF(Other_exempt_spending_flag,"Does other exempt spending exceed 0.3% of GDP annually from 2026 to 2028?","Does energy exempt expenditure exceed 0.3% of GDP annually from 2026 to 2028?")</f>
        <v>Does energy exempt expenditure exceed 0.3% of GDP annually from 2026 to 2028?</v>
      </c>
      <c r="C171" s="46" t="str" cm="1">
        <f t="array" ref="C171">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COUNTIFS(_xlpm.years, "&gt;=2026", _xlpm.years, "&lt;=" &amp; AssessmentEnd, _xlpm.values, "&gt;0.3") &gt; 0
    )
)</f>
        <v>n.a.</v>
      </c>
      <c r="D171" s="58"/>
      <c r="E171" s="58"/>
      <c r="F171" s="58"/>
      <c r="G171" s="58"/>
      <c r="H171" s="58"/>
      <c r="I171" s="58"/>
      <c r="J171" s="58"/>
      <c r="K171" s="58"/>
      <c r="L171" s="58"/>
      <c r="M171" s="58"/>
      <c r="N171" s="58"/>
      <c r="O171" s="58"/>
      <c r="P171" s="58"/>
      <c r="Q171" s="58"/>
      <c r="R171" s="58"/>
      <c r="S171" s="58"/>
      <c r="T171" s="58"/>
    </row>
    <row r="172" spans="1:35" x14ac:dyDescent="0.4">
      <c r="B172" s="46" t="str">
        <f>IF(Other_exempt_spending_flag,"Does other exempt spending exceed 0.6% of GDP cumulatively from 2026 to 2028?","Does energy exempt expenditure exceed 0.6% of GDP cumulatively from 2026 to 2028?")</f>
        <v>Does energy exempt expenditure exceed 0.6% of GDP cumulatively from 2026 to 2028?</v>
      </c>
      <c r="C172" s="46" t="str" cm="1">
        <f t="array" ref="C172">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MAX(_xlfn.SCAN(0, _xlfn._xlws.FILTER(_xlpm.values, _xlpm.inWindow), _xlfn.LAMBDA(_xlpm.total,_xlpm.v, _xlpm.total + IF(ISNUMBER(_xlpm.v), _xlpm.v, 0)))) &gt; 0.6
    )
)</f>
        <v>n.a.</v>
      </c>
      <c r="D172" s="58"/>
      <c r="E172" s="58"/>
      <c r="F172" s="58"/>
      <c r="G172" s="58"/>
      <c r="H172" s="58"/>
      <c r="I172" s="58"/>
      <c r="J172" s="58"/>
      <c r="K172" s="58"/>
      <c r="L172" s="58"/>
      <c r="M172" s="58"/>
      <c r="N172" s="58"/>
      <c r="O172" s="58"/>
      <c r="P172" s="58"/>
      <c r="Q172" s="58"/>
      <c r="R172" s="58"/>
      <c r="S172" s="58"/>
      <c r="T172" s="58"/>
    </row>
    <row r="173" spans="1:35" x14ac:dyDescent="0.4">
      <c r="B173" s="46"/>
      <c r="C173" s="44"/>
      <c r="D173" s="58"/>
      <c r="E173" s="58"/>
      <c r="F173" s="58"/>
      <c r="G173" s="58"/>
      <c r="H173" s="58"/>
      <c r="I173" s="58"/>
      <c r="J173" s="58"/>
      <c r="K173" s="58"/>
      <c r="L173" s="58"/>
      <c r="M173" s="58"/>
      <c r="N173" s="58"/>
      <c r="O173" s="58"/>
      <c r="P173" s="58"/>
      <c r="Q173" s="58"/>
      <c r="R173" s="58"/>
      <c r="S173" s="58"/>
      <c r="T173" s="58"/>
    </row>
    <row r="174" spans="1:35" x14ac:dyDescent="0.4">
      <c r="B174" s="14" t="s">
        <v>266</v>
      </c>
      <c r="C174" s="102" t="str">
        <f>_xlfn.LET(
  _xlpm.bal, INDEX(154:154, MATCH(AssessmentEnd,105:105,0)),
  _xlpm.balText,
    IF(_xlpm.bal&gt;0,
       "a debit (overspend) of " &amp; TEXT(_xlpm.bal,"0.0"),
       IF(_xlpm.bal&lt;0,
          "a credit (underspend) of " &amp; TEXT(-_xlpm.bal,"0.0"),
          "zero"
       )
    ),
  _xlpm.annOut, C164,
  _xlpm.cumOut, C165,
  _xlpm.threshOut, IF(ISNA(C167), FALSE, C167),
  _xlpm.threshPlan, IF(ISNA(C166), FALSE, AND(C166, NOT(_xlpm.threshOut))),
  _xlpm.escClause, C168,
  _xlpm.defenceClause, C169,
  _xlpm.annPlan, AND(C162, NOT(C164)),
  _xlpm.cumPlan, AND(C163, NOT(C165)),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1.8 percentage points of GDP. Observed annual and cumulative deviations do not exceed the respective 0.3 and 0.6 percentage points of GDP limits.</v>
      </c>
      <c r="D174" s="38"/>
      <c r="E174" s="17"/>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row>
    <row r="175" spans="1:35" x14ac:dyDescent="0.4">
      <c r="B175" s="14" t="str">
        <f>IF(Other_exempt_spending_flag,"Other exempt spending assessment string","Exempt energy spending assessment string")</f>
        <v>Exempt energy spending assessment string</v>
      </c>
      <c r="C175" s="102" t="str" cm="1">
        <f t="array" ref="C175">_xlfn.LET(
    _xlpm.annEx, C171,
    _xlpm.cumEx, C172,
    _xlpm.label, IF(Other_exempt_spending_flag, "Other exempt spending", "Exempt energy expenditure"),
    _xlpm.applies, AND(ISLOGICAL(_xlpm.annEx), ISLOGICAL(_xlpm.cumEx)),
    IF(NOT(_xlpm.applies),
        "The limits on " &amp; LOWER(_xlpm.label) &amp; " do not apply, as "&amp;Country&amp;" has not sought an exemption.",
        _xlfn.IFS(
            AND(_xlpm.annEx, _xlpm.cumEx),
                _xlpm.label &amp; " exceeds both the 0.3% of GDP annual limit and the 0.6% of GDP cumulative limit from 2026 to 2028.",
            AND(_xlpm.annEx, NOT(_xlpm.cumEx)),
                _xlpm.label &amp; " exceeds the 0.3% of GDP annual limit in at least one year from 2026 to 2028, but remains within the 0.6% of GDP cumulative limit.",
            AND(NOT(_xlpm.annEx), _xlpm.cumEx),
                _xlpm.label &amp; " remains within the 0.3% of GDP annual limit in each year from 2026 to 2028, but exceeds the 0.6% of GDP cumulative limit.",
            TRUE,
                _xlpm.label &amp; " remains within both the 0.3% of GDP annual limit and the 0.6% of GDP cumulative limit from 2026 to 2028."
        )
    )
)</f>
        <v>The limits on exempt energy expenditure do not apply, as Latvia has not sought an exemption.</v>
      </c>
      <c r="D175" s="38"/>
      <c r="E175" s="17"/>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row>
    <row r="176" spans="1:35" x14ac:dyDescent="0.4">
      <c r="C176" s="102"/>
      <c r="D176" s="38"/>
      <c r="E176" s="17"/>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row>
    <row r="177" spans="2:35" ht="18" x14ac:dyDescent="0.55000000000000004">
      <c r="B177" s="50" t="s">
        <v>474</v>
      </c>
      <c r="D177" s="17"/>
      <c r="J177" s="71"/>
      <c r="K177" s="71"/>
      <c r="L177" s="71" t="s">
        <v>256</v>
      </c>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row>
    <row r="178" spans="2:35" x14ac:dyDescent="0.4">
      <c r="B178" t="s">
        <v>381</v>
      </c>
      <c r="C178" s="15" t="b">
        <f>MAX(INDEX(20:20,1,COLUMN($D$4)):INDEX(20:20,1,COLUMN($D$4)+COLUMNS(_xlfn.ANCHORARRAY($D$4))-1))&gt;90</f>
        <v>0</v>
      </c>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row>
    <row r="179" spans="2:35" x14ac:dyDescent="0.4">
      <c r="B179" t="s">
        <v>382</v>
      </c>
      <c r="C179" s="121" t="b" cm="1">
        <f t="array" ref="C179">SUMPRODUCT(
  --(INDEX(20:20,1,COLUMN($D$4)):INDEX(20:20,1,COLUMN($D$4)+COLUMNS(_xlfn.ANCHORARRAY($D$4))-1)&gt;=60),
  --(INDEX(20:20,1,COLUMN($D$4)):INDEX(20:20,1,COLUMN($D$4)+COLUMNS(_xlfn.ANCHORARRAY($D$4))-1)&lt;=90)
)&gt;0</f>
        <v>0</v>
      </c>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row>
    <row r="180" spans="2:35" x14ac:dyDescent="0.4">
      <c r="B180" t="s">
        <v>267</v>
      </c>
      <c r="C180" s="121" t="e" cm="1">
        <f t="array" ref="C180">IF(C178,IFERROR(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 COLUMNS(_xlfn.ANCHORARRAY($D$4)), 0))&gt;90),_xlfn.ANCHORARRAY(
        $D$4))
      ),_xlfn.ANCHORARRAY(
      $D$4), 1)-1)
  )
  /
  (
    LOOKUP(9^9, IF(
      (_xlfn.ANCHORARRAY($D$4)&gt;=IF(OR('Step 1 - Set global parameters'!$B$32,'Step 1 - Set global parameters'!$B$34), Validation!$Q$6, MTP_BaseYear-1))*
      (_xlfn.ANCHORARRAY($D$4)&lt;=AssessmentEnd)*
      (INDEX(20:20, COLUMN($D$4)+_xlfn.SEQUENCE(1, COLUMNS(_xlfn.ANCHORARRAY($D$4)), 0))&gt;90),_xlfn.ANCHORARRAY(
      $D$4))
    )
    - IF(OR('Step 1 - Set global parameters'!$B$32,'Step 1 - Set global parameters'!$B$34), Validation!$Q$6, MTP_BaseYear-1)
  ) &gt;= 1,
  TRUE
),NA())</f>
        <v>#N/A</v>
      </c>
    </row>
    <row r="181" spans="2:35" x14ac:dyDescent="0.4">
      <c r="B181" t="s">
        <v>268</v>
      </c>
      <c r="C181" s="121" t="e" cm="1">
        <f t="array" ref="C181">IF(C179,IFERROR(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COLUMN($D$4)+_xlfn.SEQUENCE(1,COLUMNS(_xlfn.ANCHORARRAY($D$4)),0))&gt;TFEU_Debt),_xlfn.ANCHORARRAY(
        $D$4))
      ),_xlfn.ANCHORARRAY(
      $D$4), 1)-1)
  ) /
  (
    LOOKUP(9^9, IF(
      (_xlfn.ANCHORARRAY($D$4)&gt;=IF(OR('Step 1 - Set global parameters'!$B$32,'Step 1 - Set global parameters'!$B$34), Validation!$Q$6, MTP_BaseYear-1))*
      (_xlfn.ANCHORARRAY($D$4)&lt;=AssessmentEnd)*
      (INDEX(20:20, COLUMN($D$4)+_xlfn.SEQUENCE(1,COLUMNS(_xlfn.ANCHORARRAY($D$4)),0))&gt;TFEU_Debt),_xlfn.ANCHORARRAY(
      $D$4))
    )
    - IF(OR('Step 1 - Set global parameters'!$B$32,'Step 1 - Set global parameters'!$B$34), Validation!$Q$6, MTP_BaseYear-1)
  )
  &gt;= 0.5,
  TRUE
),NA())</f>
        <v>#N/A</v>
      </c>
    </row>
    <row r="182" spans="2:35" x14ac:dyDescent="0.4">
      <c r="C182" s="17"/>
    </row>
    <row r="183" spans="2:35" x14ac:dyDescent="0.4">
      <c r="B183" s="14" t="s">
        <v>266</v>
      </c>
      <c r="C183" s="102" t="str">
        <f>IF(
  NOT(Receives_reference_trajectory),
  Country &amp; " does not receive a reference trajectory and is not assessed against the debt sustainability safeguard.",
  IF(
    OR(C178, C179),
    IF(
      OR(
        IF(C178, NOT(C180), FALSE),
        IF(C179, NOT(C181),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83" s="17"/>
    </row>
    <row r="184" spans="2:35" x14ac:dyDescent="0.4">
      <c r="C184" s="56"/>
      <c r="E184" s="17"/>
    </row>
    <row r="185" spans="2:35" ht="23.25" x14ac:dyDescent="0.7">
      <c r="B185" s="50" t="s">
        <v>475</v>
      </c>
      <c r="C185" s="13"/>
      <c r="E185" s="17"/>
    </row>
    <row r="186" spans="2:35" customFormat="1" ht="23.25" x14ac:dyDescent="0.7">
      <c r="B186" s="103"/>
      <c r="C186" s="104"/>
      <c r="D186" s="14" cm="1">
        <f t="array" ref="D186:G186">_xlfn.SEQUENCE(1, AssessmentEnd-MTP_BaseYear+1, MTP_BaseYear)</f>
        <v>2023</v>
      </c>
      <c r="E186" s="14">
        <v>2024</v>
      </c>
      <c r="F186" s="17">
        <v>2025</v>
      </c>
      <c r="G186" s="14">
        <v>2026</v>
      </c>
      <c r="H186" s="14"/>
      <c r="I186" s="14"/>
    </row>
    <row r="187" spans="2:35" customFormat="1" x14ac:dyDescent="0.4">
      <c r="B187" t="s">
        <v>383</v>
      </c>
      <c r="C187" s="37"/>
      <c r="D187" s="91" cm="1">
        <f t="array" ref="D187:G187">INDEX(18:18, COLUMN($D$18) + _xlfn.SEQUENCE(1, COLUMNS(_xlfn.ANCHORARRAY(D4))) - 1)</f>
        <v>-2.0901399999999999</v>
      </c>
      <c r="E187" s="91">
        <v>-1.3087</v>
      </c>
      <c r="F187" s="91">
        <v>-2.5189499999999998</v>
      </c>
      <c r="G187" s="91">
        <v>-2.6</v>
      </c>
      <c r="H187" s="91"/>
      <c r="I187" s="91"/>
      <c r="J187" s="91"/>
      <c r="K187" s="91"/>
      <c r="L187" s="91"/>
      <c r="M187" s="91"/>
      <c r="N187" s="91"/>
    </row>
    <row r="188" spans="2:35" customFormat="1" x14ac:dyDescent="0.4">
      <c r="B188" t="s">
        <v>214</v>
      </c>
      <c r="C188" s="37"/>
      <c r="D188" s="91" cm="1">
        <f t="array" ref="D188:G188">INDEX(19:19, COLUMN($D$19) + _xlfn.SEQUENCE(1, COLUMNS(_xlfn.ANCHORARRAY(D4))) - 1)</f>
        <v>-1.3650599999999999</v>
      </c>
      <c r="E188" s="91">
        <v>-0.21811</v>
      </c>
      <c r="F188" s="91">
        <v>-1.41309</v>
      </c>
      <c r="G188" s="91">
        <v>-1.3</v>
      </c>
      <c r="H188" s="91"/>
      <c r="I188" s="91"/>
      <c r="J188" s="91"/>
      <c r="K188" s="91"/>
      <c r="L188" s="91"/>
      <c r="M188" s="91"/>
    </row>
    <row r="189" spans="2:35" customFormat="1" x14ac:dyDescent="0.4">
      <c r="B189" s="7" t="s">
        <v>384</v>
      </c>
      <c r="C189" s="93"/>
      <c r="D189" s="91"/>
      <c r="E189" s="117" cm="1">
        <f t="array" ref="E189:G189">_xlfn.DROP(_xlfn.ANCHORARRAY(D188),,1) - _xlfn.TAKE(_xlfn.ANCHORARRAY(D188),,COLUMNS(_xlfn.ANCHORARRAY(D186))-1)</f>
        <v>1.1469499999999999</v>
      </c>
      <c r="F189" s="91">
        <v>-1.1949799999999999</v>
      </c>
      <c r="G189" s="91">
        <v>0.11308999999999991</v>
      </c>
      <c r="H189" s="91"/>
      <c r="I189" s="91"/>
      <c r="J189" s="91"/>
      <c r="K189" s="91"/>
      <c r="L189" s="91"/>
    </row>
    <row r="190" spans="2:35" customFormat="1" x14ac:dyDescent="0.4">
      <c r="B190" t="s">
        <v>645</v>
      </c>
      <c r="D190" s="3" t="b">
        <f>IF(ISNUMBER(D186),D187&lt;-1.5,"")</f>
        <v>1</v>
      </c>
      <c r="E190" s="3" t="b">
        <f t="shared" ref="E190:K190" si="56">IF(ISNUMBER(E186),E187&lt;-1.5,"")</f>
        <v>0</v>
      </c>
      <c r="F190" s="3" t="b">
        <f t="shared" si="56"/>
        <v>1</v>
      </c>
      <c r="G190" s="3" t="b">
        <f t="shared" si="56"/>
        <v>1</v>
      </c>
      <c r="H190" s="3" t="str">
        <f t="shared" si="56"/>
        <v/>
      </c>
      <c r="I190" s="3" t="str">
        <f t="shared" si="56"/>
        <v/>
      </c>
      <c r="J190" s="3" t="str">
        <f t="shared" si="56"/>
        <v/>
      </c>
      <c r="K190" s="3" t="str">
        <f t="shared" si="56"/>
        <v/>
      </c>
      <c r="L190" s="3"/>
      <c r="M190" s="3"/>
      <c r="N190" s="3"/>
      <c r="O190" s="3"/>
      <c r="P190" s="3"/>
    </row>
    <row r="191" spans="2:35" customFormat="1" x14ac:dyDescent="0.4">
      <c r="B191" t="s">
        <v>385</v>
      </c>
      <c r="C191" s="2" t="e" cm="1">
        <f t="array" ref="C191">IF(
  Receives_reference_trajectory,
  SUMPRODUCT(
    --(
      INDEX(190:190,1,COLUMN($D$186)):
      INDEX(190:190,1,COLUMN($D$186)+COLUMNS(_xlfn.ANCHORARRAY($D$186))-1)
    )
  )&gt;0,
  NA()
)</f>
        <v>#N/A</v>
      </c>
    </row>
    <row r="192" spans="2:35" x14ac:dyDescent="0.4">
      <c r="B192" t="s">
        <v>306</v>
      </c>
      <c r="C192" s="15" t="str">
        <f>IF(Receives_reference_trajectory,IF(AdjustmentPeriod=4,0.4,0.25),"Not applicable")</f>
        <v>Not applicable</v>
      </c>
      <c r="E192" s="17"/>
    </row>
    <row r="193" spans="2:35" x14ac:dyDescent="0.4">
      <c r="B193" t="s">
        <v>936</v>
      </c>
      <c r="C193" s="121" t="e" cm="1">
        <f t="array" ref="C193">IF(
  Receives_reference_trajectory,
  IF(
    NOT(IFERROR(C191,FALSE)),
    NA(),
    SUMPRODUCT(
      --(_xlfn.TAKE(IFERROR(_xlfn.CHOOSECOLS(190:190, COLUMN($D$186)+_xlfn.SEQUENCE(1,COLUMNS(_xlfn.ANCHORARRAY($D$186)))-1), FALSE), , COLUMNS(_xlfn.ANCHORARRAY($D$186))-1)),
      --(_xlfn.DROP(_xlfn.CHOOSECOLS(189:189, COLUMN($D$186)+_xlfn.SEQUENCE(1,COLUMNS(_xlfn.ANCHORARRAY($D$186)))-1), , 1) &lt;= C192)
    )=0
  ),
  NA()
)</f>
        <v>#N/A</v>
      </c>
      <c r="E193" s="17"/>
    </row>
    <row r="194" spans="2:35" x14ac:dyDescent="0.4">
      <c r="B194"/>
      <c r="C194" s="15"/>
      <c r="E194" s="17"/>
    </row>
    <row r="195" spans="2:35" x14ac:dyDescent="0.4">
      <c r="B195" s="14" t="s">
        <v>266</v>
      </c>
      <c r="C195" s="102" t="str">
        <f>IF(
  NOT(Receives_reference_trajectory),
  Country &amp; " does not receive a reference trajectory and is not assessed against the deficit resilience safeguard.",IF(
  NOT(C191),
  "The deficit resilience safeguard does not apply, as "&amp;Country&amp;"'s structural deficit never exceeds 1.5 % of GDP over the adjustment period.",
  IF(
    ISNA(C193),
    "The deficit resilience safeguard does not apply, as "&amp;Country&amp;"'s structural deficit never exceeds 1.5 % of GDP over the adjustment period.",
    IF(
      C193,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95" s="17"/>
    </row>
    <row r="196" spans="2:35" x14ac:dyDescent="0.4">
      <c r="C196" s="56"/>
      <c r="E196" s="17"/>
    </row>
    <row r="197" spans="2:35" ht="18" x14ac:dyDescent="0.55000000000000004">
      <c r="B197" s="128" t="s">
        <v>504</v>
      </c>
      <c r="D197" s="17"/>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row>
    <row r="198" spans="2:35" ht="14.25" x14ac:dyDescent="0.45">
      <c r="B198" s="129" t="s">
        <v>455</v>
      </c>
      <c r="D198" s="17"/>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row>
    <row r="199" spans="2:35" x14ac:dyDescent="0.4">
      <c r="B199"/>
      <c r="D199" s="17"/>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row>
    <row r="200" spans="2:35" x14ac:dyDescent="0.4">
      <c r="B200" t="s">
        <v>650</v>
      </c>
      <c r="C200" s="130" cm="1">
        <f t="array" ref="C200">IF(
  AdjustmentPeriodEnd &gt; OutturnThrough,
  INDEX($37:$37, _xlfn.XMATCH(AdjustmentPeriodEnd, $32:$32, 0)) -
  INDEX($19:$19, _xlfn.XMATCH(OutturnThrough, $4:$4, 0)),
  NA()
)</f>
        <v>0.11308999999999991</v>
      </c>
      <c r="D200" s="17"/>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row>
    <row r="201" spans="2:35" x14ac:dyDescent="0.4">
      <c r="B201" t="s">
        <v>649</v>
      </c>
      <c r="C201" s="130" cm="1">
        <f t="array" ref="C201">IF(
  AdjustmentPeriodEnd &gt; OutturnThrough,
  (
    INDEX($37:$37, _xlfn.XMATCH(AdjustmentPeriodEnd, $32:$32, 0)) -
    INDEX($19:$19, _xlfn.XMATCH(OutturnThrough, $4:$4, 0))
  ) / (AdjustmentPeriodEnd - OutturnThrough),
  NA()
)</f>
        <v>3.7696666666666635E-2</v>
      </c>
      <c r="D201" s="17"/>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row>
    <row r="202" spans="2:35" x14ac:dyDescent="0.4">
      <c r="B202" t="s">
        <v>648</v>
      </c>
      <c r="C202" s="130" cm="1">
        <f t="array" ref="C202">IF(
  AssessmentEnd &gt; OutturnThrough,
  (
    INDEX($19:$19, _xlfn.XMATCH(AssessmentEnd, $4:$4, 0))
    - INDEX($19:$19, _xlfn.XMATCH(OutturnThrough, $4:$4, 0))
  ) / (AssessmentEnd - OutturnThrough),
  NA()
)</f>
        <v>0.11308999999999991</v>
      </c>
      <c r="D202" s="17"/>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row>
    <row r="203" spans="2:35" x14ac:dyDescent="0.4">
      <c r="B203" t="s">
        <v>651</v>
      </c>
      <c r="C203" s="130" cm="1">
        <f t="array" ref="C203">IF(
  AssessmentEnd &gt; MTP_YearT,
  (
    INDEX($19:$19, _xlfn.XMATCH(AssessmentEnd, $4:$4, 0))
    - INDEX($19:$19, _xlfn.XMATCH(MTP_YearT, $4:$4, 0))
  ) / (AssessmentEnd - MTP_YearT),
  NA()
)</f>
        <v>-0.54094500000000001</v>
      </c>
      <c r="D203" s="17"/>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row>
    <row r="204" spans="2:35" x14ac:dyDescent="0.4">
      <c r="B204" t="s">
        <v>652</v>
      </c>
      <c r="C204" s="131" t="b">
        <f>IF(OR(ISNA(C202), ISNA(C201)), NA(), AND(ISNUMBER(C202), ISNUMBER(C201), C202 &gt;= C201))</f>
        <v>1</v>
      </c>
      <c r="D204" s="17"/>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row>
    <row r="205" spans="2:35" x14ac:dyDescent="0.4">
      <c r="B205"/>
      <c r="C205" s="2"/>
      <c r="D205" s="17"/>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row>
    <row r="206" spans="2:35" x14ac:dyDescent="0.4">
      <c r="B206" s="14" t="s">
        <v>258</v>
      </c>
      <c r="C206" s="102" t="str">
        <f>IFERROR(
  IF(
    AssessmentEnd &lt;= OutturnThrough,
    "Not applicable — the assessment period does not extend beyond the latest outturn year; there is no forward-looking SPB path to assess.",
    IF(
      OR(ISNA(C202), NOT(ISNUMBER(C202))),
      IF(
        C200 &lt; 0,
        Country &amp; "'s SPB already exceeds the target level by " &amp; TEXT(ABS(C200),"0.0") &amp;
          " pp of GDP at the end of the adjustment period. There is fiscal room to allow the SPB to decline while still meeting the target.",
        IF(
          C200 = 0,
          Country &amp; "'s SPB already meets the target level at the end of the adjustment period. No further consolidation is required.",
          Country &amp; "'s total SPB adjustment required over the remaining horizon is " &amp;
            TEXT(C200,"0.0") &amp; " pp of GDP, and the required average annual consolidation is " &amp;
            TEXT(C201,"0.0") &amp; " pp of GDP."
        )
      ),
      IF(
        C200 &lt;= 0,
        IF(
          C202 &lt; 0,
          IF(
            C200 &lt; 0,
            Country &amp; "'s SPB already exceeds the target level by " &amp; TEXT(ABS(C200),"0.0") &amp; " pp of GDP",
            Country &amp; "'s SPB currently meets the target level"
          ) &amp;
            ", but the planned path implies a deterioration of " &amp;
            TEXT(ABS(C202),"0.0") &amp; " pp of GDP per year on average over the assessment period." &amp;
            " Additional adjustment in later years may be needed to maintain the target, creating a risk of backloading." &amp;
            IF(EscapeClauseActivated, " However, an escape clause has been activated.", ""),
          IF(
            C200 &lt; 0,
            Country &amp; "'s SPB already exceeds the target level by " &amp; TEXT(ABS(C200),"0.0") &amp; " pp of GDP",
            Country &amp; "'s SPB already meets the target level"
          ) &amp;
            ". The planned average annual consolidation of " &amp;
            TEXT(C202,"0.0") &amp; " pp of GDP is consistent with maintaining that position."
        ),
        Country &amp; "'s total SPB adjustment required over the remaining horizon is " &amp;
          TEXT(C200,"0.0") &amp; " pp of GDP. The planned average annual consolidation of " &amp;
          TEXT(C202,"0.0") &amp; " pp " &amp;
          IF(
            C202 &gt;= C201,
            "meets or exceeds the required " &amp; TEXT(C201,"0.0") &amp;
              " pp, indicating that adjustment is consistent with achieving the target SPB by the end of the horizon. Adjustment is not backloaded.",
            "falls short of the required " &amp; TEXT(C201,"0.0")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206" s="17"/>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row>
    <row r="207" spans="2:35" x14ac:dyDescent="0.4">
      <c r="B207"/>
      <c r="D207" s="17"/>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row>
    <row r="208" spans="2:35" ht="31.9" x14ac:dyDescent="1">
      <c r="B208" s="77" t="s">
        <v>488</v>
      </c>
    </row>
    <row r="209" spans="1:10" ht="25.15" customHeight="1" x14ac:dyDescent="0.7">
      <c r="B209" s="13" t="s">
        <v>878</v>
      </c>
    </row>
    <row r="210" spans="1:10" ht="14.25" x14ac:dyDescent="0.45">
      <c r="B210"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211" spans="1:10" s="22" customFormat="1" ht="14.25" x14ac:dyDescent="0.45">
      <c r="A211"/>
      <c r="B211" s="54"/>
      <c r="C211" s="54"/>
      <c r="D211" s="54"/>
      <c r="E211" s="54"/>
      <c r="F211" s="54"/>
    </row>
    <row r="212" spans="1:10" ht="18" x14ac:dyDescent="0.55000000000000004">
      <c r="B212" s="50" t="s">
        <v>875</v>
      </c>
      <c r="C212" s="15"/>
      <c r="F212" s="37"/>
    </row>
    <row r="213" spans="1:10" x14ac:dyDescent="0.4">
      <c r="B213" t="s">
        <v>802</v>
      </c>
      <c r="C213" s="15" t="b">
        <f>INDEX(20:20, MATCH(MTP_PlanFirstYear, 4:4, 0)) &lt; TFEU_Debt</f>
        <v>1</v>
      </c>
      <c r="F213" s="37"/>
    </row>
    <row r="214" spans="1:10" x14ac:dyDescent="0.4">
      <c r="B214" t="s">
        <v>258</v>
      </c>
      <c r="C214" s="102" t="str">
        <f>IF(
  C213,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14" s="37"/>
    </row>
    <row r="215" spans="1:10" x14ac:dyDescent="0.4">
      <c r="B215"/>
      <c r="C215" s="102"/>
      <c r="E215" s="18"/>
      <c r="J215" s="16"/>
    </row>
    <row r="216" spans="1:10" ht="18" x14ac:dyDescent="0.55000000000000004">
      <c r="B216" s="50" t="s">
        <v>876</v>
      </c>
      <c r="F216" s="37"/>
    </row>
    <row r="217" spans="1:10" x14ac:dyDescent="0.4">
      <c r="B217" t="s">
        <v>803</v>
      </c>
      <c r="C217" s="15" t="b">
        <f>INDEX(17:17, MATCH(MTP_PlanFirstYear, 4:4, 0)) &gt; -TFEU_Deficit</f>
        <v>1</v>
      </c>
      <c r="F217" s="37"/>
    </row>
    <row r="218" spans="1:10" x14ac:dyDescent="0.4">
      <c r="B218" t="s">
        <v>258</v>
      </c>
      <c r="C218"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18" s="37"/>
    </row>
    <row r="219" spans="1:10" x14ac:dyDescent="0.4">
      <c r="C219" s="102"/>
      <c r="F219" s="37"/>
    </row>
    <row r="220" spans="1:10" ht="18" x14ac:dyDescent="0.55000000000000004">
      <c r="B220" s="50" t="s">
        <v>877</v>
      </c>
      <c r="E220" s="18"/>
      <c r="J220" s="16"/>
    </row>
    <row r="221" spans="1:10" x14ac:dyDescent="0.4">
      <c r="B221" t="s">
        <v>451</v>
      </c>
      <c r="C221" s="15" t="b">
        <f>NOT(AND($C$213,$C$217))</f>
        <v>0</v>
      </c>
      <c r="E221" s="18"/>
      <c r="J221" s="16"/>
    </row>
    <row r="222" spans="1:10" x14ac:dyDescent="0.4">
      <c r="B222" t="s">
        <v>258</v>
      </c>
      <c r="C222" s="102" t="str">
        <f>IF(
  C221,
  IF(
    AND(NOT($C$213), $C$217),
    Country &amp; "'s gross debt was above 60% of GDP in "&amp; MTP_PlanFirstYear &amp; " (T" &amp; IF(MTP_BaseYearIsTminus2,"-2","-1") &amp; "), therefore ",
    IF(
      AND($C$213, NOT($C$217)),
      Country &amp; "'s general government deficit was above 3% of GDP in "&amp; MTP_PlanFirstYear &amp; " (T" &amp; IF(MTP_BaseYearIsTminus2,"-2","-1") &amp; "), therefore ",
      IF(
        AND(NOT($C$213), NOT($C$217)),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22" s="18"/>
      <c r="J222" s="16"/>
    </row>
    <row r="223" spans="1:10" x14ac:dyDescent="0.4">
      <c r="E223" s="18"/>
      <c r="J223" s="16"/>
    </row>
    <row r="224" spans="1:10" ht="25.15" customHeight="1" x14ac:dyDescent="0.7">
      <c r="B224" s="13" t="s">
        <v>529</v>
      </c>
    </row>
    <row r="225" spans="2:5" ht="14.25" x14ac:dyDescent="0.45">
      <c r="B225" s="105" t="s">
        <v>489</v>
      </c>
    </row>
    <row r="226" spans="2:5" ht="23.25" x14ac:dyDescent="0.7">
      <c r="B226" s="50" t="s">
        <v>889</v>
      </c>
      <c r="C226" s="13"/>
      <c r="E226" s="17"/>
    </row>
    <row r="227" spans="2:5" x14ac:dyDescent="0.4">
      <c r="B227" t="s">
        <v>880</v>
      </c>
      <c r="C227" s="15" t="b">
        <f>'Step 1 - Set global parameters'!B14</f>
        <v>1</v>
      </c>
    </row>
    <row r="228" spans="2:5" x14ac:dyDescent="0.4">
      <c r="B228" t="s">
        <v>883</v>
      </c>
      <c r="C228" s="15" t="b">
        <f>IF(C227,IF('Step 4 (MTP) - IFI scrutiny'!D4="Yes",TRUE,FALSE),NA())</f>
        <v>1</v>
      </c>
    </row>
    <row r="229" spans="2:5" x14ac:dyDescent="0.4">
      <c r="B229" t="s">
        <v>884</v>
      </c>
      <c r="C229" s="2" t="b">
        <f>IF(C228,IF('Step 4 (MTP) - IFI scrutiny'!D5="Yes",TRUE,NA()),NA())</f>
        <v>1</v>
      </c>
    </row>
    <row r="230" spans="2:5" x14ac:dyDescent="0.4">
      <c r="B230" t="s">
        <v>885</v>
      </c>
      <c r="C230" s="2" t="b">
        <f>IF(NOT(C227), TRUE, AND(C228, C229))</f>
        <v>1</v>
      </c>
    </row>
    <row r="231" spans="2:5" x14ac:dyDescent="0.4">
      <c r="B231" s="14" t="s">
        <v>258</v>
      </c>
      <c r="C231" s="102" t="str">
        <f>IF(NOT(C227),
  "The MTP uses the same macroeconomic assumptions as the EC's DSA framework.",
  IF(AND(C228,C229),
    "The "&amp;IFI_Name&amp;" has concluded that the MTP's alternative macroeconomic assumptions are based on sound and data-driven arguments and are plausible.",
    IF(AND(C228,NOT(C229)),
      "The "&amp;IFI_Name&amp;" found the rationale for using different assumptions satisfactory, but did not assess the alternative assumptions themselves as plausible.",
      IF(AND(NOT(C228),C229),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32" spans="2:5" customFormat="1" x14ac:dyDescent="0.4"/>
    <row r="233" spans="2:5" ht="23.25" x14ac:dyDescent="0.7">
      <c r="B233" s="50" t="s">
        <v>890</v>
      </c>
      <c r="C233" s="13"/>
      <c r="E233" s="17"/>
    </row>
    <row r="234" spans="2:5" x14ac:dyDescent="0.4">
      <c r="B234" t="s">
        <v>462</v>
      </c>
      <c r="C234" s="15" t="b">
        <f>AND('Step 4 (MTP) - IFI scrutiny'!D8:D28)</f>
        <v>1</v>
      </c>
    </row>
    <row r="235" spans="2:5" x14ac:dyDescent="0.4">
      <c r="B235" s="14" t="s">
        <v>258</v>
      </c>
      <c r="C235" s="102" t="str">
        <f>IF(C234,"The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36" spans="2:5" customFormat="1" x14ac:dyDescent="0.4"/>
    <row r="237" spans="2:5" customFormat="1" ht="18" x14ac:dyDescent="0.55000000000000004">
      <c r="B237" s="50" t="s">
        <v>879</v>
      </c>
    </row>
    <row r="238" spans="2:5" customFormat="1" x14ac:dyDescent="0.4">
      <c r="B238" t="s">
        <v>587</v>
      </c>
      <c r="C238" s="2" t="b">
        <f>'Step 4 (MTP) - IFI scrutiny'!D31</f>
        <v>0</v>
      </c>
    </row>
    <row r="239" spans="2:5" customFormat="1" x14ac:dyDescent="0.4">
      <c r="B239" t="s">
        <v>644</v>
      </c>
      <c r="C239" s="15" t="e" cm="1">
        <f t="array" ref="C239">IF(
  NOT(C238),
  NA(),
  AND(
    'Step 4 (MTP) - IFI scrutiny'!D32:D43=TRUE,
    'Step 4 (MTP) - IFI scrutiny'!D32:D43&lt;&gt;"NA"
  )
)</f>
        <v>#N/A</v>
      </c>
    </row>
    <row r="240" spans="2:5" customFormat="1" x14ac:dyDescent="0.4">
      <c r="B240" s="14" t="s">
        <v>258</v>
      </c>
      <c r="C240" s="102" t="str">
        <f>IF(
  AdjustmentPeriod&lt;&gt;7,
  "Not applicable. " &amp; Country &amp; " has not requested an extension of the adjustment period.",
  IF(
    C239,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41" spans="2:35" customFormat="1" x14ac:dyDescent="0.4"/>
    <row r="242" spans="2:35" ht="23.25" x14ac:dyDescent="0.7">
      <c r="B242" s="13" t="s">
        <v>452</v>
      </c>
      <c r="E242" s="18"/>
      <c r="J242" s="16"/>
    </row>
    <row r="243" spans="2:35" ht="14.25" x14ac:dyDescent="0.45">
      <c r="B243" s="129" t="s">
        <v>373</v>
      </c>
      <c r="E243" s="18"/>
      <c r="J243" s="16"/>
    </row>
    <row r="244" spans="2:35" customFormat="1" x14ac:dyDescent="0.4"/>
    <row r="245" spans="2:35" customFormat="1" ht="18" x14ac:dyDescent="0.55000000000000004">
      <c r="B245" s="50" t="s">
        <v>892</v>
      </c>
    </row>
    <row r="246" spans="2:35" customFormat="1" x14ac:dyDescent="0.4">
      <c r="B246" t="s">
        <v>491</v>
      </c>
      <c r="C246" s="126">
        <f>IFERROR(
  AVERAGEIFS(
    69:69,
    32:32, "&gt;" &amp; MTP_YearT,
    32:32, "&lt;=" &amp; AdjustmentPeriodEnd
  ),
  NA()
)</f>
        <v>3.0699087476256466</v>
      </c>
    </row>
    <row r="247" spans="2:35" customFormat="1" x14ac:dyDescent="0.4">
      <c r="B247" t="s">
        <v>492</v>
      </c>
      <c r="C247" s="126">
        <f>AVERAGEIFS(
  34:34,
  32:32, "&gt;" &amp; MTP_YearT,
  32:32, "&lt;=" &amp; AdjustmentPeriodEnd
)</f>
        <v>4.05</v>
      </c>
    </row>
    <row r="248" spans="2:35" customFormat="1" x14ac:dyDescent="0.4">
      <c r="B248" t="s">
        <v>493</v>
      </c>
      <c r="C248" s="126" t="b">
        <f>IFERROR(C246-C247&lt;0, NA())</f>
        <v>1</v>
      </c>
    </row>
    <row r="249" spans="2:35" x14ac:dyDescent="0.4">
      <c r="B249" s="14" t="s">
        <v>494</v>
      </c>
      <c r="C249" s="15" t="str">
        <f>IF(Receives_reference_trajectory,'Step 4 (MTP) - IFI scrutiny'!D3="Yes","Not applicable")</f>
        <v>Not applicable</v>
      </c>
      <c r="J249" s="71"/>
      <c r="K249" s="71"/>
      <c r="L249" s="71"/>
      <c r="M249" s="71"/>
      <c r="N249" s="71"/>
      <c r="O249" s="71"/>
      <c r="P249" s="71"/>
      <c r="Q249" s="71"/>
      <c r="R249" s="71"/>
      <c r="S249" s="71"/>
      <c r="T249" s="71"/>
      <c r="U249" s="71"/>
      <c r="V249" s="71"/>
      <c r="W249" s="71"/>
      <c r="X249" s="71"/>
      <c r="Y249" s="71"/>
      <c r="Z249" s="71"/>
      <c r="AA249" s="71"/>
      <c r="AB249" s="71"/>
      <c r="AC249" s="71" t="s">
        <v>264</v>
      </c>
      <c r="AD249" s="71"/>
      <c r="AE249" s="71"/>
      <c r="AF249" s="71"/>
      <c r="AG249" s="71"/>
      <c r="AH249" s="71"/>
      <c r="AI249" s="71"/>
    </row>
    <row r="250" spans="2:35" customFormat="1" x14ac:dyDescent="0.4">
      <c r="B250" t="s">
        <v>258</v>
      </c>
      <c r="C250" s="127" t="str">
        <f>_xlfn.IFNA(
  IF(
    C248,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IF(AND(C248, C249&lt;&gt;"Not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AND(C248, NOT(Receives_reference_trajectory)),
    " but remaining below the technical information path is not required.",
    IF(
      AND(C248, C249&lt;&gt;"Not applicable"),
      IF(
        C249,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21 June 2024. but remaining below the technical information path is not required.</v>
      </c>
    </row>
    <row r="251" spans="2:35" customFormat="1" x14ac:dyDescent="0.4">
      <c r="C251" s="4"/>
    </row>
    <row r="252" spans="2:35" customFormat="1" ht="26.25" customHeight="1" x14ac:dyDescent="0.55000000000000004">
      <c r="B252" s="50" t="s">
        <v>900</v>
      </c>
    </row>
    <row r="253" spans="2:35" customFormat="1" ht="15.75" x14ac:dyDescent="0.5">
      <c r="B253" s="79" t="s">
        <v>511</v>
      </c>
    </row>
    <row r="254" spans="2:35" x14ac:dyDescent="0.4">
      <c r="B254" s="5" t="s">
        <v>510</v>
      </c>
      <c r="C254" s="15" t="e" cm="1">
        <f t="array" ref="C254">IF(Receives_reference_trajectory,SUMPRODUCT(((46:46&gt;=MTP_YearT)*(46:46&lt;=AdjustmentPeriodEnd)*(64:64&lt;=34:34)))=0,NA())</f>
        <v>#N/A</v>
      </c>
      <c r="E254" s="18"/>
      <c r="J254" s="16"/>
    </row>
    <row r="255" spans="2:35" x14ac:dyDescent="0.4">
      <c r="B255" s="14" t="s">
        <v>519</v>
      </c>
      <c r="C255" s="15" t="e">
        <f>IF(AND(Receives_reference_trajectory,NOT(C254)),'Step 4 (MTP) - IFI scrutiny'!D3="Yes",NA())</f>
        <v>#N/A</v>
      </c>
      <c r="J255" s="71"/>
      <c r="K255" s="71"/>
      <c r="L255" s="71"/>
      <c r="M255" s="71"/>
      <c r="N255" s="71"/>
      <c r="O255" s="71"/>
      <c r="P255" s="71"/>
      <c r="Q255" s="71"/>
      <c r="R255" s="71"/>
      <c r="S255" s="71"/>
      <c r="T255" s="71"/>
      <c r="U255" s="71"/>
      <c r="V255" s="71"/>
      <c r="W255" s="71"/>
      <c r="X255" s="71"/>
      <c r="Y255" s="71"/>
      <c r="Z255" s="71"/>
      <c r="AA255" s="71"/>
      <c r="AB255" s="71"/>
      <c r="AC255" s="71" t="s">
        <v>264</v>
      </c>
      <c r="AD255" s="71"/>
      <c r="AE255" s="71"/>
      <c r="AF255" s="71"/>
      <c r="AG255" s="71"/>
      <c r="AH255" s="71"/>
      <c r="AI255" s="71"/>
    </row>
    <row r="256" spans="2:35" x14ac:dyDescent="0.4">
      <c r="B256" s="14" t="s">
        <v>516</v>
      </c>
      <c r="C256" s="15" t="e">
        <f>IF(
  Receives_reference_trajectory,
  OR(C254, IFERROR(C255, TRUE)),
  NA()
)</f>
        <v>#N/A</v>
      </c>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x14ac:dyDescent="0.4">
      <c r="B257" s="14" t="s">
        <v>258</v>
      </c>
      <c r="C257" s="102" t="str">
        <f>IF(
  Receives_reference_trajectory,
  IF(
    C254,
    "The net expenditure path in " &amp; Country &amp; "'s latest MTP adheres to the Commission's reference trajectory.",
    IF(
      C255,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row>
    <row r="258" spans="2:35" x14ac:dyDescent="0.4">
      <c r="C258" s="97"/>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15.75" x14ac:dyDescent="0.5">
      <c r="B259" s="79" t="s">
        <v>454</v>
      </c>
      <c r="C259" s="37"/>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row>
    <row r="260" spans="2:35" x14ac:dyDescent="0.4">
      <c r="B260" t="str">
        <f>"Minimum level of the primary structural balance without safeguard, "&amp;AdjustmentPeriodEnd</f>
        <v>Minimum level of the primary structural balance without safeguard, 2028</v>
      </c>
      <c r="C260" s="138">
        <f>IF(
  Receives_reference_trajectory,
  NA(),
  INDEX($65:$65, MATCH(AdjustmentPeriodEnd, $62:$62, 0))
)</f>
        <v>-1.3</v>
      </c>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row>
    <row r="261" spans="2:35" x14ac:dyDescent="0.4">
      <c r="B261" t="str">
        <f>"Minimum level of the primary structural balance with safeguard, "&amp;AdjustmentPeriodEnd</f>
        <v>Minimum level of the primary structural balance with safeguard, 2028</v>
      </c>
      <c r="C261" s="138">
        <f>IF(
  Receives_reference_trajectory,
  NA(),
  INDEX($66:$66, MATCH(AdjustmentPeriodEnd, $62:$62, 0))
)</f>
        <v>-0.1</v>
      </c>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row>
    <row r="262" spans="2:35" x14ac:dyDescent="0.4">
      <c r="B262" t="str">
        <f>"Primary structural balance in MTP in "&amp;AdjustmentPeriodEnd</f>
        <v>Primary structural balance in MTP in 2028</v>
      </c>
      <c r="C262" s="97">
        <f>IF(
  Receives_reference_trajectory,
  NA(),
  INDEX(37:37, MATCH(AdjustmentPeriodEnd, 32:32, 0))
)</f>
        <v>-1.3</v>
      </c>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row>
    <row r="263" spans="2:35" x14ac:dyDescent="0.4">
      <c r="B263"/>
      <c r="C263" s="97"/>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row>
    <row r="264" spans="2:35" x14ac:dyDescent="0.4">
      <c r="B264" t="s">
        <v>512</v>
      </c>
      <c r="C264" s="97" t="b">
        <f>IF(
  Receives_reference_trajectory,
  NA(),
  C262 &gt;= C260
)</f>
        <v>1</v>
      </c>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row>
    <row r="265" spans="2:35" x14ac:dyDescent="0.4">
      <c r="B265" s="14" t="s">
        <v>270</v>
      </c>
      <c r="C265" s="15" t="e">
        <f>IF(Receives_reference_trajectory,NA(),IF(NOT(C264),'Step 4 (MTP) - IFI scrutiny'!D3,NA()))</f>
        <v>#N/A</v>
      </c>
      <c r="J265" s="71"/>
      <c r="K265" s="71"/>
      <c r="L265" s="71"/>
      <c r="M265" s="71"/>
      <c r="N265" s="71"/>
      <c r="O265" s="71"/>
      <c r="P265" s="71"/>
      <c r="Q265" s="71"/>
      <c r="R265" s="71"/>
      <c r="S265" s="71"/>
      <c r="T265" s="71"/>
      <c r="U265" s="71"/>
      <c r="V265" s="71"/>
      <c r="W265" s="71"/>
      <c r="X265" s="71"/>
      <c r="Y265" s="71"/>
      <c r="Z265" s="71"/>
      <c r="AA265" s="71"/>
      <c r="AB265" s="71"/>
      <c r="AC265" s="71" t="s">
        <v>264</v>
      </c>
      <c r="AD265" s="71"/>
      <c r="AE265" s="71"/>
      <c r="AF265" s="71"/>
      <c r="AG265" s="71"/>
      <c r="AH265" s="71"/>
      <c r="AI265" s="71"/>
    </row>
    <row r="266" spans="2:35" x14ac:dyDescent="0.4">
      <c r="B266" t="s">
        <v>578</v>
      </c>
      <c r="C266" s="15" t="b">
        <f>IF(
  Receives_reference_trajectory,
  NA(),
  OR(
    C264,
    IF(ISNA(C265), TRUE, C265)
  )
)</f>
        <v>1</v>
      </c>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row>
    <row r="267" spans="2:35" x14ac:dyDescent="0.4">
      <c r="B267" s="14" t="s">
        <v>258</v>
      </c>
      <c r="C267" s="102" t="str">
        <f>IF(
  NOT(Receives_reference_trajectory),
  IF(
    C264,
    "The net expenditure path in " &amp; Country &amp; "'s latest MTP ensures the primary structural balance is above the minimum level of the Commission's prior guidance at the end of the adjustment period.",
    IF(
      C265,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row>
    <row r="268" spans="2:35" ht="15.75" x14ac:dyDescent="0.5">
      <c r="B268" s="79"/>
      <c r="C268" s="102"/>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ht="20.25" customHeight="1" x14ac:dyDescent="0.7">
      <c r="B269" s="13" t="s">
        <v>523</v>
      </c>
      <c r="C269" s="18"/>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8" x14ac:dyDescent="0.55000000000000004">
      <c r="B270" s="50" t="s">
        <v>893</v>
      </c>
      <c r="C270" s="18"/>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row>
    <row r="271" spans="2:35" customFormat="1" ht="15.75" x14ac:dyDescent="0.5">
      <c r="B271" s="79" t="s">
        <v>511</v>
      </c>
    </row>
    <row r="272" spans="2:35" x14ac:dyDescent="0.4">
      <c r="B272" t="s">
        <v>453</v>
      </c>
      <c r="C272" s="15" t="str">
        <f>IF(
  NOT(Receives_reference_trajectory),
  "Not applicable",
  MAX(
    _xlfn.CHOOSECOLS(
      52:52,
      _xlfn.SEQUENCE(
        1,
        _xlfn.XMATCH(AdjustmentPeriodEnd+10,46:46,1) - _xlfn.XMATCH(AdjustmentPeriodEnd,46:46,0),
        _xlfn.XMATCH(AdjustmentPeriodEnd,46:46,0) + 1
      )
    )
  ) &lt;= TFEU_Debt
)</f>
        <v>Not applicable</v>
      </c>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row>
    <row r="273" spans="2:35" ht="20.25" customHeight="1" x14ac:dyDescent="0.4">
      <c r="B273" t="s">
        <v>362</v>
      </c>
      <c r="C273" s="18"/>
      <c r="E273" s="18"/>
      <c r="J273" s="16"/>
    </row>
    <row r="274" spans="2:35" x14ac:dyDescent="0.4">
      <c r="B274" s="12" t="s">
        <v>356</v>
      </c>
      <c r="C274" s="15" t="str" cm="1">
        <f t="array" ref="C274">IF(OR(NOT(Receives_reference_trajectory),C272),"Not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74" s="18"/>
      <c r="J274" s="16"/>
    </row>
    <row r="275" spans="2:35" x14ac:dyDescent="0.4">
      <c r="B275" s="12" t="s">
        <v>357</v>
      </c>
      <c r="C275" s="15" t="str" cm="1">
        <f t="array" ref="C275">IF(OR(NOT(Receives_reference_trajectory),C272),"Not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75" s="18"/>
      <c r="J275" s="16"/>
    </row>
    <row r="276" spans="2:35" x14ac:dyDescent="0.4">
      <c r="B276" s="12" t="s">
        <v>358</v>
      </c>
      <c r="C276" s="15" t="str" cm="1">
        <f t="array" ref="C276">IF(OR(NOT(Receives_reference_trajectory),C272),"Not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76" s="18"/>
      <c r="J276" s="16"/>
    </row>
    <row r="277" spans="2:35" x14ac:dyDescent="0.4">
      <c r="B277" s="12" t="s">
        <v>359</v>
      </c>
      <c r="C277" s="15" t="str" cm="1">
        <f t="array" ref="C277">IF(OR(NOT(Receives_reference_trajectory),C272),"Not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77" s="18"/>
      <c r="J277" s="16"/>
    </row>
    <row r="278" spans="2:35" x14ac:dyDescent="0.4">
      <c r="B278" s="12" t="s">
        <v>360</v>
      </c>
      <c r="C278" s="15" t="str" cm="1">
        <f t="array" ref="C278">IF(OR(NOT(Receives_reference_trajectory),C272),"Not applicable",
 IF(_xlfn.XMATCH(AdjustmentPeriodEnd+5,46:46,1)-_xlfn.XMATCH(AdjustmentPeriodEnd,46:46,0)&lt;=0,TRUE,
   INDEX(87:87,_xlfn.XMATCH(AdjustmentPeriodEnd+5,46:46,1)) &lt; INDEX(87:87,_xlfn.XMATCH(AdjustmentPeriodEnd,46:46,0))
 ))</f>
        <v>Not applicable</v>
      </c>
      <c r="E278" s="18"/>
      <c r="J278" s="16"/>
    </row>
    <row r="279" spans="2:35" x14ac:dyDescent="0.4">
      <c r="B279" t="s">
        <v>361</v>
      </c>
      <c r="C279" s="15" t="str" cm="1">
        <f t="array" ref="C279">IF(
  NOT(Receives_reference_trajectory),
  "Not applicable",
  IF(
    C272,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79" s="18"/>
      <c r="J279" s="16"/>
    </row>
    <row r="280" spans="2:35" ht="20.25" customHeight="1" x14ac:dyDescent="0.4">
      <c r="B280" s="14" t="s">
        <v>258</v>
      </c>
      <c r="C280" s="102" t="e">
        <f>IF(Receives_reference_trajectory,IF(C272,Country&amp;"'s planned net expenditure ensures gross government debt remains at prudent levels below 60% over the medium-term.",IF(C279,Country&amp;"'s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80" s="18"/>
      <c r="J280" s="16"/>
    </row>
    <row r="281" spans="2:35" ht="20.25" customHeight="1" x14ac:dyDescent="0.4">
      <c r="C281" s="102"/>
      <c r="E281" s="18"/>
      <c r="J281" s="16"/>
    </row>
    <row r="282" spans="2:35" ht="15.75" x14ac:dyDescent="0.5">
      <c r="B282" s="79" t="s">
        <v>454</v>
      </c>
      <c r="C282" s="37"/>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x14ac:dyDescent="0.4">
      <c r="B283" t="s">
        <v>513</v>
      </c>
      <c r="C283" s="15" t="b" cm="1">
        <f t="array" ref="C283">IF(
  Receives_reference_trajectory,
  NA(),
  MAX(IF((46:46&gt;AdjustmentPeriodEnd)*(46:46&lt;=AdjustmentPeriodEnd+10), 52:52)) &lt;= TFEU_Debt
)</f>
        <v>1</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ht="19.5" customHeight="1" x14ac:dyDescent="0.4">
      <c r="B284" s="14" t="s">
        <v>258</v>
      </c>
      <c r="C284" s="102" t="str">
        <f>IF(
  ISNA(C283),
  "Not applicable",
  IF(
    C283,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84" s="18"/>
      <c r="J284" s="16"/>
    </row>
    <row r="285" spans="2:35" ht="19.5" customHeight="1" x14ac:dyDescent="0.4">
      <c r="C285" s="37"/>
      <c r="E285" s="18"/>
      <c r="J285" s="16"/>
    </row>
    <row r="286" spans="2:35" ht="18" x14ac:dyDescent="0.55000000000000004">
      <c r="B286" s="50" t="s">
        <v>894</v>
      </c>
      <c r="C286" s="92"/>
      <c r="E286" s="18"/>
      <c r="J286" s="16"/>
    </row>
    <row r="287" spans="2:35" customFormat="1" ht="15.75" x14ac:dyDescent="0.5">
      <c r="B287" s="79" t="s">
        <v>511</v>
      </c>
    </row>
    <row r="288" spans="2:35" x14ac:dyDescent="0.4">
      <c r="B288" t="s">
        <v>498</v>
      </c>
      <c r="C288" s="15" t="e" cm="1">
        <f t="array" ref="C288">IF(
  Receives_reference_trajectory,
  IFERROR(
    AND(
      _xlfn._xlws.FILTER(
        50:50,
        (46:46&gt;=MTP_YearT)*(46:46&lt;=AdjustmentPeriodEnd)
      ) &gt; -TFEU_Deficit
    ),
    NA()
  ),
  NA()
)</f>
        <v>#N/A</v>
      </c>
      <c r="E288" s="18"/>
      <c r="J288" s="16"/>
    </row>
    <row r="289" spans="2:35" x14ac:dyDescent="0.4">
      <c r="B289" t="s">
        <v>499</v>
      </c>
      <c r="C289" s="15" t="e" cm="1">
        <f t="array" ref="C289">IF(
  Receives_reference_trajectory,
  IFERROR(
    AND(
      _xlfn._xlws.FILTER(
        50:50,
        (46:46&gt;=AdjustmentPeriodEnd)*(46:46&lt;=AdjustmentPeriodEnd+10)
      ) &gt; -TFEU_Deficit
    ),
    NA()
  ),
  NA()
)</f>
        <v>#N/A</v>
      </c>
      <c r="E289" s="18"/>
      <c r="J289" s="16"/>
    </row>
    <row r="290" spans="2:35" ht="20.25" customHeight="1" x14ac:dyDescent="0.4">
      <c r="B290" s="14" t="s">
        <v>258</v>
      </c>
      <c r="C290" s="102" t="e">
        <f>IF(
  Receives_reference_trajectory,
  IF(
    C289,
    IF(
      C288,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90" s="18"/>
      <c r="J290" s="16"/>
    </row>
    <row r="291" spans="2:35" ht="20.25" customHeight="1" x14ac:dyDescent="0.4">
      <c r="C291" s="102"/>
      <c r="E291" s="18"/>
      <c r="J291" s="16"/>
    </row>
    <row r="292" spans="2:35" ht="15.75" x14ac:dyDescent="0.5">
      <c r="B292" s="79" t="s">
        <v>454</v>
      </c>
      <c r="C292" s="37"/>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row>
    <row r="293" spans="2:35" x14ac:dyDescent="0.4">
      <c r="B293" t="s">
        <v>514</v>
      </c>
      <c r="C293" s="15" t="b" cm="1">
        <f t="array" ref="C293">IF(
  Receives_reference_trajectory,
  NA(),
  MIN(IF((46:46&gt;=AdjustmentPeriodEnd)*(46:46&lt;=AdjustmentPeriodEnd+10), 50:50)) &gt;= -TFEU_Deficit
)</f>
        <v>1</v>
      </c>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row>
    <row r="294" spans="2:35" x14ac:dyDescent="0.4">
      <c r="B294" s="2" t="s">
        <v>524</v>
      </c>
      <c r="C294" s="15" t="b" cm="1">
        <f t="array" ref="C294">IF(
  Receives_reference_trajectory,
  NA(),
  MIN(IF(46:46=AdjustmentPeriodEnd, 50:50)) &gt;= -TFEU_Deficit
)</f>
        <v>1</v>
      </c>
      <c r="E294" s="18"/>
      <c r="J294" s="16"/>
    </row>
    <row r="295" spans="2:35" x14ac:dyDescent="0.4">
      <c r="B295" s="2" t="s">
        <v>525</v>
      </c>
      <c r="C295" s="15" t="b" cm="1">
        <f t="array" ref="C295">IF(
  Receives_reference_trajectory,
  NA(),
  MIN(IF((46:46&gt;AdjustmentPeriodEnd)*(46:46&lt;=AdjustmentPeriodEnd+10), 50:50)) &gt;= -TFEU_Deficit
)</f>
        <v>1</v>
      </c>
      <c r="E295" s="18"/>
      <c r="J295" s="16"/>
    </row>
    <row r="296" spans="2:35" x14ac:dyDescent="0.4">
      <c r="B296"/>
      <c r="C296" s="15"/>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row>
    <row r="297" spans="2:35" ht="17.25" customHeight="1" x14ac:dyDescent="0.4">
      <c r="B297" s="14" t="s">
        <v>258</v>
      </c>
      <c r="C297" s="102" t="str">
        <f>IF(
  OR(ISNA(C294), ISNA(C295)),
  "Not applicable",
  IF(
    AND(C294, C295),
    Country &amp; "'s deficit remains below the TFEU reference level in the final year of the adjustment period and throughout the following ten years.",
    IF(
      AND(NOT(C294), C295),
      Country &amp; "'s deficit breaches the TFEU reference level in the final year of the adjustment period but remains below it in the following ten years.",
      IF(
        AND(C294, NOT(C295)),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row>
    <row r="298" spans="2:35" x14ac:dyDescent="0.4">
      <c r="C298" s="102"/>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row>
    <row r="299" spans="2:35" ht="18" x14ac:dyDescent="0.55000000000000004">
      <c r="B299" s="50" t="s">
        <v>895</v>
      </c>
      <c r="C299" s="37"/>
      <c r="E299" s="17"/>
    </row>
    <row r="300" spans="2:35" ht="16.899999999999999" customHeight="1" x14ac:dyDescent="0.7">
      <c r="B300" s="103"/>
      <c r="C300" s="104"/>
      <c r="D300" s="14" cm="1">
        <f t="array" ref="D300:I300">_xlfn.SEQUENCE(1, AdjustmentPeriodEnd-MTP_BaseYear+1, MTP_BaseYear)</f>
        <v>2023</v>
      </c>
      <c r="E300" s="14">
        <v>2024</v>
      </c>
      <c r="F300" s="17">
        <v>2025</v>
      </c>
      <c r="G300" s="14">
        <v>2026</v>
      </c>
      <c r="H300" s="14">
        <v>2027</v>
      </c>
      <c r="I300" s="14">
        <v>2028</v>
      </c>
    </row>
    <row r="301" spans="2:35" ht="13.5" customHeight="1" x14ac:dyDescent="0.4">
      <c r="B301" t="s">
        <v>214</v>
      </c>
      <c r="C301" s="37"/>
      <c r="D301" s="91" cm="1">
        <f t="array" ref="D301:I301">INDEX(37:37, COLUMN($D$37) + _xlfn.SEQUENCE(1, COLUMNS(_xlfn.ANCHORARRAY(D300))) - 1)</f>
        <v>-1.2</v>
      </c>
      <c r="E301" s="91">
        <v>-0.8</v>
      </c>
      <c r="F301" s="91">
        <v>-1.3</v>
      </c>
      <c r="G301" s="91">
        <v>-1.3</v>
      </c>
      <c r="H301" s="91">
        <v>-1.3</v>
      </c>
      <c r="I301" s="91">
        <v>-1.3</v>
      </c>
    </row>
    <row r="302" spans="2:35" ht="13.5" customHeight="1" x14ac:dyDescent="0.4">
      <c r="B302" s="7" t="s">
        <v>346</v>
      </c>
      <c r="C302" s="93"/>
      <c r="E302" s="100">
        <f>IF(ISNUMBER(E301),E301-D301,"")</f>
        <v>0.39999999999999991</v>
      </c>
      <c r="F302" s="100">
        <f t="shared" ref="F302:M302" si="57">IF(ISNUMBER(F301),F301-E301,"")</f>
        <v>-0.5</v>
      </c>
      <c r="G302" s="100">
        <f t="shared" si="57"/>
        <v>0</v>
      </c>
      <c r="H302" s="100">
        <f t="shared" si="57"/>
        <v>0</v>
      </c>
      <c r="I302" s="100">
        <f t="shared" si="57"/>
        <v>0</v>
      </c>
      <c r="J302" s="100" t="str">
        <f t="shared" si="57"/>
        <v/>
      </c>
      <c r="K302" s="100" t="str">
        <f t="shared" si="57"/>
        <v/>
      </c>
      <c r="L302" s="100" t="str">
        <f t="shared" si="57"/>
        <v/>
      </c>
      <c r="M302" s="100" t="str">
        <f t="shared" si="57"/>
        <v/>
      </c>
      <c r="N302" s="100"/>
      <c r="O302" s="100"/>
    </row>
    <row r="303" spans="2:35" x14ac:dyDescent="0.4">
      <c r="B303"/>
      <c r="C303" s="37"/>
      <c r="E303" s="100"/>
      <c r="F303" s="100"/>
      <c r="G303" s="100"/>
      <c r="H303" s="100"/>
      <c r="I303" s="100"/>
      <c r="J303" s="100"/>
      <c r="K303" s="100"/>
      <c r="L303" s="100"/>
      <c r="M303" s="100"/>
      <c r="N303" s="100"/>
      <c r="O303" s="100"/>
    </row>
    <row r="304" spans="2:35" x14ac:dyDescent="0.4">
      <c r="B304" t="s">
        <v>375</v>
      </c>
      <c r="C304" s="97" t="e" cm="1">
        <f t="array" ref="C304">IF(
  Receives_reference_trajectory,
  MAX(ROUND(_xlfn._xlws.FILTER(302:302, ISNUMBER(300:300)*(300:300&gt;=MTP_YearT+1)*(300:300&lt;=AdjustmentPeriodEnd)), 1))
  =
  MIN(ROUND(_xlfn._xlws.FILTER(302:302, ISNUMBER(300:300)*(300:300&gt;=MTP_YearT+1)*(300:300&lt;=AdjustmentPeriodEnd)), 1)),
  NA()
)</f>
        <v>#N/A</v>
      </c>
      <c r="D304" s="51"/>
    </row>
    <row r="305" spans="2:35" x14ac:dyDescent="0.4">
      <c r="B305" t="s">
        <v>353</v>
      </c>
      <c r="C305" s="97" t="e" cm="1">
        <f t="array" ref="C305">IF(
  Receives_reference_trajectory,
  MAX(
    _xlfn.DROP(
      ROUND(
        _xlfn._xlws.FILTER(302:302, ISNUMBER(300:300)*(300:300&gt;=MTP_YearT+1)*(300:300&lt;=AdjustmentPeriodEnd)),
        1
      ),
      ,1
    )
    -
    _xlfn.DROP(
      ROUND(
        _xlfn._xlws.FILTER(302:302, ISNUMBER(300:300)*(300:300&gt;=MTP_YearT+1)*(300:300&lt;=AdjustmentPeriodEnd)),
        1
      ),
      ,-1
    )
  )&lt;=0,
  NA()
)</f>
        <v>#N/A</v>
      </c>
      <c r="D305" s="51"/>
    </row>
    <row r="306" spans="2:35" x14ac:dyDescent="0.4">
      <c r="B306" t="s">
        <v>354</v>
      </c>
      <c r="C306" s="97" t="e" cm="1">
        <f t="array" ref="C306">IF(
  Receives_reference_trajectory,
  AND(
    MAX(ROUND(_xlfn._xlws.FILTER(302:302,ISNUMBER(300:300)*(300:300&gt;=MTP_YearT+1)*(300:300&lt;=AdjustmentPeriodEnd)),1))=ROUND($C$307,1),
    MIN(ROUND(_xlfn._xlws.FILTER(302:302,ISNUMBER(300:300)*(300:300&gt;=MTP_YearT+1)*(300:300&lt;=AdjustmentPeriodEnd)),1))=ROUND($C$307,1)
  ),
  NA()
)</f>
        <v>#N/A</v>
      </c>
      <c r="D306" s="51"/>
    </row>
    <row r="307" spans="2:35" x14ac:dyDescent="0.4">
      <c r="B307" s="3" t="s">
        <v>347</v>
      </c>
      <c r="C307" s="97" t="e" cm="1">
        <f t="array" ref="C307">IF(
  Receives_reference_trajectory,
  AVERAGE(
    _xlfn.DROP(
      _xlfn._xlws.FILTER(301:301, ISNUMBER(300:300)*(300:300&gt;=MTP_YearT+1)*(300:300&lt;=AdjustmentPeriodEnd)),
      ,1
    )
    -
    _xlfn.DROP(
      _xlfn._xlws.FILTER(301:301, ISNUMBER(300:300)*(300:300&gt;=MTP_YearT+1)*(300:300&lt;=AdjustmentPeriodEnd)),
      ,-1
    )
  ),
  NA()
)</f>
        <v>#N/A</v>
      </c>
      <c r="D307" s="51"/>
    </row>
    <row r="308" spans="2:35" x14ac:dyDescent="0.4">
      <c r="B308" s="5" t="s">
        <v>348</v>
      </c>
      <c r="C308" s="97" t="e">
        <f>IF(Receives_reference_trajectory,AND(C304:C306),NA())</f>
        <v>#N/A</v>
      </c>
      <c r="D308" s="51"/>
    </row>
    <row r="309" spans="2:35" x14ac:dyDescent="0.4">
      <c r="B309" s="3"/>
      <c r="C309" s="101"/>
      <c r="D309" s="51"/>
    </row>
    <row r="310" spans="2:35" x14ac:dyDescent="0.4">
      <c r="B310" s="14" t="s">
        <v>258</v>
      </c>
      <c r="C310" s="102" t="str">
        <f>IF(
  NOT(Receives_reference_trajectory),
  "Not applicable - "&amp;Country&amp;" is not required to comply with a reference trajectory.",
  "The time profile of the fiscal adjustment, measured as the change in the structural primary balance, is " &amp;
  IF(C304,"linear","non-linear") &amp; ". " &amp;
  "The adjustment effort " &amp; IF(C305,"does not rise","rises") &amp; " over the adjustment period, and it is " &amp;
  IF(C306,"proportional","not proportional") &amp;
  " to the total effort over the adjustment period. " &amp;
  IF(AND(C304,C305,C306),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310" s="51"/>
    </row>
    <row r="311" spans="2:35" x14ac:dyDescent="0.4">
      <c r="C311" s="56"/>
      <c r="D311" s="51"/>
    </row>
    <row r="312" spans="2:35" ht="18" x14ac:dyDescent="0.55000000000000004">
      <c r="B312" s="50" t="s">
        <v>896</v>
      </c>
      <c r="C312" s="56"/>
      <c r="D312" s="51"/>
    </row>
    <row r="313" spans="2:35" x14ac:dyDescent="0.4">
      <c r="B313" t="s">
        <v>363</v>
      </c>
      <c r="C313" s="97" t="b">
        <f>'Step 1 - Set global parameters'!B32</f>
        <v>0</v>
      </c>
      <c r="D313" s="51"/>
    </row>
    <row r="314" spans="2:35" x14ac:dyDescent="0.4">
      <c r="B314" t="s">
        <v>368</v>
      </c>
      <c r="C314" s="97" t="e">
        <f>IF(ISNA('Step 1 - Set global parameters'!B33), NA(), 'Step 1 - Set global parameters'!B33)</f>
        <v>#N/A</v>
      </c>
      <c r="D314" s="51"/>
    </row>
    <row r="315" spans="2:35" x14ac:dyDescent="0.4">
      <c r="B315" t="s">
        <v>364</v>
      </c>
      <c r="C315" s="97" t="b">
        <f>'Step 1 - Set global parameters'!B34</f>
        <v>0</v>
      </c>
      <c r="D315" s="51"/>
    </row>
    <row r="316" spans="2:35" x14ac:dyDescent="0.4">
      <c r="B316" t="s">
        <v>734</v>
      </c>
      <c r="C316" s="97" t="e">
        <f>IF(ISNA('Step 1 - Set global parameters'!B35), NA(), 'Step 1 - Set global parameters'!B35)</f>
        <v>#N/A</v>
      </c>
      <c r="D316" s="51"/>
    </row>
    <row r="317" spans="2:35" x14ac:dyDescent="0.4">
      <c r="B317" t="s">
        <v>371</v>
      </c>
      <c r="C317" s="97" t="e" cm="1">
        <f t="array" ref="C317">IF(
  NOT(C313),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17" s="51"/>
    </row>
    <row r="318" spans="2:35" x14ac:dyDescent="0.4">
      <c r="B318" t="s">
        <v>365</v>
      </c>
      <c r="C318" s="97" t="e" cm="1">
        <f t="array" ref="C318">IF(
  ISNA($C$317),
  NA(),
  IF(
    $C$317=TRUE,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18" s="51"/>
    </row>
    <row r="319" spans="2:35" x14ac:dyDescent="0.4">
      <c r="B319" t="s">
        <v>372</v>
      </c>
      <c r="C319" s="97" t="e">
        <f>IF(NOT(C315),NA(),C254)</f>
        <v>#N/A</v>
      </c>
      <c r="D319" s="51"/>
    </row>
    <row r="320" spans="2:35" x14ac:dyDescent="0.4">
      <c r="B320" t="s">
        <v>374</v>
      </c>
      <c r="C320" s="97" t="e">
        <f>IF(
  NOT($C$315),
  NA(),
  IF(
    Debt_EDP_Deadline &gt; AdjustmentPeriodEnd,
    "Deadline year exceeds last year of reference trajectory.",
    "Requires manual review — test not implemented."
  )
)</f>
        <v>#N/A</v>
      </c>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row>
    <row r="321" spans="2:35" x14ac:dyDescent="0.4">
      <c r="B321" t="s">
        <v>379</v>
      </c>
      <c r="C321" s="97" t="e">
        <f>IF(
   OR(ISNA(C317), ISNA(C318), ISNA(C319), ISNA(C320), ISTEXT(C320)),
   NA(),
   AND(
      OR(
         AND(C313, OR(C317, C318)),
         AND(C315, C319, C320),
         AND(C313, NOT(C315), OR(C317, C318)),
         AND(C315, NOT(C313), C319, C320)
      )
   )
)</f>
        <v>#N/A</v>
      </c>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row>
    <row r="322" spans="2:35" x14ac:dyDescent="0.4">
      <c r="B322" s="14" t="s">
        <v>258</v>
      </c>
      <c r="C322" s="102" t="str">
        <f>IF(
  OR(C313,C315),
  IF(
    ISNA(C321),
    "The assessment of " &amp; Country &amp; "'s consistency with an excessive deficit procedure corrective path requires manual review.",
    IF(
      C321,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row>
    <row r="323" spans="2:35" x14ac:dyDescent="0.4">
      <c r="B323"/>
      <c r="C323" s="97"/>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row>
    <row r="324" spans="2:35" ht="20.25" customHeight="1" x14ac:dyDescent="0.7">
      <c r="B324" s="13" t="s">
        <v>522</v>
      </c>
      <c r="C324" s="18"/>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row>
    <row r="325" spans="2:35" ht="18" x14ac:dyDescent="0.55000000000000004">
      <c r="B325" s="50" t="s">
        <v>897</v>
      </c>
      <c r="D325" s="17"/>
      <c r="J325" s="71"/>
      <c r="K325" s="71"/>
      <c r="L325" s="71" t="s">
        <v>256</v>
      </c>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row>
    <row r="326" spans="2:35" x14ac:dyDescent="0.4">
      <c r="B326" t="s">
        <v>581</v>
      </c>
      <c r="C326" s="121" t="b">
        <f>(Country="Greece")</f>
        <v>0</v>
      </c>
    </row>
    <row r="327" spans="2:35" x14ac:dyDescent="0.4">
      <c r="B327" t="s">
        <v>381</v>
      </c>
      <c r="C327" s="15" t="b">
        <f>MAX(INDEX(52:52,1,COLUMN($D$46)):INDEX(52:52,1,COLUMN($D$46)+COLUMNS(_xlfn.ANCHORARRAY($D$46))-1))&gt;90</f>
        <v>0</v>
      </c>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row>
    <row r="328" spans="2:35" x14ac:dyDescent="0.4">
      <c r="B328" t="s">
        <v>382</v>
      </c>
      <c r="C328" s="121" t="b" cm="1">
        <f t="array" ref="C328">SUMPRODUCT(
  --(INDEX(74:74,1,COLUMN($D$46)):INDEX(74:74,1,COLUMN($D$46)+COLUMNS(_xlfn.ANCHORARRAY($D$46))-1)&gt;=60),
  --(INDEX(74:74,1,COLUMN($D$46)):INDEX(74:74,1,COLUMN($D$46)+COLUMNS(_xlfn.ANCHORARRAY($D$46))-1)&lt;=90)
)&gt;0</f>
        <v>0</v>
      </c>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row>
    <row r="329" spans="2:35" x14ac:dyDescent="0.4">
      <c r="B329" t="s">
        <v>267</v>
      </c>
      <c r="C329" s="121" t="e" cm="1">
        <f t="array" ref="C329">IF(
  C327,
  IFERROR(
    _xlfn.LET(
      _xlpm.yrs,_xlfn.ANCHORARRAY( $D$46),
      _xlpm.startYr, IF(OR('Step 1 - Set global parameters'!$B$32,'Step 1 - Set global parameters'!$B$34), Validation!$Q$6, MTP_BaseYear-1),
      _xlpm.debt, INDEX(52:52, COLUMN($D$46)+_xlfn.SEQUENCE(1, COLUMNS(_xlfn.ANCHORARRAY($D$46)), 0)),
      _xlpm.elig,
        (_xlpm.yrs&gt;=_xlpm.startYr)*
        (_xlpm.yrs&lt;=AdjustmentPeriodEnd)*
        (_xlpm.debt&gt;90)*
        IF(C326, _xlpm.yrs&lt;&gt;2033, TRUE),
      _xlpm.lastYr, LOOKUP(9^9, IF(_xlpm.elig, _xlpm.yrs)),
      _xlpm.startDebt, _xlfn.XLOOKUP(_xlpm.startYr, _xlpm.yrs, _xlpm.debt,,0),
      _xlpm.endDebt,   _xlfn.XLOOKUP(_xlpm.lastYr,  _xlpm.yrs, _xlpm.debt,,0),
      ((_xlpm.startDebt-_xlpm.endDebt)/(_xlpm.lastYr-_xlpm.startYr))&gt;=1
    ),
    TRUE
  ),
  NA()
)</f>
        <v>#N/A</v>
      </c>
    </row>
    <row r="330" spans="2:35" x14ac:dyDescent="0.4">
      <c r="B330" t="s">
        <v>268</v>
      </c>
      <c r="C330" s="121" t="e" cm="1">
        <f t="array" ref="C330">IF(C328,IFERROR(
  (
    INDEX(52:52, COLUMN($D$46)+_xlfn.XMATCH(IF(OR('Step 1 - Set global parameters'!$B$32,'Step 1 - Set global parameters'!$B$34), Validation!$Q$6, MTP_BaseYear-1),_xlfn.ANCHORARRAY( $D$46), 1)-1)
    -
    INDEX(52:52, COLUMN($D$46)+_xlfn.XMATCH(
      LOOKUP(9^9, IF(
        (_xlfn.ANCHORARRAY($D$46)&gt;=IF(OR('Step 1 - Set global parameters'!$B$32,'Step 1 - Set global parameters'!$B$34), Validation!$Q$6, MTP_BaseYear-1))*
        (_xlfn.ANCHORARRAY($D$46)&lt;=AdjustmentPeriodEnd)*
        (INDEX(52:52, COLUMN($D$46)+_xlfn.SEQUENCE(1,COLUMNS(_xlfn.ANCHORARRAY($D$46)),0))&gt;TFEU_Debt),_xlfn.ANCHORARRAY(
        $D$46))
      ),_xlfn.ANCHORARRAY(
      $D$46), 1)-1)
  ) /
  (
    LOOKUP(9^9, IF(
      (_xlfn.ANCHORARRAY($D$46)&gt;=IF(OR('Step 1 - Set global parameters'!$B$32,'Step 1 - Set global parameters'!$B$34), Validation!$Q$6, MTP_BaseYear-1))*
      (_xlfn.ANCHORARRAY($D$46)&lt;=AdjustmentPeriodEnd)*
      (INDEX(52:52, COLUMN($D$46)+_xlfn.SEQUENCE(1,COLUMNS(_xlfn.ANCHORARRAY($D$46)),0))&gt;TFEU_Debt),_xlfn.ANCHORARRAY(
      $D$46))
    )
    - IF(OR('Step 1 - Set global parameters'!$B$32,'Step 1 - Set global parameters'!$B$34), Validation!$Q$6, MTP_BaseYear-1)
  )
  &gt;= 0.5,
  TRUE
),NA())</f>
        <v>#N/A</v>
      </c>
    </row>
    <row r="331" spans="2:35" x14ac:dyDescent="0.4">
      <c r="B331" s="14" t="s">
        <v>527</v>
      </c>
      <c r="C331" s="15" t="e">
        <f>IF(
  NOT(Receives_reference_trajectory),
  NA(),
  IF(
    OR(C327=TRUE, C328=TRUE),
    IF(
      OR(
        IF(C327=TRUE, C329=FALSE, FALSE),
        IF(C328=TRUE, C330=FALSE, FALSE)
      ),
      FALSE,
      TRUE
    ),
    NA()
  )
)</f>
        <v>#N/A</v>
      </c>
    </row>
    <row r="332" spans="2:35" x14ac:dyDescent="0.4">
      <c r="C332" s="17"/>
    </row>
    <row r="333" spans="2:35" x14ac:dyDescent="0.4">
      <c r="B333" s="14" t="s">
        <v>266</v>
      </c>
      <c r="C333" s="102" t="str">
        <f>IF(
  NOT(Receives_reference_trajectory),
  Country &amp; " does not receive a reference trajectory and its MTP is not assessed against the debt sustainability safeguard.",
  IF(
    OR(C327=TRUE, C328=TRUE),
    IF(
      OR(
        IF(C327=TRUE, C329=FALSE, FALSE),
        IF(C328=TRUE, C330=FALSE,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33" s="17"/>
    </row>
    <row r="334" spans="2:35" x14ac:dyDescent="0.4">
      <c r="C334" s="56"/>
      <c r="E334" s="17"/>
    </row>
    <row r="335" spans="2:35" ht="23.25" x14ac:dyDescent="0.7">
      <c r="B335" s="50" t="s">
        <v>898</v>
      </c>
      <c r="C335" s="13"/>
      <c r="E335" s="17"/>
    </row>
    <row r="336" spans="2:35" customFormat="1" ht="23.25" x14ac:dyDescent="0.7">
      <c r="B336" s="103"/>
      <c r="C336" s="104"/>
      <c r="D336" s="14" cm="1">
        <f t="array" ref="D336:I336">_xlfn.SEQUENCE(1, AdjustmentPeriodEnd-MTP_BaseYear+1, MTP_BaseYear)</f>
        <v>2023</v>
      </c>
      <c r="E336" s="14">
        <v>2024</v>
      </c>
      <c r="F336" s="17">
        <v>2025</v>
      </c>
      <c r="G336" s="14">
        <v>2026</v>
      </c>
      <c r="H336" s="14">
        <v>2027</v>
      </c>
      <c r="I336" s="14">
        <v>2028</v>
      </c>
    </row>
    <row r="337" spans="2:35" customFormat="1" x14ac:dyDescent="0.4">
      <c r="B337" t="s">
        <v>383</v>
      </c>
      <c r="C337" s="37"/>
      <c r="D337" s="91" cm="1">
        <f t="array" ref="D337:I337">INDEX(36:36, COLUMN($D$36) + _xlfn.SEQUENCE(1, COLUMNS(_xlfn.ANCHORARRAY(D336))) - 1)</f>
        <v>-1.8</v>
      </c>
      <c r="E337" s="91">
        <v>-1.9</v>
      </c>
      <c r="F337" s="91">
        <v>-2.5</v>
      </c>
      <c r="G337" s="91">
        <v>-2.6</v>
      </c>
      <c r="H337" s="91">
        <v>-2.7</v>
      </c>
      <c r="I337" s="91">
        <v>-2.7</v>
      </c>
      <c r="J337" s="91"/>
      <c r="K337" s="91"/>
      <c r="L337" s="91"/>
      <c r="M337" s="91"/>
      <c r="N337" s="91"/>
    </row>
    <row r="338" spans="2:35" customFormat="1" x14ac:dyDescent="0.4">
      <c r="B338" t="s">
        <v>214</v>
      </c>
      <c r="C338" s="37"/>
      <c r="D338" s="91" cm="1">
        <f t="array" ref="D338:I338">INDEX(37:37, COLUMN($D$37) + _xlfn.SEQUENCE(1, COLUMNS(_xlfn.ANCHORARRAY(D336))) - 1)</f>
        <v>-1.2</v>
      </c>
      <c r="E338" s="91">
        <v>-0.8</v>
      </c>
      <c r="F338" s="91">
        <v>-1.3</v>
      </c>
      <c r="G338" s="91">
        <v>-1.3</v>
      </c>
      <c r="H338" s="91">
        <v>-1.3</v>
      </c>
      <c r="I338" s="91">
        <v>-1.3</v>
      </c>
      <c r="J338" s="91"/>
      <c r="K338" s="91"/>
      <c r="L338" s="91"/>
      <c r="M338" s="91"/>
    </row>
    <row r="339" spans="2:35" customFormat="1" x14ac:dyDescent="0.4">
      <c r="B339" s="7" t="s">
        <v>384</v>
      </c>
      <c r="C339" s="93"/>
      <c r="D339" s="91"/>
      <c r="E339" s="91"/>
      <c r="F339" s="91">
        <f>IF(COUNT(E338,F338)=2, F338-E338, "")</f>
        <v>-0.5</v>
      </c>
      <c r="G339" s="91">
        <f t="shared" ref="G339:L339" si="58">IF(COUNT(F338,G338)=2, G338-F338, "")</f>
        <v>0</v>
      </c>
      <c r="H339" s="91">
        <f t="shared" si="58"/>
        <v>0</v>
      </c>
      <c r="I339" s="91">
        <f t="shared" si="58"/>
        <v>0</v>
      </c>
      <c r="J339" s="91" t="str">
        <f t="shared" si="58"/>
        <v/>
      </c>
      <c r="K339" s="91" t="str">
        <f t="shared" si="58"/>
        <v/>
      </c>
      <c r="L339" s="91" t="str">
        <f t="shared" si="58"/>
        <v/>
      </c>
    </row>
    <row r="340" spans="2:35" customFormat="1" x14ac:dyDescent="0.4">
      <c r="B340" t="s">
        <v>645</v>
      </c>
      <c r="D340" s="3" t="b">
        <f>IF(ISNUMBER(D336),D337&lt;-1.5,"")</f>
        <v>1</v>
      </c>
      <c r="E340" s="3" t="b">
        <f>IF(ISNUMBER(E336),E337&lt;-1.5,"")</f>
        <v>1</v>
      </c>
      <c r="F340" s="3" t="b">
        <f>IF(ISNUMBER(F336),F337&lt;-1.5,"")</f>
        <v>1</v>
      </c>
      <c r="G340" s="3" t="b">
        <f t="shared" ref="G340:M340" si="59">IF(ISNUMBER(G336),G337&lt;-1.5,"")</f>
        <v>1</v>
      </c>
      <c r="H340" s="3" t="b">
        <f t="shared" si="59"/>
        <v>1</v>
      </c>
      <c r="I340" s="3" t="b">
        <f t="shared" si="59"/>
        <v>1</v>
      </c>
      <c r="J340" s="3" t="str">
        <f t="shared" si="59"/>
        <v/>
      </c>
      <c r="K340" s="3" t="str">
        <f t="shared" si="59"/>
        <v/>
      </c>
      <c r="L340" s="3" t="str">
        <f t="shared" si="59"/>
        <v/>
      </c>
      <c r="M340" s="3" t="str">
        <f t="shared" si="59"/>
        <v/>
      </c>
    </row>
    <row r="341" spans="2:35" customFormat="1" x14ac:dyDescent="0.4">
      <c r="D341" s="3"/>
      <c r="E341" s="3"/>
      <c r="F341" s="3"/>
      <c r="G341" s="3"/>
      <c r="H341" s="3"/>
      <c r="I341" s="3"/>
    </row>
    <row r="342" spans="2:35" customFormat="1" x14ac:dyDescent="0.4">
      <c r="B342" t="s">
        <v>385</v>
      </c>
      <c r="C342" s="2" t="e" cm="1">
        <f t="array" ref="C342">IF(
  NOT(Receives_reference_trajectory),
  NA(),
  SUMPRODUCT(
    --(
      INDEX(340:340,1,COLUMN($D$336)):
      INDEX(340:340,1,COLUMN($D$336)+COLUMNS(_xlfn.ANCHORARRAY($D$336))-1)
    )
  )&gt;0
)</f>
        <v>#N/A</v>
      </c>
    </row>
    <row r="343" spans="2:35" x14ac:dyDescent="0.4">
      <c r="B343" t="s">
        <v>306</v>
      </c>
      <c r="C343" s="15" t="e">
        <f>IF(Receives_reference_trajectory,IF(AdjustmentPeriod=4,0.4,0.25),NA())</f>
        <v>#N/A</v>
      </c>
      <c r="E343" s="17"/>
    </row>
    <row r="344" spans="2:35" x14ac:dyDescent="0.4">
      <c r="B344" t="s">
        <v>473</v>
      </c>
      <c r="C344" s="121" t="e" cm="1">
        <f t="array" ref="C344">IF(
  NOT(Receives_reference_trajectory),
  NA(),
  IF(
    NOT(C342),
    NA(),
    SUMPRODUCT(
      --(_xlfn.TAKE(IFERROR(_xlfn.CHOOSECOLS(340:340, COLUMN($D$336)+_xlfn.SEQUENCE(1,COLUMNS(_xlfn.ANCHORARRAY($D$336)))-1), FALSE), , COLUMNS(_xlfn.ANCHORARRAY($D$336))-1)),
      --(_xlfn.DROP(_xlfn.CHOOSECOLS(339:339, COLUMN($D$336)+_xlfn.SEQUENCE(1,COLUMNS(_xlfn.ANCHORARRAY($D$336)))-1), , 1) &lt;= C343)
    )=0
  )
)</f>
        <v>#N/A</v>
      </c>
      <c r="E344" s="17"/>
    </row>
    <row r="345" spans="2:35" x14ac:dyDescent="0.4">
      <c r="B345"/>
      <c r="C345" s="15"/>
      <c r="E345" s="17"/>
    </row>
    <row r="346" spans="2:35" x14ac:dyDescent="0.4">
      <c r="B346" s="14" t="s">
        <v>266</v>
      </c>
      <c r="C346" s="102" t="str">
        <f>IF(
  NOT(Receives_reference_trajectory),
  Country &amp; " does not receive a reference trajectory and its MTP is not assessed against the deficit resilience safeguard.",
  IF(
    OR(NOT(C342), ISNA(C344)),
    "The deficit resilience safeguard does not apply, as the structural deficit does not exceed 1.5% of GDP during the adjustment period.",
    IF(
      C344,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46" s="17"/>
    </row>
    <row r="347" spans="2:35" x14ac:dyDescent="0.4">
      <c r="C347" s="122"/>
      <c r="E347" s="17"/>
    </row>
    <row r="348" spans="2:35" ht="18" x14ac:dyDescent="0.55000000000000004">
      <c r="B348" s="128" t="s">
        <v>899</v>
      </c>
      <c r="D348" s="17"/>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row>
    <row r="349" spans="2:35" ht="14.25" x14ac:dyDescent="0.45">
      <c r="B349" s="129" t="s">
        <v>505</v>
      </c>
      <c r="D349" s="17"/>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row>
    <row r="350" spans="2:35" ht="14.25" x14ac:dyDescent="0.45">
      <c r="B350" s="129"/>
      <c r="D350" s="17"/>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ht="15.75" x14ac:dyDescent="0.5">
      <c r="B351" s="132" t="s">
        <v>526</v>
      </c>
      <c r="D351" s="17"/>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B352" t="s">
        <v>506</v>
      </c>
      <c r="C352" s="130" t="e" cm="1">
        <f t="array" ref="C352">IF(
  Receives_reference_trajectory,
  IFERROR(
    INDEX(71:71, _xlfn.XMATCH(AdjustmentPeriodEnd, 62:62, 0)) -
    INDEX(71:71, _xlfn.XMATCH(MTP_YearT,        62:62, 0)),
    NA()
  ),
  NA()
)</f>
        <v>#N/A</v>
      </c>
      <c r="D352" s="17"/>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x14ac:dyDescent="0.4">
      <c r="B353" t="s">
        <v>507</v>
      </c>
      <c r="C353" s="130" t="e" cm="1">
        <f t="array" ref="C353">IF(
  Receives_reference_trajectory,
  IFERROR(
    (
      INDEX(71:71, _xlfn.XMATCH(AdjustmentPeriodEnd, 62:62, 0)) -
      INDEX(71:71, _xlfn.XMATCH(MTP_YearT,        62:62, 0))
    ) / (AdjustmentPeriodEnd - MTP_YearT),
    NA()
  ),
  NA()
)</f>
        <v>#N/A</v>
      </c>
      <c r="D353" s="17"/>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row>
    <row r="354" spans="2:35" x14ac:dyDescent="0.4">
      <c r="B354" t="s">
        <v>456</v>
      </c>
      <c r="C354" s="130" t="e" cm="1">
        <f t="array" ref="C354">IF(
  Receives_reference_trajectory,
  IFERROR(
    INDEX(37:37, _xlfn.XMATCH(AdjustmentPeriodEnd, 32:32, 0)) -
    INDEX(37:37, _xlfn.XMATCH(MTP_YearT,        32:32, 0)),
    NA()
  ),
  NA()
)</f>
        <v>#N/A</v>
      </c>
      <c r="D354" s="17"/>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row>
    <row r="355" spans="2:35" x14ac:dyDescent="0.4">
      <c r="B355"/>
      <c r="C355" s="130"/>
      <c r="D355" s="17"/>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258</v>
      </c>
      <c r="C356" s="102" t="e">
        <f>IF(
  Receives_reference_trajectory,
  IF(
    OR(ISNA(C354),NOT(ISNUMBER(C354))),
    Country &amp; "'s total SPB adjustment required over the adjustment period is " &amp;
      TEXT(C352,"0.0") &amp; " pp of GDP, and the required average annual consolidation is " &amp;
      TEXT(C353,"0.0") &amp; " pp of GDP.",
    Country &amp; "'s total SPB adjustment required over the adjustment period is " &amp;
      TEXT(C352,"0.0") &amp; " pp of GDP. The planned average annual consolidation of " &amp;
      TEXT(C354,"0.0") &amp; " pp " &amp;
      IF(
        C354 &gt; C353 + 0.1,
        "exceeds the required " &amp; TEXT(C353,"0.0") &amp;
          " pp, indicating that the plan appears consistent with achieving the target SPB implied by the reference trajectory by the end of the horizon.",
        IF(
          C354 &lt; C353 - 0.1,
          "falls short of the required " &amp; TEXT(C353,"0.0") &amp;
            " pp, indicating that additional measures may be needed to reach the target SPB.",
          "is broadly in line with the required " &amp; TEXT(C353,"0.0") &amp; " pp."
        )
      )
  ),
  NA()
)</f>
        <v>#N/A</v>
      </c>
      <c r="D356" s="17"/>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C357" s="102"/>
      <c r="D357" s="17"/>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508</v>
      </c>
      <c r="C358" s="92"/>
      <c r="E358" s="18"/>
      <c r="J358" s="16"/>
    </row>
    <row r="359" spans="2:35" customFormat="1" x14ac:dyDescent="0.4">
      <c r="B359" t="str">
        <f>"Minimum level of structural primary balance in "&amp;AdjustmentPeriodEnd&amp;", no safeguard"</f>
        <v>Minimum level of structural primary balance in 2028, no safeguard</v>
      </c>
      <c r="C359" s="2">
        <f>IF(Receives_reference_trajectory,NA(),INDEX(65:65, MATCH(AdjustmentPeriodEnd, 46:46, 0)))</f>
        <v>-1.3</v>
      </c>
    </row>
    <row r="360" spans="2:35" customFormat="1" x14ac:dyDescent="0.4">
      <c r="B360" t="str">
        <f>"Minimum level of structural primary balance in "&amp;AdjustmentPeriodEnd&amp;", with safeguard"</f>
        <v>Minimum level of structural primary balance in 2028, with safeguard</v>
      </c>
      <c r="C360" s="126">
        <f>IF(Receives_reference_trajectory,NA(),INDEX(66:66, MATCH(AdjustmentPeriodEnd, 46:46, 0)))</f>
        <v>-0.1</v>
      </c>
    </row>
    <row r="361" spans="2:35" customFormat="1" x14ac:dyDescent="0.4">
      <c r="B361" t="s">
        <v>378</v>
      </c>
      <c r="C361" s="2">
        <f>IF(Receives_reference_trajectory,NA(),INDEX(37:37, MATCH(AdjustmentPeriodEnd, 46:46, 0)))</f>
        <v>-1.3</v>
      </c>
    </row>
    <row r="362" spans="2:35" x14ac:dyDescent="0.4">
      <c r="B362" t="s">
        <v>376</v>
      </c>
      <c r="C362" s="15" t="b">
        <f>IF(Receives_reference_trajectory, NA(), C361 &gt;= C359)</f>
        <v>1</v>
      </c>
      <c r="E362" s="18"/>
      <c r="J362" s="16"/>
    </row>
    <row r="363" spans="2:35" x14ac:dyDescent="0.4">
      <c r="B363" t="s">
        <v>377</v>
      </c>
      <c r="C363" s="15" t="b">
        <f>IF(Receives_reference_trajectory, NA(), C361 &gt;= C360)</f>
        <v>0</v>
      </c>
      <c r="E363" s="18"/>
      <c r="J363" s="16"/>
    </row>
    <row r="364" spans="2:35" x14ac:dyDescent="0.4">
      <c r="C364" s="15"/>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row>
    <row r="365" spans="2:35" x14ac:dyDescent="0.4">
      <c r="B365" s="14" t="s">
        <v>266</v>
      </c>
      <c r="C365" s="102" t="str">
        <f>_xlfn.LET(
  _xlpm.nos, Assessment!$C$362,
  _xlpm.ws,  Assessment!$C$363,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65" s="17"/>
      <c r="E365" s="18"/>
      <c r="J365" s="71"/>
      <c r="K365" s="71"/>
      <c r="L365" s="71"/>
      <c r="M365" s="71"/>
      <c r="N365" s="71"/>
      <c r="O365" s="71" t="s">
        <v>269</v>
      </c>
      <c r="P365" s="71"/>
      <c r="Q365" s="71"/>
      <c r="R365" s="71"/>
      <c r="S365" s="71"/>
      <c r="T365" s="71"/>
      <c r="U365" s="71"/>
      <c r="V365" s="71"/>
      <c r="W365" s="71"/>
      <c r="X365" s="71"/>
      <c r="Y365" s="71"/>
      <c r="Z365" s="71"/>
      <c r="AA365" s="71"/>
      <c r="AB365" s="71"/>
      <c r="AC365" s="71"/>
      <c r="AD365" s="71"/>
      <c r="AE365" s="71"/>
      <c r="AF365" s="71"/>
      <c r="AG365" s="71"/>
      <c r="AH365" s="71"/>
      <c r="AI365" s="71"/>
    </row>
    <row r="366" spans="2:35" x14ac:dyDescent="0.4">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row>
    <row r="367" spans="2:35" ht="18" x14ac:dyDescent="0.55000000000000004">
      <c r="B367" s="50" t="s">
        <v>509</v>
      </c>
      <c r="C367" s="56"/>
      <c r="E367" s="17"/>
    </row>
    <row r="368" spans="2:35" customFormat="1" ht="15.75" x14ac:dyDescent="0.5">
      <c r="B368" s="79" t="s">
        <v>526</v>
      </c>
    </row>
    <row r="369" spans="2:35" x14ac:dyDescent="0.4">
      <c r="B369" t="s">
        <v>515</v>
      </c>
      <c r="C369" s="15" t="e">
        <f>IF(
  NOT(Receives_reference_trajectory),
  NA(),
  IFERROR(
    AND(
      C234,
      IF(AdjustmentPeriod=7, C239, TRUE),
      C256,
      C279,
      C289,
      C308,
      IF(ISNA(C321), TRUE, C321),
      IF(ISNA(C331), TRUE, C331),
      IF(ISNA(C344), TRUE, C344)
    ),
    NA()
  )
)</f>
        <v>#N/A</v>
      </c>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row>
    <row r="370" spans="2:35" x14ac:dyDescent="0.4">
      <c r="B370" s="14" t="s">
        <v>528</v>
      </c>
      <c r="C370" s="102" t="str">
        <f>IF(
  Receives_reference_trajectory,
  IF(
    C254,
    "The net expenditure path in " &amp; Country &amp; "'s latest MTP adheres to the Commission's reference trajectory" &amp;
    IF(
      ISNA(C369),
      ", but overall compliance with Regulation (EU) 2024/1263 cannot yet be assessed.",
      IF(C369,
        " and it meets all requirements of Regulation (EU) 2024/1263.",
        " but it does not meet all requirements of Regulation (EU) 2024/1263."
      )
    ),
    IF(
      C255,
      "The net expenditure path in " &amp; Country &amp; "'s latest MTP exceeds the Commission's reference trajectory but the " &amp; IFI_Name &amp;
      " deems the explanation and alternative assumptions to be satisfactory" &amp;
      IF(
        ISNA(C369),
        ", but overall compliance with Regulation (EU) 2024/1263 cannot yet be assessed.",
        IF(C369,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ISNA(C369),
        ", and overall compliance with Regulation (EU) 2024/1263 cannot yet be assessed.",
        IF(C369,
          ", and it meets all requirements of Regulation (EU) 2024/1263.",
          ", and it does not meet all requirements of Regulation (EU) 2024/1263."
        )
      )
    )
  ),
  "Not applicable."
)</f>
        <v>Not applicable.</v>
      </c>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row>
    <row r="371" spans="2:35" x14ac:dyDescent="0.4">
      <c r="B371"/>
      <c r="C371" s="122"/>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row>
    <row r="372" spans="2:35" ht="15.75" x14ac:dyDescent="0.5">
      <c r="B372" s="79" t="s">
        <v>454</v>
      </c>
      <c r="C372" s="37"/>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row>
    <row r="373" spans="2:35" x14ac:dyDescent="0.4">
      <c r="B373" t="s">
        <v>515</v>
      </c>
      <c r="C373" s="15" t="b">
        <f>IF(
  Receives_reference_trajectory,
  NA(),
  AND(C266, C283, C293)
)</f>
        <v>1</v>
      </c>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row>
    <row r="374" spans="2:35" x14ac:dyDescent="0.4">
      <c r="B374" s="14" t="s">
        <v>258</v>
      </c>
      <c r="C374" s="102" t="str">
        <f>IF(
  Receives_reference_trajectory,
  "Not applicable",
  IF(
    C264,
    "The net expenditure path in " &amp; Country &amp; "'s MTP adheres to the minimum level of the primary structural balance in " &amp;
      AdjustmentPeriodEnd &amp; " (" &amp; C260 &amp; "% of GDP). ",
    "The net expenditure path in " &amp; Country &amp; "'s MTP does not adhere to the minimum level of the primary structural balance in " &amp;
      AdjustmentPeriodEnd &amp; " (" &amp; C260 &amp; "% of GDP). "
  ) &amp;
  IF(
    AND(C283, C293),
    "The net expenditure path put forward in the plan is consistent with the deficit and debt requirements as set out in Article 16(2) of Regulation (EU) 2024/1263.",
    IF(
      AND(C283, NOT(C293)),
      "However, while it complies with the debt requirement, it does not comply with the deficit requirement under Article 16(2) of Regulation (EU) 2024/1263.",
      IF(
        AND(NOT(C283), C293),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74" s="17"/>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row>
    <row r="376" spans="2:35" ht="18" x14ac:dyDescent="0.55000000000000004">
      <c r="B376" s="128" t="s">
        <v>980</v>
      </c>
    </row>
    <row r="377" spans="2:35" x14ac:dyDescent="0.4">
      <c r="B377" t="s">
        <v>981</v>
      </c>
      <c r="C377" s="15" t="b" cm="1">
        <f t="array" ref="C377">_xlfn.LET(
    _xlpm.years, 4:4,
    _xlpm.sb,    18:18,
    _xlpm.inScope, ISNUMBER(_xlpm.years) * (_xlpm.years&gt;=2025) * (_xlpm.years&lt;=2027) * ISNUMBER(_xlpm.sb),
    _xlpm.breach,  _xlpm.inScope * IF(ISNUMBER(_xlpm.sb), _xlpm.sb&lt;-1%, FALSE),
    IF(SUM(_xlpm.inScope)=0, "n.a.", SUM(_xlpm.breach)=0)
)</f>
        <v>0</v>
      </c>
    </row>
    <row r="378" spans="2:35" x14ac:dyDescent="0.4">
      <c r="B378" t="s">
        <v>982</v>
      </c>
      <c r="C378" s="15" t="str" cm="1">
        <f t="array" ref="C378">_xlfn.LET(
    _xlpm.years, 4:4,
    _xlpm.sb,    18:18,
    _xlpm.inScope, ISNUMBER(_xlpm.years) * (_xlpm.years&gt;=2028) * ISNUMBER(_xlpm.sb),
    _xlpm.breach,  _xlpm.inScope * IF(ISNUMBER(_xlpm.sb), _xlpm.sb&lt;-1.5%, FALSE),
    IF(SUM(_xlpm.inScope)=0, "n.a.", SUM(_xlpm.breach)=0)
)</f>
        <v>n.a.</v>
      </c>
    </row>
    <row r="379" spans="2:35" x14ac:dyDescent="0.4">
      <c r="B379" t="s">
        <v>984</v>
      </c>
      <c r="C379" s="15" t="str" cm="1">
        <f t="array" ref="C379">_xlfn.LET(
    _xlpm.a, C377,
    _xlpm.b, C378,
    _xlfn.IFS(
        OR(_xlpm.a=FALSE, _xlpm.b=FALSE),       "Breach",
        OR(_xlpm.a=TRUE,  _xlpm.b=TRUE),        "Compliant",
        TRUE,                       "n.a."
    )
)</f>
        <v>Breach</v>
      </c>
    </row>
    <row r="381" spans="2:35" x14ac:dyDescent="0.4">
      <c r="B381" t="s">
        <v>983</v>
      </c>
      <c r="C381" s="102" t="str" cm="1">
        <f t="array" ref="C381">_xlfn.LET(
    _xlpm.a, C377,
    _xlpm.b, C378,
    _xlfn.IFS(
        AND(_xlpm.a=TRUE,   _xlpm.b=TRUE),   "The structural balance meets both thresholds.",
        AND(_xlpm.a=TRUE,   _xlpm.b=FALSE),  "The structural balance meets the -1.0% threshold for 2025-2027 but does not meet the -1.5% threshold from 2028 onwards.",
        AND(_xlpm.a=FALSE,  _xlpm.b=TRUE),   "The structural balance meets the -1.5% threshold from 2028 onwards but does not meet the -1.0% threshold for 2025-2027.",
        AND(_xlpm.a=FALSE,  _xlpm.b=FALSE),  "The structural balance meets neither threshold.",
        AND(_xlpm.a=TRUE,   _xlpm.b="n.a."), "The structural balance meets the -1.0% threshold for 2025-2027. The -1.5% threshold does not apply because the assessment horizon ends before 2028.",
        AND(_xlpm.a=FALSE,  _xlpm.b="n.a."), "The structural balance does not meet the -1.0% threshold for 2025-2027. The -1.5% threshold does not apply because the assessment horizon ends before 2028.",
        AND(_xlpm.a="n.a.", _xlpm.b=TRUE),   "The structural balance meets the -1.5% threshold from 2028 onwards. The -1.0% threshold does not apply because the assessment horizon does not cover 2025-2027.",
        AND(_xlpm.a="n.a.", _xlpm.b=FALSE),  "The structural balance does not meet the -1.5% threshold from 2028 onwards. The -1.0% threshold does not apply because the assessment horizon does not cover 2025-2027.",
        TRUE,                    "Neither threshold applies because the assessment horizon does not cover 2025 or later."
    )
)</f>
        <v>The structural balance does not meet the -1.0% threshold for 2025-2027. The -1.5% threshold does not apply because the assessment horizon ends before 2028.</v>
      </c>
    </row>
  </sheetData>
  <phoneticPr fontId="9" type="noConversion"/>
  <conditionalFormatting sqref="D162:V162 D197:V207 D348:V357 R156:U160">
    <cfRule type="expression" dxfId="41" priority="155">
      <formula>AND(#REF!&gt;MTP_YearT, #REF!&lt;=AdjustmentPeriodEnd)</formula>
    </cfRule>
  </conditionalFormatting>
  <conditionalFormatting sqref="T197:V207 T348:V357 T162:V162">
    <cfRule type="expression" dxfId="40" priority="157">
      <formula>ISNUMBER(#REF!)</formula>
    </cfRule>
  </conditionalFormatting>
  <conditionalFormatting sqref="D300:M300">
    <cfRule type="expression" dxfId="39" priority="62">
      <formula>ISNUMBER(D300)</formula>
    </cfRule>
  </conditionalFormatting>
  <conditionalFormatting sqref="D5:K5">
    <cfRule type="expression" dxfId="38" priority="61">
      <formula>ISNUMBER(D4)</formula>
    </cfRule>
  </conditionalFormatting>
  <conditionalFormatting sqref="E160:M160">
    <cfRule type="expression" dxfId="37" priority="198">
      <formula>ISNUMBER(E$105)</formula>
    </cfRule>
  </conditionalFormatting>
  <conditionalFormatting sqref="D175:V176">
    <cfRule type="expression" dxfId="36" priority="41">
      <formula>AND(#REF!&gt;MTP_YearT, #REF!&lt;=AdjustmentPeriodEnd)</formula>
    </cfRule>
  </conditionalFormatting>
  <conditionalFormatting sqref="T174:V176">
    <cfRule type="expression" dxfId="35" priority="211">
      <formula>ISNUMBER(#REF!)</formula>
    </cfRule>
  </conditionalFormatting>
  <conditionalFormatting sqref="D167:V173">
    <cfRule type="expression" dxfId="34" priority="213">
      <formula>AND(#REF!&gt;MTP_YearT, #REF!&lt;=AdjustmentPeriodEnd)</formula>
    </cfRule>
  </conditionalFormatting>
  <conditionalFormatting sqref="T163:V173">
    <cfRule type="expression" dxfId="33" priority="215">
      <formula>ISNUMBER(#REF!)</formula>
    </cfRule>
  </conditionalFormatting>
  <conditionalFormatting sqref="D174:V174 D163:V166">
    <cfRule type="expression" dxfId="32" priority="217">
      <formula>AND(#REF!&gt;MTP_YearT, #REF!&lt;=AdjustmentPeriodEnd)</formula>
    </cfRule>
  </conditionalFormatting>
  <conditionalFormatting sqref="D302:I302">
    <cfRule type="expression" dxfId="31" priority="34">
      <formula>ISNUMBER(D300)</formula>
    </cfRule>
  </conditionalFormatting>
  <conditionalFormatting sqref="D336:I336">
    <cfRule type="expression" dxfId="30" priority="33">
      <formula>ISNUMBER(D336)</formula>
    </cfRule>
  </conditionalFormatting>
  <conditionalFormatting sqref="D339:L339">
    <cfRule type="expression" dxfId="29" priority="31">
      <formula>ISNUMBER(D336)</formula>
    </cfRule>
  </conditionalFormatting>
  <conditionalFormatting sqref="D4:K4">
    <cfRule type="expression" dxfId="28" priority="28">
      <formula>ISNUMBER(D4)</formula>
    </cfRule>
  </conditionalFormatting>
  <conditionalFormatting sqref="D33:N33 D34:Q34">
    <cfRule type="expression" dxfId="27" priority="27">
      <formula>ISNUMBER(D32)</formula>
    </cfRule>
  </conditionalFormatting>
  <conditionalFormatting sqref="D27:K27">
    <cfRule type="expression" dxfId="26" priority="26">
      <formula>ISNUMBER(D$4)</formula>
    </cfRule>
  </conditionalFormatting>
  <conditionalFormatting sqref="D32:N32">
    <cfRule type="expression" dxfId="25" priority="25">
      <formula>ISNUMBER(D32)</formula>
    </cfRule>
  </conditionalFormatting>
  <conditionalFormatting sqref="D44:W45 D59:W59 D53:W53">
    <cfRule type="expression" dxfId="24" priority="24">
      <formula>ISNUMBER(D44)</formula>
    </cfRule>
  </conditionalFormatting>
  <conditionalFormatting sqref="D88:W88">
    <cfRule type="expression" dxfId="23" priority="23">
      <formula>ISNUMBER(D62)</formula>
    </cfRule>
  </conditionalFormatting>
  <conditionalFormatting sqref="D62:W62">
    <cfRule type="expression" dxfId="22" priority="22">
      <formula>ISNUMBER(D62)</formula>
    </cfRule>
  </conditionalFormatting>
  <conditionalFormatting sqref="X64 D63:W64 D47:W47">
    <cfRule type="expression" dxfId="21" priority="21">
      <formula>ISNUMBER(D46)</formula>
    </cfRule>
  </conditionalFormatting>
  <conditionalFormatting sqref="D46:W46">
    <cfRule type="expression" dxfId="20" priority="20">
      <formula>ISNUMBER(D46)</formula>
    </cfRule>
  </conditionalFormatting>
  <conditionalFormatting sqref="E156:M160">
    <cfRule type="expression" dxfId="19" priority="197">
      <formula>NOT(ISNUMBER(E$105))</formula>
    </cfRule>
  </conditionalFormatting>
  <conditionalFormatting sqref="D186:I186">
    <cfRule type="expression" dxfId="18" priority="17">
      <formula>ISNUMBER(D186)</formula>
    </cfRule>
  </conditionalFormatting>
  <conditionalFormatting sqref="D189:L189">
    <cfRule type="expression" dxfId="17" priority="16">
      <formula>ISNUMBER(D186)</formula>
    </cfRule>
  </conditionalFormatting>
  <conditionalFormatting sqref="D105:K105">
    <cfRule type="expression" dxfId="16" priority="13">
      <formula>D$106&lt;&gt;""</formula>
    </cfRule>
  </conditionalFormatting>
  <conditionalFormatting sqref="D106:K106">
    <cfRule type="expression" dxfId="15" priority="12">
      <formula>D$106&lt;&gt;""</formula>
    </cfRule>
  </conditionalFormatting>
  <conditionalFormatting sqref="D123:K123">
    <cfRule type="expression" dxfId="14" priority="11">
      <formula>D$105&lt;&gt;""</formula>
    </cfRule>
  </conditionalFormatting>
  <conditionalFormatting sqref="D124:K124">
    <cfRule type="expression" dxfId="13" priority="10">
      <formula>D$105&lt;&gt;""</formula>
    </cfRule>
  </conditionalFormatting>
  <conditionalFormatting sqref="D138:K138">
    <cfRule type="expression" dxfId="12" priority="9">
      <formula>D$105&lt;&gt;""</formula>
    </cfRule>
  </conditionalFormatting>
  <conditionalFormatting sqref="D157">
    <cfRule type="expression" dxfId="11" priority="8">
      <formula>NOT(ISNUMBER(G124))</formula>
    </cfRule>
  </conditionalFormatting>
  <conditionalFormatting sqref="D159:D160">
    <cfRule type="expression" dxfId="10" priority="356">
      <formula>NOT(ISNUMBER(#REF!))</formula>
    </cfRule>
    <cfRule type="expression" dxfId="9" priority="357">
      <formula>ISNUMBER(#REF!)</formula>
    </cfRule>
  </conditionalFormatting>
  <conditionalFormatting sqref="D58:W58">
    <cfRule type="expression" dxfId="8" priority="5">
      <formula>ISNUMBER(D$46)</formula>
    </cfRule>
  </conditionalFormatting>
  <conditionalFormatting sqref="D159:D160">
    <cfRule type="expression" dxfId="7" priority="414">
      <formula>NOT(ISNUMBER(G125))</formula>
    </cfRule>
  </conditionalFormatting>
  <conditionalFormatting sqref="D6:K14 D16:K26 D15:L15">
    <cfRule type="expression" dxfId="6" priority="4">
      <formula>ISNUMBER(D$4)</formula>
    </cfRule>
  </conditionalFormatting>
  <conditionalFormatting sqref="D158">
    <cfRule type="expression" dxfId="5" priority="1025">
      <formula>NOT(ISNUMBER(G125))</formula>
    </cfRule>
  </conditionalFormatting>
  <conditionalFormatting sqref="D156">
    <cfRule type="expression" dxfId="4" priority="1058">
      <formula>NOT(ISNUMBER(G127))</formula>
    </cfRule>
  </conditionalFormatting>
  <conditionalFormatting sqref="D128:K128">
    <cfRule type="expression" dxfId="3" priority="3">
      <formula>D$105&lt;&gt;""</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35"/>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910</v>
      </c>
    </row>
    <row r="4" spans="2:24" x14ac:dyDescent="0.4">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5.3</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9.1</v>
      </c>
    </row>
    <row r="13" spans="2:24" x14ac:dyDescent="0.4">
      <c r="C13" s="110"/>
    </row>
    <row r="14" spans="2:24" ht="16.5" x14ac:dyDescent="0.6">
      <c r="B14" s="110" t="s">
        <v>480</v>
      </c>
      <c r="C14" s="11" t="s">
        <v>924</v>
      </c>
    </row>
    <row r="15" spans="2:24" x14ac:dyDescent="0.4">
      <c r="C15" s="2" t="s">
        <v>484</v>
      </c>
      <c r="F15" s="64" cm="1">
        <f t="array" ref="F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-1.8432263611161073</v>
      </c>
      <c r="G15" s="64" cm="1">
        <f t="array" ref="G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-2.6239061316128445</v>
      </c>
      <c r="H15" s="64" t="e" cm="1">
        <f t="array" ref="H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IF(MTP_Council_Endorsed,IF(ISNUMBER(F15),NA(),IF(Assessment!E155="",NA(),Assessment!E155)),NA()),
  IF(MTP_Council_Endorsed,IF(ISNUMBER(F15),NA(),IF(Assessment!E126="",NA(),Assessment!E126)),NA())
)</f>
        <v>#N/A</v>
      </c>
      <c r="G16" s="64" t="e">
        <f>IF(COUNTIF('Step 1 - Set global parameters'!$B$21:$G$21,TRUE)&gt;0,
  IF(MTP_Council_Endorsed,IF(ISNUMBER(G15),NA(),IF(Assessment!F155="",NA(),Assessment!F155)),NA()),
  IF(MTP_Council_Endorsed,IF(ISNUMBER(G15),NA(),IF(Assessment!F126="",NA(),Assessment!F126)),NA())
)</f>
        <v>#N/A</v>
      </c>
      <c r="H16" s="64">
        <f>IF(COUNTIF('Step 1 - Set global parameters'!$B$21:$G$21,TRUE)&gt;0,
  IF(MTP_Council_Endorsed,IF(ISNUMBER(H15),NA(),IF(Assessment!G155="",NA(),Assessment!G155)),NA()),
  IF(MTP_Council_Endorsed,IF(ISNUMBER(H15),NA(),IF(Assessment!G126="",NA(),Assessment!G126)),NA())
)</f>
        <v>-2.5692931218013437</v>
      </c>
      <c r="I16" s="64" t="e">
        <f>IF(COUNTIF('Step 1 - Set global parameters'!$B$21:$G$21,TRUE)&gt;0,
  IF(MTP_Council_Endorsed,IF(ISNUMBER(I15),NA(),IF(Assessment!H155="",NA(),Assessment!H155)),NA()),
  IF(MTP_Council_Endorsed,IF(ISNUMBER(I15),NA(),IF(Assessment!H126="",NA(),Assessment!H126)),NA())
)</f>
        <v>#N/A</v>
      </c>
      <c r="J16" s="64" t="e">
        <f>IF(COUNTIF('Step 1 - Set global parameters'!$B$21:$G$21,TRUE)&gt;0,
  IF(MTP_Council_Endorsed,IF(ISNUMBER(J15),NA(),IF(Assessment!I155="",NA(),Assessment!I155)),NA()),
  IF(MTP_Council_Endorsed,IF(ISNUMBER(J15),NA(),IF(Assessment!I126="",NA(),Assessment!I126)),NA())
)</f>
        <v>#N/A</v>
      </c>
      <c r="K16" s="64" t="e">
        <f>IF(COUNTIF('Step 1 - Set global parameters'!$B$21:$G$21,TRUE)&gt;0,
  IF(MTP_Council_Endorsed,IF(ISNUMBER(K15),NA(),IF(Assessment!J155="",NA(),Assessment!J155)),NA()),
  IF(MTP_Council_Endorsed,IF(ISNUMBER(K15),NA(),IF(Assessment!J126="",NA(),Assessment!J126)),NA())
)</f>
        <v>#N/A</v>
      </c>
      <c r="L16" s="64" t="e">
        <f>IF(COUNTIF('Step 1 - Set global parameters'!$B$21:$G$21,TRUE)&gt;0,
  IF(MTP_Council_Endorsed,IF(ISNUMBER(L15),NA(),IF(Assessment!K155="",NA(),Assessment!K155)),NA()),
  IF(MTP_Council_Endorsed,IF(ISNUMBER(L15),NA(),IF(Assessment!K126="",NA(),Assessment!K126)),NA())
)</f>
        <v>#N/A</v>
      </c>
      <c r="M16" s="64" t="e">
        <f>IF(COUNTIF('Step 1 - Set global parameters'!$B$21:$G$21,TRUE)&gt;0,
  IF(MTP_Council_Endorsed,IF(ISNUMBER(M15),NA(),IF(Assessment!L155="",NA(),Assessment!L155)),NA()),
  IF(MTP_Council_Endorsed,IF(ISNUMBER(M15),NA(),IF(Assessment!L126="",NA(),Assessment!L126)),NA())
)</f>
        <v>#N/A</v>
      </c>
      <c r="N16" s="64" t="e">
        <f>IF(COUNTIF('Step 1 - Set global parameters'!$B$21:$G$21,TRUE)&gt;0,
  IF(MTP_Council_Endorsed,IF(ISNUMBER(N15),NA(),IF(Assessment!M155="",NA(),Assessment!M155)),NA()),
  IF(MTP_Council_Endorsed,IF(ISNUMBER(N15),NA(),IF(Assessment!M126="",NA(),Assessment!M126)),NA())
)</f>
        <v>#N/A</v>
      </c>
      <c r="O16" s="64" t="e">
        <f>IF(COUNTIF('Step 1 - Set global parameters'!$B$21:$G$21,TRUE)&gt;0,
  IF(MTP_Council_Endorsed,IF(ISNUMBER(O15),NA(),IF(Assessment!N155="",NA(),Assessment!N155)),NA()),
  IF(MTP_Council_Endorsed,IF(ISNUMBER(O15),NA(),IF(Assessment!N126="",NA(),Assessment!N126)),NA())
)</f>
        <v>#N/A</v>
      </c>
      <c r="P16" s="64" t="e">
        <f>IF(COUNTIF('Step 1 - Set global parameters'!$B$21:$G$21,TRUE)&gt;0,
  IF(MTP_Council_Endorsed,IF(ISNUMBER(P15),NA(),IF(Assessment!O155="",NA(),Assessment!O155)),NA()),
  IF(MTP_Council_Endorsed,IF(ISNUMBER(P15),NA(),IF(Assessment!O126="",NA(),Assessment!O126)),NA())
)</f>
        <v>#N/A</v>
      </c>
      <c r="Q16" s="64" t="e">
        <f>IF(COUNTIF('Step 1 - Set global parameters'!$B$21:$G$21,TRUE)&gt;0,
  IF(MTP_Council_Endorsed,IF(ISNUMBER(Q15),NA(),IF(Assessment!P155="",NA(),Assessment!P155)),NA()),
  IF(MTP_Council_Endorsed,IF(ISNUMBER(Q15),NA(),IF(Assessment!P126="",NA(),Assessment!P126)),NA())
)</f>
        <v>#N/A</v>
      </c>
      <c r="R16" s="64" t="e">
        <f>IF(COUNTIF('Step 1 - Set global parameters'!$B$21:$G$21,TRUE)&gt;0,
  IF(MTP_Council_Endorsed,IF(ISNUMBER(R15),NA(),IF(Assessment!Q155="",NA(),Assessment!Q155)),NA()),
  IF(MTP_Council_Endorsed,IF(ISNUMBER(R15),NA(),IF(Assessment!Q126="",NA(),Assessment!Q126)),NA())
)</f>
        <v>#N/A</v>
      </c>
      <c r="S16" s="64" t="e">
        <f>IF(COUNTIF('Step 1 - Set global parameters'!$B$21:$G$21,TRUE)&gt;0,
  IF(MTP_Council_Endorsed,IF(ISNUMBER(S15),NA(),IF(Assessment!R155="",NA(),Assessment!R155)),NA()),
  IF(MTP_Council_Endorsed,IF(ISNUMBER(S15),NA(),IF(Assessment!R126="",NA(),Assessment!R126)),NA())
)</f>
        <v>#N/A</v>
      </c>
      <c r="T16" s="64" t="e">
        <f>IF(COUNTIF('Step 1 - Set global parameters'!$B$21:$G$21,TRUE)&gt;0,
  IF(MTP_Council_Endorsed,IF(ISNUMBER(T15),NA(),IF(Assessment!S155="",NA(),Assessment!S155)),NA()),
  IF(MTP_Council_Endorsed,IF(ISNUMBER(T15),NA(),IF(Assessment!S126="",NA(),Assessment!S126)),NA())
)</f>
        <v>#N/A</v>
      </c>
      <c r="U16" s="64" t="e">
        <f>IF(COUNTIF('Step 1 - Set global parameters'!$B$21:$G$21,TRUE)&gt;0,
  IF(MTP_Council_Endorsed,IF(ISNUMBER(U15),NA(),IF(Assessment!T155="",NA(),Assessment!T155)),NA()),
  IF(MTP_Council_Endorsed,IF(ISNUMBER(U15),NA(),IF(Assessment!T126="",NA(),Assessment!T126)),NA())
)</f>
        <v>#N/A</v>
      </c>
      <c r="V16" s="64" t="e">
        <f>IF(COUNTIF('Step 1 - Set global parameters'!$B$21:$G$21,TRUE)&gt;0,
  IF(MTP_Council_Endorsed,IF(ISNUMBER(V15),NA(),IF(Assessment!U155="",NA(),Assessment!U155)),NA()),
  IF(MTP_Council_Endorsed,IF(ISNUMBER(V15),NA(),IF(Assessment!U126="",NA(),Assessment!U126)),NA())
)</f>
        <v>#N/A</v>
      </c>
      <c r="W16" s="64" t="e">
        <f>IF(COUNTIF('Step 1 - Set global parameters'!$B$21:$G$21,TRUE)&gt;0,
  IF(MTP_Council_Endorsed,IF(ISNUMBER(W15),NA(),IF(Assessment!V155="",NA(),Assessment!V155)),NA()),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568</v>
      </c>
      <c r="F18" s="64">
        <f>IF(COUNTIF('Step 1 - Set global parameters'!$B$21:$G$21,TRUE)&gt;0,
  IF(MTP_Council_Endorsed,IF(NOT(Assessment!E156),IF(Assessment!E153&lt;=0,Assessment!E153,NA()),NA()),NA()),
  IF(MTP_Council_Endorsed,IF(NOT(Assessment!E138),IF(Assessment!E125&lt;=0,Assessment!E125,NA()),NA()),NA())
)</f>
        <v>-1.6282262258224094</v>
      </c>
      <c r="G18" s="64" t="e">
        <f>IF(COUNTIF('Step 1 - Set global parameters'!$B$21:$G$21,TRUE)&gt;0,
  IF(MTP_Council_Endorsed,IF(NOT(Assessment!F156),IF(Assessment!F153&lt;=0,Assessment!F153,NA()),NA()),NA()),
  IF(MTP_Council_Endorsed,IF(NOT(Assessment!F138),IF(Assessment!F125&lt;=0,Assessment!F125,NA()),NA()),NA())
)</f>
        <v>#N/A</v>
      </c>
      <c r="H18" s="64" t="e">
        <f>IF(COUNTIF('Step 1 - Set global parameters'!$B$21:$G$21,TRUE)&gt;0,
  IF(MTP_Council_Endorsed,IF(NOT(Assessment!G156),IF(Assessment!G153&lt;=0,Assessment!G153,NA()),NA()),NA()),
  IF(MTP_Council_Endorsed,IF(NOT(Assessment!G138),IF(Assessment!G125&lt;=0,Assessment!G125,NA()),NA()),NA())
)</f>
        <v>#N/A</v>
      </c>
      <c r="I18" s="64" t="e">
        <f>IF(COUNTIF('Step 1 - Set global parameters'!$B$21:$G$21,TRUE)&gt;0,
  IF(MTP_Council_Endorsed,IF(NOT(Assessment!H156),IF(Assessment!H153&lt;=0,Assessment!H153,NA()),NA()),NA()),
  IF(MTP_Council_Endorsed,IF(NOT(Assessment!H138),IF(Assessment!H125&lt;=0,Assessment!H125,NA()),NA()),NA())
)</f>
        <v>#N/A</v>
      </c>
      <c r="J18" s="64" t="e">
        <f>IF(COUNTIF('Step 1 - Set global parameters'!$B$21:$G$21,TRUE)&gt;0,
  IF(MTP_Council_Endorsed,IF(NOT(Assessment!I156),IF(Assessment!I153&lt;=0,Assessment!I153,NA()),NA()),NA()),
  IF(MTP_Council_Endorsed,IF(NOT(Assessment!I138),IF(Assessment!I125&lt;=0,Assessment!I125,NA()),NA()),NA())
)</f>
        <v>#N/A</v>
      </c>
      <c r="K18" s="64" t="e">
        <f>IF(COUNTIF('Step 1 - Set global parameters'!$B$21:$G$21,TRUE)&gt;0,
  IF(MTP_Council_Endorsed,IF(NOT(Assessment!J156),IF(Assessment!J153&lt;=0,Assessment!J153,NA()),NA()),NA()),
  IF(MTP_Council_Endorsed,IF(NOT(Assessment!J138),IF(Assessment!J125&lt;=0,Assessment!J125,NA()),NA()),NA())
)</f>
        <v>#N/A</v>
      </c>
      <c r="L18" s="64">
        <f>IF(COUNTIF('Step 1 - Set global parameters'!$B$21:$G$21,TRUE)&gt;0,
  IF(MTP_Council_Endorsed,IF(NOT(Assessment!K156),IF(Assessment!K153&lt;=0,Assessment!K153,NA()),NA()),NA()),
  IF(MTP_Council_Endorsed,IF(NOT(Assessment!K138),IF(Assessment!K125&lt;=0,Assessment!K125,NA()),NA()),NA())
)</f>
        <v>0</v>
      </c>
      <c r="M18" s="64">
        <f>IF(COUNTIF('Step 1 - Set global parameters'!$B$21:$G$21,TRUE)&gt;0,
  IF(MTP_Council_Endorsed,IF(NOT(Assessment!L156),IF(Assessment!L153&lt;=0,Assessment!L153,NA()),NA()),NA()),
  IF(MTP_Council_Endorsed,IF(NOT(Assessment!L138),IF(Assessment!L125&lt;=0,Assessment!L125,NA()),NA()),NA())
)</f>
        <v>0</v>
      </c>
      <c r="N18" s="64">
        <f>IF(COUNTIF('Step 1 - Set global parameters'!$B$21:$G$21,TRUE)&gt;0,
  IF(MTP_Council_Endorsed,IF(NOT(Assessment!M156),IF(Assessment!M153&lt;=0,Assessment!M153,NA()),NA()),NA()),
  IF(MTP_Council_Endorsed,IF(NOT(Assessment!M138),IF(Assessment!M125&lt;=0,Assessment!M125,NA()),NA()),NA())
)</f>
        <v>0</v>
      </c>
      <c r="O18" s="64">
        <f>IF(COUNTIF('Step 1 - Set global parameters'!$B$21:$G$21,TRUE)&gt;0,
  IF(MTP_Council_Endorsed,IF(NOT(Assessment!N156),IF(Assessment!N153&lt;=0,Assessment!N153,NA()),NA()),NA()),
  IF(MTP_Council_Endorsed,IF(NOT(Assessment!N138),IF(Assessment!N125&lt;=0,Assessment!N125,NA()),NA()),NA())
)</f>
        <v>0</v>
      </c>
      <c r="P18" s="64">
        <f>IF(COUNTIF('Step 1 - Set global parameters'!$B$21:$G$21,TRUE)&gt;0,
  IF(MTP_Council_Endorsed,IF(NOT(Assessment!O156),IF(Assessment!O153&lt;=0,Assessment!O153,NA()),NA()),NA()),
  IF(MTP_Council_Endorsed,IF(NOT(Assessment!O138),IF(Assessment!O125&lt;=0,Assessment!O125,NA()),NA()),NA())
)</f>
        <v>0</v>
      </c>
      <c r="Q18" s="64">
        <f>IF(COUNTIF('Step 1 - Set global parameters'!$B$21:$G$21,TRUE)&gt;0,
  IF(MTP_Council_Endorsed,IF(NOT(Assessment!P156),IF(Assessment!P153&lt;=0,Assessment!P153,NA()),NA()),NA()),
  IF(MTP_Council_Endorsed,IF(NOT(Assessment!P138),IF(Assessment!P125&lt;=0,Assessment!P125,NA()),NA()),NA())
)</f>
        <v>0</v>
      </c>
      <c r="R18" s="64">
        <f>IF(COUNTIF('Step 1 - Set global parameters'!$B$21:$G$21,TRUE)&gt;0,
  IF(MTP_Council_Endorsed,IF(NOT(Assessment!Q156),IF(Assessment!Q153&lt;=0,Assessment!Q153,NA()),NA()),NA()),
  IF(MTP_Council_Endorsed,IF(NOT(Assessment!Q138),IF(Assessment!Q125&lt;=0,Assessment!Q125,NA()),NA()),NA())
)</f>
        <v>0</v>
      </c>
      <c r="S18" s="64">
        <f>IF(COUNTIF('Step 1 - Set global parameters'!$B$21:$G$21,TRUE)&gt;0,
  IF(MTP_Council_Endorsed,IF(NOT(Assessment!R156),IF(Assessment!R153&lt;=0,Assessment!R153,NA()),NA()),NA()),
  IF(MTP_Council_Endorsed,IF(NOT(Assessment!R138),IF(Assessment!R125&lt;=0,Assessment!R125,NA()),NA()),NA())
)</f>
        <v>0</v>
      </c>
      <c r="T18" s="64">
        <f>IF(COUNTIF('Step 1 - Set global parameters'!$B$21:$G$21,TRUE)&gt;0,
  IF(MTP_Council_Endorsed,IF(NOT(Assessment!S156),IF(Assessment!S153&lt;=0,Assessment!S153,NA()),NA()),NA()),
  IF(MTP_Council_Endorsed,IF(NOT(Assessment!S138),IF(Assessment!S125&lt;=0,Assessment!S125,NA()),NA()),NA())
)</f>
        <v>0</v>
      </c>
      <c r="U18" s="64">
        <f>IF(COUNTIF('Step 1 - Set global parameters'!$B$21:$G$21,TRUE)&gt;0,
  IF(MTP_Council_Endorsed,IF(NOT(Assessment!T156),IF(Assessment!T153&lt;=0,Assessment!T153,NA()),NA()),NA()),
  IF(MTP_Council_Endorsed,IF(NOT(Assessment!T138),IF(Assessment!T125&lt;=0,Assessment!T125,NA()),NA()),NA())
)</f>
        <v>0</v>
      </c>
      <c r="V18" s="64">
        <f>IF(COUNTIF('Step 1 - Set global parameters'!$B$21:$G$21,TRUE)&gt;0,
  IF(MTP_Council_Endorsed,IF(NOT(Assessment!U156),IF(Assessment!U153&lt;=0,Assessment!U153,NA()),NA()),NA()),
  IF(MTP_Council_Endorsed,IF(NOT(Assessment!U138),IF(Assessment!U125&lt;=0,Assessment!U125,NA()),NA()),NA())
)</f>
        <v>0</v>
      </c>
      <c r="W18" s="64">
        <f>IF(COUNTIF('Step 1 - Set global parameters'!$B$21:$G$21,TRUE)&gt;0,
  IF(MTP_Council_Endorsed,IF(NOT(Assessment!V156),IF(Assessment!V153&lt;=0,Assessment!V153,NA()),NA()),NA()),
  IF(MTP_Council_Endorsed,IF(NOT(Assessment!V138),IF(Assessment!V125&lt;=0,Assessment!V125,NA()),NA()),NA())
)</f>
        <v>0</v>
      </c>
    </row>
    <row r="19" spans="2:23" x14ac:dyDescent="0.4">
      <c r="C19" s="2" t="s">
        <v>569</v>
      </c>
      <c r="F19" s="64" t="e">
        <f>IF(COUNTIF('Step 1 - Set global parameters'!$B$21:$G$21,TRUE)&gt;0,
  IF(MTP_Council_Endorsed,IF(NOT(Assessment!E156),IF(Assessment!E153&gt;0,Assessment!E153,NA()),NA()),NA()),
  IF(MTP_Council_Endorsed,IF(NOT(Assessment!E138),IF(Assessment!E125&gt;0,Assessment!E125,NA()),NA()),NA())
)</f>
        <v>#N/A</v>
      </c>
      <c r="G19" s="64" t="e">
        <f>IF(COUNTIF('Step 1 - Set global parameters'!$B$21:$G$21,TRUE)&gt;0,
  IF(MTP_Council_Endorsed,IF(NOT(Assessment!F156),IF(Assessment!F153&gt;0,Assessment!F153,NA()),NA()),NA()),
  IF(MTP_Council_Endorsed,IF(NOT(Assessment!F138),IF(Assessment!F125&gt;0,Assessment!F125,NA()),NA()),NA())
)</f>
        <v>#N/A</v>
      </c>
      <c r="H19" s="64" t="e">
        <f>IF(COUNTIF('Step 1 - Set global parameters'!$B$21:$G$21,TRUE)&gt;0,
  IF(MTP_Council_Endorsed,IF(NOT(Assessment!G156),IF(Assessment!G153&gt;0,Assessment!G153,NA()),NA()),NA()),
  IF(MTP_Council_Endorsed,IF(NOT(Assessment!G138),IF(Assessment!G125&gt;0,Assessment!G125,NA()),NA()),NA())
)</f>
        <v>#N/A</v>
      </c>
      <c r="I19" s="64" t="e">
        <f>IF(COUNTIF('Step 1 - Set global parameters'!$B$21:$G$21,TRUE)&gt;0,
  IF(MTP_Council_Endorsed,IF(NOT(Assessment!H156),IF(Assessment!H153&gt;0,Assessment!H153,NA()),NA()),NA()),
  IF(MTP_Council_Endorsed,IF(NOT(Assessment!H138),IF(Assessment!H125&gt;0,Assessment!H125,NA()),NA()),NA())
)</f>
        <v>#N/A</v>
      </c>
      <c r="J19" s="64" t="e">
        <f>IF(COUNTIF('Step 1 - Set global parameters'!$B$21:$G$21,TRUE)&gt;0,
  IF(MTP_Council_Endorsed,IF(NOT(Assessment!I156),IF(Assessment!I153&gt;0,Assessment!I153,NA()),NA()),NA()),
  IF(MTP_Council_Endorsed,IF(NOT(Assessment!I138),IF(Assessment!I125&gt;0,Assessment!I125,NA()),NA()),NA())
)</f>
        <v>#N/A</v>
      </c>
      <c r="K19" s="64" t="str">
        <f>IF(COUNTIF('Step 1 - Set global parameters'!$B$21:$G$21,TRUE)&gt;0,
  IF(MTP_Council_Endorsed,IF(NOT(Assessment!J156),IF(Assessment!J153&gt;0,Assessment!J153,NA()),NA()),NA()),
  IF(MTP_Council_Endorsed,IF(NOT(Assessment!J138),IF(Assessment!J125&gt;0,Assessment!J125,NA()),NA()),NA())
)</f>
        <v/>
      </c>
      <c r="L19" s="64" t="e">
        <f>IF(COUNTIF('Step 1 - Set global parameters'!$B$21:$G$21,TRUE)&gt;0,
  IF(MTP_Council_Endorsed,IF(NOT(Assessment!K156),IF(Assessment!K153&gt;0,Assessment!K153,NA()),NA()),NA()),
  IF(MTP_Council_Endorsed,IF(NOT(Assessment!K138),IF(Assessment!K125&gt;0,Assessment!K125,NA()),NA()),NA())
)</f>
        <v>#N/A</v>
      </c>
      <c r="M19" s="64" t="e">
        <f>IF(COUNTIF('Step 1 - Set global parameters'!$B$21:$G$21,TRUE)&gt;0,
  IF(MTP_Council_Endorsed,IF(NOT(Assessment!L156),IF(Assessment!L153&gt;0,Assessment!L153,NA()),NA()),NA()),
  IF(MTP_Council_Endorsed,IF(NOT(Assessment!L138),IF(Assessment!L125&gt;0,Assessment!L125,NA()),NA()),NA())
)</f>
        <v>#N/A</v>
      </c>
      <c r="N19" s="64" t="e">
        <f>IF(COUNTIF('Step 1 - Set global parameters'!$B$21:$G$21,TRUE)&gt;0,
  IF(MTP_Council_Endorsed,IF(NOT(Assessment!M156),IF(Assessment!M153&gt;0,Assessment!M153,NA()),NA()),NA()),
  IF(MTP_Council_Endorsed,IF(NOT(Assessment!M138),IF(Assessment!M125&gt;0,Assessment!M125,NA()),NA()),NA())
)</f>
        <v>#N/A</v>
      </c>
      <c r="O19" s="64" t="e">
        <f>IF(COUNTIF('Step 1 - Set global parameters'!$B$21:$G$21,TRUE)&gt;0,
  IF(MTP_Council_Endorsed,IF(NOT(Assessment!N156),IF(Assessment!N153&gt;0,Assessment!N153,NA()),NA()),NA()),
  IF(MTP_Council_Endorsed,IF(NOT(Assessment!N138),IF(Assessment!N125&gt;0,Assessment!N125,NA()),NA()),NA())
)</f>
        <v>#N/A</v>
      </c>
      <c r="P19" s="64" t="e">
        <f>IF(COUNTIF('Step 1 - Set global parameters'!$B$21:$G$21,TRUE)&gt;0,
  IF(MTP_Council_Endorsed,IF(NOT(Assessment!O156),IF(Assessment!O153&gt;0,Assessment!O153,NA()),NA()),NA()),
  IF(MTP_Council_Endorsed,IF(NOT(Assessment!O138),IF(Assessment!O125&gt;0,Assessment!O125,NA()),NA()),NA())
)</f>
        <v>#N/A</v>
      </c>
      <c r="Q19" s="64" t="e">
        <f>IF(COUNTIF('Step 1 - Set global parameters'!$B$21:$G$21,TRUE)&gt;0,
  IF(MTP_Council_Endorsed,IF(NOT(Assessment!P156),IF(Assessment!P153&gt;0,Assessment!P153,NA()),NA()),NA()),
  IF(MTP_Council_Endorsed,IF(NOT(Assessment!P138),IF(Assessment!P125&gt;0,Assessment!P125,NA()),NA()),NA())
)</f>
        <v>#N/A</v>
      </c>
      <c r="R19" s="64" t="e">
        <f>IF(COUNTIF('Step 1 - Set global parameters'!$B$21:$G$21,TRUE)&gt;0,
  IF(MTP_Council_Endorsed,IF(NOT(Assessment!Q156),IF(Assessment!Q153&gt;0,Assessment!Q153,NA()),NA()),NA()),
  IF(MTP_Council_Endorsed,IF(NOT(Assessment!Q138),IF(Assessment!Q125&gt;0,Assessment!Q125,NA()),NA()),NA())
)</f>
        <v>#N/A</v>
      </c>
      <c r="S19" s="64" t="e">
        <f>IF(COUNTIF('Step 1 - Set global parameters'!$B$21:$G$21,TRUE)&gt;0,
  IF(MTP_Council_Endorsed,IF(NOT(Assessment!R156),IF(Assessment!R153&gt;0,Assessment!R153,NA()),NA()),NA()),
  IF(MTP_Council_Endorsed,IF(NOT(Assessment!R138),IF(Assessment!R125&gt;0,Assessment!R125,NA()),NA()),NA())
)</f>
        <v>#N/A</v>
      </c>
      <c r="T19" s="64" t="e">
        <f>IF(COUNTIF('Step 1 - Set global parameters'!$B$21:$G$21,TRUE)&gt;0,
  IF(MTP_Council_Endorsed,IF(NOT(Assessment!S156),IF(Assessment!S153&gt;0,Assessment!S153,NA()),NA()),NA()),
  IF(MTP_Council_Endorsed,IF(NOT(Assessment!S138),IF(Assessment!S125&gt;0,Assessment!S125,NA()),NA()),NA())
)</f>
        <v>#N/A</v>
      </c>
      <c r="U19" s="64" t="e">
        <f>IF(COUNTIF('Step 1 - Set global parameters'!$B$21:$G$21,TRUE)&gt;0,
  IF(MTP_Council_Endorsed,IF(NOT(Assessment!T156),IF(Assessment!T153&gt;0,Assessment!T153,NA()),NA()),NA()),
  IF(MTP_Council_Endorsed,IF(NOT(Assessment!T138),IF(Assessment!T125&gt;0,Assessment!T125,NA()),NA()),NA())
)</f>
        <v>#N/A</v>
      </c>
      <c r="V19" s="64" t="e">
        <f>IF(COUNTIF('Step 1 - Set global parameters'!$B$21:$G$21,TRUE)&gt;0,
  IF(MTP_Council_Endorsed,IF(NOT(Assessment!U156),IF(Assessment!U153&gt;0,Assessment!U153,NA()),NA()),NA()),
  IF(MTP_Council_Endorsed,IF(NOT(Assessment!U138),IF(Assessment!U125&gt;0,Assessment!U125,NA()),NA()),NA())
)</f>
        <v>#N/A</v>
      </c>
      <c r="W19" s="64" t="e">
        <f>IF(COUNTIF('Step 1 - Set global parameters'!$B$21:$G$21,TRUE)&gt;0,
  IF(MTP_Council_Endorsed,IF(NOT(Assessment!V156),IF(Assessment!V153&gt;0,Assessment!V153,NA()),NA()),NA()),
  IF(MTP_Council_Endorsed,IF(NOT(Assessment!V138),IF(Assessment!V125&gt;0,Assessment!V125,NA()),NA()),NA())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641</v>
      </c>
      <c r="F21" s="64" t="e">
        <f>IF(MTP_Council_Endorsed,IF(Assessment!E156,Assessment!E153,NA()),NA())</f>
        <v>#N/A</v>
      </c>
      <c r="G21" s="64">
        <f>IF(MTP_Council_Endorsed,IF(Assessment!F156,Assessment!F153,NA()),NA())</f>
        <v>-0.42200029284483015</v>
      </c>
      <c r="H21" s="64">
        <f>IF(MTP_Council_Endorsed,IF(Assessment!G156,Assessment!G153,NA()),NA())</f>
        <v>0</v>
      </c>
      <c r="I21" s="64" t="str">
        <f>IF(MTP_Council_Endorsed,IF(Assessment!H156,Assessment!H153,NA()),NA())</f>
        <v/>
      </c>
      <c r="J21" s="64" t="str">
        <f>IF(MTP_Council_Endorsed,IF(Assessment!I156,Assessment!I153,NA()),NA())</f>
        <v/>
      </c>
      <c r="K21" s="64" t="e">
        <f>IF(MTP_Council_Endorsed,IF(Assessment!J156,Assessment!J153,NA()),NA())</f>
        <v>#N/A</v>
      </c>
      <c r="L21" s="64" t="e">
        <f>IF(MTP_Council_Endorsed,IF(Assessment!K156,Assessment!K153,NA()),NA())</f>
        <v>#N/A</v>
      </c>
      <c r="M21" s="64" t="e">
        <f>IF(MTP_Council_Endorsed,IF(Assessment!L156,Assessment!L153,NA()),NA())</f>
        <v>#N/A</v>
      </c>
      <c r="N21" s="64" t="e">
        <f>IF(MTP_Council_Endorsed,IF(Assessment!M156,Assessment!M153,NA()),NA())</f>
        <v>#N/A</v>
      </c>
      <c r="O21" s="64" t="e">
        <f>IF(MTP_Council_Endorsed,IF(Assessment!N156,Assessment!N153,NA()),NA())</f>
        <v>#N/A</v>
      </c>
      <c r="P21" s="64" t="e">
        <f>IF(MTP_Council_Endorsed,IF(Assessment!O156,Assessment!O153,NA()),NA())</f>
        <v>#N/A</v>
      </c>
      <c r="Q21" s="64" t="e">
        <f>IF(MTP_Council_Endorsed,IF(Assessment!P156,Assessment!P153,NA()),NA())</f>
        <v>#N/A</v>
      </c>
      <c r="R21" s="64" t="e">
        <f>IF(MTP_Council_Endorsed,IF(Assessment!Q156,Assessment!Q153,NA()),NA())</f>
        <v>#N/A</v>
      </c>
      <c r="S21" s="64" t="e">
        <f>IF(MTP_Council_Endorsed,IF(Assessment!R156,Assessment!R153,NA()),NA())</f>
        <v>#N/A</v>
      </c>
      <c r="T21" s="64" t="e">
        <f>IF(MTP_Council_Endorsed,IF(Assessment!S156,Assessment!S153,NA()),NA())</f>
        <v>#N/A</v>
      </c>
      <c r="U21" s="64" t="e">
        <f>IF(MTP_Council_Endorsed,IF(Assessment!T156,Assessment!T153,NA()),NA())</f>
        <v>#N/A</v>
      </c>
      <c r="V21" s="64" t="e">
        <f>IF(MTP_Council_Endorsed,IF(Assessment!U156,Assessment!U153,NA()),NA())</f>
        <v>#N/A</v>
      </c>
      <c r="W21" s="64" t="e">
        <f>IF(MTP_Council_Endorsed,IF(Assessment!V156,Assessment!V153,NA()),NA())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-2.6239061316128445</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920</v>
      </c>
    </row>
    <row r="29" spans="2:23" x14ac:dyDescent="0.4">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47.9</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921</v>
      </c>
      <c r="F38" s="9"/>
      <c r="G38" s="9"/>
      <c r="H38" s="9"/>
      <c r="I38" s="9"/>
      <c r="J38" s="9"/>
      <c r="K38" s="9"/>
      <c r="L38" s="9"/>
      <c r="M38" s="9"/>
      <c r="N38" s="9"/>
      <c r="O38" s="9"/>
      <c r="P38" s="9"/>
      <c r="Q38" s="9"/>
      <c r="R38" s="9"/>
      <c r="S38" s="9"/>
      <c r="T38" s="9"/>
      <c r="U38" s="9"/>
      <c r="V38" s="9"/>
      <c r="W38" s="9"/>
    </row>
    <row r="39" spans="2:23" x14ac:dyDescent="0.4">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4">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922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-1.3</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-1.41309</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923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0.9</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3.1896844248388225</v>
      </c>
    </row>
    <row r="68" spans="2:23" x14ac:dyDescent="0.4">
      <c r="C68" s="110"/>
      <c r="D68" s="4"/>
    </row>
    <row r="69" spans="2:23" ht="14.25" customHeight="1" x14ac:dyDescent="0.6">
      <c r="B69" s="136" t="s">
        <v>570</v>
      </c>
      <c r="C69" s="11" t="s">
        <v>919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0.11308999999999991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571</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4">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572</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4">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47.9</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573</v>
      </c>
      <c r="C95" s="11" t="s">
        <v>292</v>
      </c>
    </row>
    <row r="96" spans="2:23" x14ac:dyDescent="0.4">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44.430318318075436</v>
      </c>
      <c r="F111" s="88">
        <f>IF(Assessment!E20="",NA(),Assessment!E20)</f>
        <v>46.249535696627248</v>
      </c>
      <c r="G111" s="88">
        <f>IF(Assessment!F20="",NA(),Assessment!F20)</f>
        <v>46.887477862325753</v>
      </c>
      <c r="H111" s="88">
        <f>IF(Assessment!G20="",NA(),Assessment!G20)</f>
        <v>47.9</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585</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5.3</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5.3</v>
      </c>
    </row>
    <row r="122" spans="2:23" ht="13.5" customHeight="1" x14ac:dyDescent="0.6">
      <c r="C122" s="11"/>
    </row>
    <row r="123" spans="2:23" ht="16.5" x14ac:dyDescent="0.6">
      <c r="B123" s="110" t="s">
        <v>586</v>
      </c>
      <c r="C123" s="11" t="s">
        <v>389</v>
      </c>
    </row>
    <row r="124" spans="2:23" x14ac:dyDescent="0.4">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-1.3</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-1.41309</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-0.16246599999999989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574</v>
      </c>
      <c r="C133" s="11" t="s">
        <v>575</v>
      </c>
    </row>
    <row r="134" spans="2:23" ht="13.5" customHeight="1" x14ac:dyDescent="0.4">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681</v>
      </c>
      <c r="F140" s="106"/>
      <c r="G140" s="106">
        <v>-1</v>
      </c>
      <c r="H140" s="106">
        <v>-1</v>
      </c>
      <c r="I140" s="106">
        <v>-1</v>
      </c>
      <c r="J140" s="106">
        <v>-1.5</v>
      </c>
      <c r="K140" s="106">
        <v>-1.5</v>
      </c>
      <c r="L140" s="106">
        <v>-1.5</v>
      </c>
      <c r="M140" s="106">
        <v>-1.5</v>
      </c>
      <c r="N140" s="106">
        <v>-1.5</v>
      </c>
      <c r="O140" s="106">
        <v>-1.5</v>
      </c>
      <c r="P140" s="106">
        <v>-1.5</v>
      </c>
      <c r="Q140" s="106">
        <v>-1.5</v>
      </c>
      <c r="R140" s="106">
        <v>-1.5</v>
      </c>
      <c r="S140" s="106">
        <v>-1.5</v>
      </c>
      <c r="T140" s="106">
        <v>-1.5</v>
      </c>
      <c r="U140" s="106">
        <v>-1</v>
      </c>
      <c r="V140" s="106">
        <v>-1</v>
      </c>
      <c r="W140" s="106">
        <v>-1</v>
      </c>
    </row>
    <row r="141" spans="2:23" x14ac:dyDescent="0.4">
      <c r="C141" s="110" t="s">
        <v>564</v>
      </c>
      <c r="D141" s="4">
        <f>IF(_xlfn.AGGREGATE(5,6,F134:W139)&lt;0, _xlfn.AGGREGATE(5,6,F134:W139), 0)</f>
        <v>-2.7</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-1.3087</v>
      </c>
    </row>
    <row r="143" spans="2:23" ht="13.5" customHeight="1" x14ac:dyDescent="0.4"/>
    <row r="144" spans="2:23" ht="13.5" customHeight="1" x14ac:dyDescent="0.4"/>
    <row r="145" ht="13.5" customHeight="1" x14ac:dyDescent="0.4"/>
    <row r="146" ht="13.5" customHeight="1" x14ac:dyDescent="0.4"/>
    <row r="147" ht="13.5" customHeight="1" x14ac:dyDescent="0.4"/>
    <row r="148" ht="13.5" customHeight="1" x14ac:dyDescent="0.4"/>
    <row r="149" ht="13.5" customHeight="1" x14ac:dyDescent="0.4"/>
    <row r="150" ht="13.5" customHeight="1" x14ac:dyDescent="0.4"/>
    <row r="151" ht="13.5" customHeight="1" x14ac:dyDescent="0.4"/>
    <row r="152" ht="13.5" customHeight="1" x14ac:dyDescent="0.4"/>
    <row r="153" ht="13.5" customHeight="1" x14ac:dyDescent="0.4"/>
    <row r="154" ht="13.5" customHeight="1" x14ac:dyDescent="0.4"/>
    <row r="155" ht="13.5" customHeight="1" x14ac:dyDescent="0.4"/>
    <row r="156" ht="13.5" customHeight="1" x14ac:dyDescent="0.4"/>
    <row r="157" ht="13.5" customHeight="1" x14ac:dyDescent="0.4"/>
    <row r="158" ht="13.5" customHeight="1" x14ac:dyDescent="0.4"/>
    <row r="159" ht="13.5" customHeight="1" x14ac:dyDescent="0.4"/>
    <row r="160"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sheetData>
  <conditionalFormatting sqref="E2:Z2">
    <cfRule type="expression" dxfId="2" priority="6">
      <formula>ISNUMBER(E2)</formula>
    </cfRule>
  </conditionalFormatting>
  <conditionalFormatting sqref="U3:U143">
    <cfRule type="expression" dxfId="1" priority="3">
      <formula>NOT(ISNUMBER(U$2))</formula>
    </cfRule>
  </conditionalFormatting>
  <conditionalFormatting sqref="V3:W14 V16:W143 V15:X15">
    <cfRule type="expression" dxfId="0" priority="2">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582</v>
      </c>
      <c r="I2" s="124" t="s">
        <v>687</v>
      </c>
      <c r="J2" s="124" t="s">
        <v>624</v>
      </c>
      <c r="K2" s="124" t="s">
        <v>242</v>
      </c>
      <c r="L2" s="124" t="s">
        <v>692</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726</v>
      </c>
      <c r="H3" s="18" t="s">
        <v>583</v>
      </c>
      <c r="I3" s="18" t="s">
        <v>688</v>
      </c>
      <c r="J3" s="5" t="b">
        <v>1</v>
      </c>
      <c r="K3" s="5" t="s">
        <v>925</v>
      </c>
      <c r="L3" t="s">
        <v>271</v>
      </c>
      <c r="M3" s="5" t="s">
        <v>926</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727</v>
      </c>
      <c r="H4" s="18" t="s">
        <v>584</v>
      </c>
      <c r="I4" s="18" t="s">
        <v>724</v>
      </c>
      <c r="J4" s="5" t="b">
        <v>0</v>
      </c>
      <c r="K4" s="18" t="s">
        <v>216</v>
      </c>
      <c r="L4" s="14" t="s">
        <v>693</v>
      </c>
      <c r="M4" s="18" t="s">
        <v>411</v>
      </c>
      <c r="P4" t="s">
        <v>248</v>
      </c>
      <c r="Q4" s="161">
        <f>AdjustmentPeriodEnd+AdjustmentPeriod+1</f>
        <v>2033</v>
      </c>
      <c r="S4" s="157" t="s">
        <v>731</v>
      </c>
      <c r="T4">
        <v>2025</v>
      </c>
      <c r="U4"/>
      <c r="V4"/>
    </row>
    <row r="5" spans="1:22" x14ac:dyDescent="0.4">
      <c r="A5" s="125">
        <v>2024</v>
      </c>
      <c r="B5" s="125">
        <v>5</v>
      </c>
      <c r="C5" s="18"/>
      <c r="D5" s="18" t="s">
        <v>271</v>
      </c>
      <c r="E5" s="18"/>
      <c r="F5" s="18" t="s">
        <v>271</v>
      </c>
      <c r="G5" s="18"/>
      <c r="H5" s="18"/>
      <c r="I5" t="s">
        <v>733</v>
      </c>
      <c r="J5" s="5" t="e">
        <v>#N/A</v>
      </c>
      <c r="K5" s="18" t="s">
        <v>217</v>
      </c>
      <c r="L5" s="14" t="s">
        <v>694</v>
      </c>
      <c r="M5" s="18" t="s">
        <v>434</v>
      </c>
      <c r="P5" t="s">
        <v>265</v>
      </c>
      <c r="Q5" s="161">
        <f>'Step 1 - Set global parameters'!B11+AdjustmentPeriod</f>
        <v>2028</v>
      </c>
      <c r="S5" s="157" t="s">
        <v>732</v>
      </c>
      <c r="T5">
        <v>2027</v>
      </c>
      <c r="U5"/>
      <c r="V5"/>
    </row>
    <row r="6" spans="1:22" x14ac:dyDescent="0.4">
      <c r="A6" s="125">
        <v>2025</v>
      </c>
      <c r="B6" s="18"/>
      <c r="C6" s="18"/>
      <c r="D6" s="18"/>
      <c r="E6" s="18"/>
      <c r="F6" s="18"/>
      <c r="G6" s="18"/>
      <c r="H6" s="18"/>
      <c r="I6" s="5" t="e">
        <v>#N/A</v>
      </c>
      <c r="J6" s="5"/>
      <c r="K6" s="18" t="s">
        <v>218</v>
      </c>
      <c r="L6" s="14" t="s">
        <v>695</v>
      </c>
      <c r="M6" s="18" t="s">
        <v>435</v>
      </c>
      <c r="P6" t="s">
        <v>380</v>
      </c>
      <c r="Q6" s="162" t="e">
        <f>IF('Step 1 - Set global parameters'!B32,'Step 1 - Set global parameters'!B33+1,IF('Step 1 - Set global parameters'!B34,'Step 1 - Set global parameters'!B35+1,NA()))</f>
        <v>#N/A</v>
      </c>
      <c r="U6"/>
    </row>
    <row r="7" spans="1:22" x14ac:dyDescent="0.4">
      <c r="A7" s="125">
        <v>2026</v>
      </c>
      <c r="B7" s="18"/>
      <c r="C7" s="18"/>
      <c r="D7" s="18"/>
      <c r="E7" s="18"/>
      <c r="F7" s="18"/>
      <c r="G7" s="18"/>
      <c r="H7" s="18"/>
      <c r="I7" s="18"/>
      <c r="J7" s="18"/>
      <c r="K7" s="18" t="s">
        <v>219</v>
      </c>
      <c r="L7" s="14" t="s">
        <v>696</v>
      </c>
      <c r="M7" s="18" t="s">
        <v>407</v>
      </c>
      <c r="P7" t="s">
        <v>817</v>
      </c>
      <c r="Q7" s="162" t="b">
        <f>NOT(AND(Assessment!C213, Assessment!C217))</f>
        <v>0</v>
      </c>
    </row>
    <row r="8" spans="1:22" x14ac:dyDescent="0.4">
      <c r="A8" s="125">
        <v>2027</v>
      </c>
      <c r="B8" s="18"/>
      <c r="C8" s="18"/>
      <c r="D8" s="18"/>
      <c r="E8" s="18"/>
      <c r="F8" s="18"/>
      <c r="G8" s="18"/>
      <c r="H8" s="18"/>
      <c r="I8" s="18"/>
      <c r="J8" s="18"/>
      <c r="K8" s="18" t="s">
        <v>220</v>
      </c>
      <c r="L8" s="14" t="s">
        <v>697</v>
      </c>
      <c r="M8" s="18" t="s">
        <v>409</v>
      </c>
      <c r="P8" t="s">
        <v>690</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698</v>
      </c>
      <c r="M9" s="18" t="s">
        <v>438</v>
      </c>
      <c r="P9" t="s">
        <v>720</v>
      </c>
      <c r="Q9" s="162" t="str">
        <f>IF(Country="Select country","",INDEX(Validation!L3:L29,MATCH(Country,Validation!K3:K29,0)))</f>
        <v>LV</v>
      </c>
    </row>
    <row r="10" spans="1:22" x14ac:dyDescent="0.4">
      <c r="A10" s="125">
        <v>2029</v>
      </c>
      <c r="B10" s="18"/>
      <c r="C10" s="18"/>
      <c r="D10" s="18"/>
      <c r="E10" s="18"/>
      <c r="F10" s="18"/>
      <c r="G10" s="18"/>
      <c r="H10" s="18"/>
      <c r="I10" s="18"/>
      <c r="J10" s="18"/>
      <c r="K10" s="5" t="s">
        <v>222</v>
      </c>
      <c r="L10" s="14" t="s">
        <v>699</v>
      </c>
      <c r="M10" s="18" t="s">
        <v>436</v>
      </c>
      <c r="P10" t="s">
        <v>685</v>
      </c>
      <c r="Q10" s="166">
        <f>'Step 1 - Set global parameters'!B16</f>
        <v>45464</v>
      </c>
    </row>
    <row r="11" spans="1:22" x14ac:dyDescent="0.4">
      <c r="A11" s="125">
        <v>2030</v>
      </c>
      <c r="B11" s="18"/>
      <c r="C11" s="18"/>
      <c r="D11" s="18"/>
      <c r="E11" s="18"/>
      <c r="F11" s="18"/>
      <c r="G11" s="18"/>
      <c r="H11" s="18"/>
      <c r="I11" s="18"/>
      <c r="J11" s="18"/>
      <c r="K11" s="18" t="s">
        <v>223</v>
      </c>
      <c r="L11" s="14" t="s">
        <v>700</v>
      </c>
      <c r="M11" s="18" t="s">
        <v>440</v>
      </c>
      <c r="P11" t="s">
        <v>801</v>
      </c>
      <c r="Q11" s="160">
        <f>IF(MTP_BaseYearIsTminus2, MTP_YearT-2, MTP_YearT-1)</f>
        <v>2023</v>
      </c>
    </row>
    <row r="12" spans="1:22" x14ac:dyDescent="0.4">
      <c r="A12" s="125">
        <v>2031</v>
      </c>
      <c r="B12" s="18"/>
      <c r="C12" s="18"/>
      <c r="D12" s="18"/>
      <c r="E12" s="18"/>
      <c r="F12" s="18"/>
      <c r="G12" s="18"/>
      <c r="H12" s="18"/>
      <c r="I12" s="18"/>
      <c r="J12" s="18"/>
      <c r="K12" s="18" t="s">
        <v>224</v>
      </c>
      <c r="L12" s="14" t="s">
        <v>701</v>
      </c>
      <c r="M12" s="18" t="s">
        <v>445</v>
      </c>
      <c r="P12" s="159" t="s">
        <v>800</v>
      </c>
      <c r="Q12" s="266" t="b">
        <f>MTP_YearT-MTP_BaseYear=2</f>
        <v>0</v>
      </c>
    </row>
    <row r="13" spans="1:22" x14ac:dyDescent="0.4">
      <c r="A13" s="125">
        <v>2032</v>
      </c>
      <c r="B13" s="18"/>
      <c r="C13" s="18"/>
      <c r="D13" s="18"/>
      <c r="E13" s="18"/>
      <c r="F13" s="18"/>
      <c r="G13" s="18"/>
      <c r="H13" s="18"/>
      <c r="I13" s="18"/>
      <c r="J13" s="18"/>
      <c r="K13" s="18" t="s">
        <v>225</v>
      </c>
      <c r="L13" s="14" t="s">
        <v>702</v>
      </c>
      <c r="M13" s="18" t="s">
        <v>414</v>
      </c>
    </row>
    <row r="14" spans="1:22" x14ac:dyDescent="0.4">
      <c r="A14" s="125">
        <v>2033</v>
      </c>
      <c r="B14" s="18"/>
      <c r="C14" s="18"/>
      <c r="D14" s="18"/>
      <c r="E14" s="18"/>
      <c r="F14" s="18"/>
      <c r="G14" s="18"/>
      <c r="H14" s="18"/>
      <c r="I14" s="18"/>
      <c r="J14" s="18"/>
      <c r="K14" s="18" t="s">
        <v>226</v>
      </c>
      <c r="L14" s="14" t="s">
        <v>703</v>
      </c>
      <c r="M14" s="18" t="s">
        <v>416</v>
      </c>
    </row>
    <row r="15" spans="1:22" x14ac:dyDescent="0.4">
      <c r="A15" s="125">
        <v>2034</v>
      </c>
      <c r="B15" s="18"/>
      <c r="C15" s="18"/>
      <c r="D15" s="18"/>
      <c r="E15" s="18"/>
      <c r="F15" s="18"/>
      <c r="G15" s="18"/>
      <c r="H15" s="18"/>
      <c r="I15" s="18"/>
      <c r="J15" s="18"/>
      <c r="K15" s="18" t="s">
        <v>227</v>
      </c>
      <c r="L15" s="14" t="s">
        <v>704</v>
      </c>
      <c r="M15" s="18" t="s">
        <v>417</v>
      </c>
    </row>
    <row r="16" spans="1:22" x14ac:dyDescent="0.4">
      <c r="A16" s="125">
        <v>2035</v>
      </c>
      <c r="B16" s="18"/>
      <c r="C16" s="18"/>
      <c r="D16" s="18"/>
      <c r="E16" s="18"/>
      <c r="F16" s="18"/>
      <c r="G16" s="18"/>
      <c r="H16" s="18"/>
      <c r="I16" s="18"/>
      <c r="J16" s="18"/>
      <c r="K16" s="18" t="s">
        <v>228</v>
      </c>
      <c r="L16" s="14" t="s">
        <v>705</v>
      </c>
      <c r="M16" s="18" t="s">
        <v>410</v>
      </c>
    </row>
    <row r="17" spans="1:13" x14ac:dyDescent="0.4">
      <c r="A17" s="125">
        <v>2036</v>
      </c>
      <c r="B17" s="18"/>
      <c r="C17" s="18"/>
      <c r="D17" s="18"/>
      <c r="E17" s="18"/>
      <c r="F17" s="18"/>
      <c r="G17" s="18"/>
      <c r="H17" s="18"/>
      <c r="I17" s="18"/>
      <c r="J17" s="18"/>
      <c r="K17" s="18" t="s">
        <v>229</v>
      </c>
      <c r="L17" s="14" t="s">
        <v>706</v>
      </c>
      <c r="M17" s="18" t="s">
        <v>406</v>
      </c>
    </row>
    <row r="18" spans="1:13" x14ac:dyDescent="0.4">
      <c r="A18" s="125">
        <v>2037</v>
      </c>
      <c r="B18" s="18"/>
      <c r="C18" s="18"/>
      <c r="D18" s="18"/>
      <c r="E18" s="18"/>
      <c r="F18" s="18"/>
      <c r="G18" s="18"/>
      <c r="H18" s="18"/>
      <c r="I18" s="18"/>
      <c r="J18" s="18"/>
      <c r="K18" s="18" t="s">
        <v>230</v>
      </c>
      <c r="L18" s="14" t="s">
        <v>707</v>
      </c>
      <c r="M18" s="18" t="s">
        <v>418</v>
      </c>
    </row>
    <row r="19" spans="1:13" x14ac:dyDescent="0.4">
      <c r="A19" s="125">
        <v>2038</v>
      </c>
      <c r="B19" s="18"/>
      <c r="C19" s="18"/>
      <c r="D19" s="18"/>
      <c r="E19" s="18"/>
      <c r="F19" s="18"/>
      <c r="G19" s="18"/>
      <c r="H19" s="18"/>
      <c r="I19" s="18"/>
      <c r="J19" s="18"/>
      <c r="K19" s="18" t="s">
        <v>19</v>
      </c>
      <c r="L19" s="14" t="s">
        <v>708</v>
      </c>
      <c r="M19" s="18" t="s">
        <v>427</v>
      </c>
    </row>
    <row r="20" spans="1:13" x14ac:dyDescent="0.4">
      <c r="A20" s="125">
        <v>2039</v>
      </c>
      <c r="B20" s="18"/>
      <c r="C20" s="18"/>
      <c r="D20" s="18"/>
      <c r="E20" s="18"/>
      <c r="F20" s="18"/>
      <c r="G20" s="18"/>
      <c r="H20" s="18"/>
      <c r="I20" s="18"/>
      <c r="J20" s="18"/>
      <c r="K20" s="18" t="s">
        <v>231</v>
      </c>
      <c r="L20" s="14" t="s">
        <v>709</v>
      </c>
      <c r="M20" s="18" t="s">
        <v>433</v>
      </c>
    </row>
    <row r="21" spans="1:13" x14ac:dyDescent="0.4">
      <c r="A21" s="125">
        <v>2040</v>
      </c>
      <c r="B21" s="18"/>
      <c r="C21" s="18"/>
      <c r="D21" s="18"/>
      <c r="E21" s="18"/>
      <c r="F21" s="18"/>
      <c r="G21" s="18"/>
      <c r="H21" s="18"/>
      <c r="I21" s="18"/>
      <c r="J21" s="18"/>
      <c r="K21" s="18" t="s">
        <v>232</v>
      </c>
      <c r="L21" s="14" t="s">
        <v>710</v>
      </c>
      <c r="M21" s="18" t="s">
        <v>432</v>
      </c>
    </row>
    <row r="22" spans="1:13" x14ac:dyDescent="0.4">
      <c r="A22" s="125">
        <v>2041</v>
      </c>
      <c r="B22" s="18"/>
      <c r="C22" s="18"/>
      <c r="D22" s="18"/>
      <c r="E22" s="18"/>
      <c r="F22" s="18"/>
      <c r="G22" s="18"/>
      <c r="H22" s="18"/>
      <c r="I22" s="18"/>
      <c r="J22" s="18"/>
      <c r="K22" s="18" t="s">
        <v>233</v>
      </c>
      <c r="L22" s="14" t="s">
        <v>711</v>
      </c>
      <c r="M22" s="18" t="s">
        <v>446</v>
      </c>
    </row>
    <row r="23" spans="1:13" x14ac:dyDescent="0.4">
      <c r="A23" s="125">
        <v>2042</v>
      </c>
      <c r="B23" s="18"/>
      <c r="C23" s="18"/>
      <c r="D23" s="18"/>
      <c r="E23" s="18"/>
      <c r="F23" s="18"/>
      <c r="G23" s="18"/>
      <c r="H23" s="18"/>
      <c r="I23" s="18"/>
      <c r="J23" s="18"/>
      <c r="K23" s="18" t="s">
        <v>234</v>
      </c>
      <c r="L23" s="14" t="s">
        <v>712</v>
      </c>
      <c r="M23" s="18" t="s">
        <v>405</v>
      </c>
    </row>
    <row r="24" spans="1:13" x14ac:dyDescent="0.4">
      <c r="A24" s="125">
        <v>2043</v>
      </c>
      <c r="B24" s="18"/>
      <c r="C24" s="18"/>
      <c r="D24" s="18"/>
      <c r="E24" s="18"/>
      <c r="F24" s="18"/>
      <c r="G24" s="18"/>
      <c r="H24" s="18"/>
      <c r="I24" s="18"/>
      <c r="J24" s="18"/>
      <c r="K24" s="18" t="s">
        <v>235</v>
      </c>
      <c r="L24" s="14" t="s">
        <v>713</v>
      </c>
      <c r="M24" s="18" t="s">
        <v>330</v>
      </c>
    </row>
    <row r="25" spans="1:13" x14ac:dyDescent="0.4">
      <c r="A25" s="125">
        <v>2044</v>
      </c>
      <c r="B25" s="18"/>
      <c r="C25" s="18"/>
      <c r="D25" s="18"/>
      <c r="E25" s="18"/>
      <c r="F25" s="18"/>
      <c r="G25" s="18"/>
      <c r="H25" s="18"/>
      <c r="I25" s="18"/>
      <c r="J25" s="18"/>
      <c r="K25" s="18" t="s">
        <v>236</v>
      </c>
      <c r="L25" s="14" t="s">
        <v>714</v>
      </c>
      <c r="M25" s="18" t="s">
        <v>420</v>
      </c>
    </row>
    <row r="26" spans="1:13" x14ac:dyDescent="0.4">
      <c r="A26" s="125">
        <v>2045</v>
      </c>
      <c r="B26" s="18"/>
      <c r="C26" s="18"/>
      <c r="D26" s="18"/>
      <c r="E26" s="18"/>
      <c r="F26" s="18"/>
      <c r="G26" s="18"/>
      <c r="H26" s="18"/>
      <c r="I26" s="18"/>
      <c r="J26" s="18"/>
      <c r="K26" s="18" t="s">
        <v>237</v>
      </c>
      <c r="L26" s="14" t="s">
        <v>715</v>
      </c>
      <c r="M26" s="18" t="s">
        <v>422</v>
      </c>
    </row>
    <row r="27" spans="1:13" x14ac:dyDescent="0.4">
      <c r="A27" s="125">
        <v>2046</v>
      </c>
      <c r="B27" s="18"/>
      <c r="C27" s="18"/>
      <c r="D27" s="18"/>
      <c r="E27" s="18"/>
      <c r="F27" s="18"/>
      <c r="G27" s="18"/>
      <c r="H27" s="18"/>
      <c r="I27" s="18"/>
      <c r="J27" s="18"/>
      <c r="K27" s="18" t="s">
        <v>238</v>
      </c>
      <c r="L27" s="14" t="s">
        <v>716</v>
      </c>
      <c r="M27" s="18" t="s">
        <v>449</v>
      </c>
    </row>
    <row r="28" spans="1:13" x14ac:dyDescent="0.4">
      <c r="A28" s="125">
        <v>2047</v>
      </c>
      <c r="B28" s="18"/>
      <c r="C28" s="18"/>
      <c r="D28" s="18"/>
      <c r="E28" s="18"/>
      <c r="F28" s="18"/>
      <c r="G28" s="18"/>
      <c r="H28" s="18"/>
      <c r="I28" s="18"/>
      <c r="J28" s="18"/>
      <c r="K28" s="18" t="s">
        <v>239</v>
      </c>
      <c r="L28" s="14" t="s">
        <v>717</v>
      </c>
      <c r="M28" s="18" t="s">
        <v>429</v>
      </c>
    </row>
    <row r="29" spans="1:13" x14ac:dyDescent="0.4">
      <c r="A29" s="125">
        <v>2048</v>
      </c>
      <c r="B29" s="18"/>
      <c r="C29" s="18"/>
      <c r="D29" s="18"/>
      <c r="E29" s="18"/>
      <c r="F29" s="18"/>
      <c r="G29" s="18"/>
      <c r="H29" s="18"/>
      <c r="I29" s="18"/>
      <c r="J29" s="18"/>
      <c r="K29" s="18" t="s">
        <v>240</v>
      </c>
      <c r="L29" s="14" t="s">
        <v>718</v>
      </c>
      <c r="M29" s="18" t="s">
        <v>428</v>
      </c>
    </row>
    <row r="30" spans="1:13" x14ac:dyDescent="0.4">
      <c r="A30" s="125">
        <v>2049</v>
      </c>
      <c r="B30" s="18"/>
      <c r="C30" s="18"/>
      <c r="D30" s="18"/>
      <c r="E30" s="18"/>
      <c r="F30" s="18"/>
      <c r="G30" s="18"/>
      <c r="H30" s="18"/>
      <c r="I30" s="18"/>
      <c r="J30" s="18"/>
      <c r="K30" s="5" t="s">
        <v>241</v>
      </c>
      <c r="L30" s="5" t="s">
        <v>719</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5" t="s">
        <v>940</v>
      </c>
    </row>
    <row r="42" spans="1:13" x14ac:dyDescent="0.4">
      <c r="A42" s="18"/>
      <c r="B42" s="18"/>
      <c r="C42" s="18"/>
      <c r="D42" s="18"/>
      <c r="E42" s="18"/>
      <c r="F42" s="18"/>
      <c r="G42" s="18"/>
      <c r="H42" s="18"/>
      <c r="I42" s="18"/>
      <c r="J42" s="18"/>
      <c r="K42" s="5"/>
      <c r="L42" s="5"/>
      <c r="M42" s="18" t="s">
        <v>441</v>
      </c>
    </row>
    <row r="43" spans="1:13" x14ac:dyDescent="0.4">
      <c r="A43" s="18"/>
      <c r="B43" s="18"/>
      <c r="C43" s="18"/>
      <c r="D43" s="18"/>
      <c r="E43" s="18"/>
      <c r="F43" s="18"/>
      <c r="G43" s="18"/>
      <c r="H43" s="18"/>
      <c r="I43" s="18"/>
      <c r="J43" s="18"/>
      <c r="K43" s="18"/>
      <c r="L43" s="18"/>
      <c r="M43" s="18" t="s">
        <v>412</v>
      </c>
    </row>
    <row r="44" spans="1:13" x14ac:dyDescent="0.4">
      <c r="A44" s="18"/>
      <c r="B44" s="18"/>
      <c r="C44" s="18"/>
      <c r="D44" s="18"/>
      <c r="E44" s="18"/>
      <c r="F44" s="18"/>
      <c r="G44" s="18"/>
      <c r="H44" s="18"/>
      <c r="I44" s="18"/>
      <c r="J44" s="18"/>
      <c r="K44" s="18"/>
      <c r="L44" s="18"/>
      <c r="M44" s="18" t="s">
        <v>444</v>
      </c>
    </row>
    <row r="45" spans="1:13" x14ac:dyDescent="0.4">
      <c r="A45" s="18"/>
      <c r="B45" s="18"/>
      <c r="C45" s="18"/>
      <c r="D45" s="18"/>
      <c r="E45" s="18"/>
      <c r="F45" s="18"/>
      <c r="G45" s="18"/>
      <c r="H45" s="18"/>
      <c r="I45" s="18"/>
      <c r="J45" s="18"/>
      <c r="K45" s="18"/>
      <c r="L45" s="18"/>
      <c r="M45" s="18" t="s">
        <v>447</v>
      </c>
    </row>
    <row r="46" spans="1:13" x14ac:dyDescent="0.4">
      <c r="A46" s="18"/>
      <c r="B46" s="18"/>
      <c r="C46" s="18"/>
      <c r="D46" s="18"/>
      <c r="E46" s="18"/>
      <c r="F46" s="18"/>
      <c r="G46" s="18"/>
      <c r="H46" s="18"/>
      <c r="I46" s="18"/>
      <c r="J46" s="18"/>
      <c r="K46" s="18"/>
      <c r="L46" s="18"/>
      <c r="M46" s="18" t="s">
        <v>431</v>
      </c>
    </row>
    <row r="47" spans="1:13" x14ac:dyDescent="0.4">
      <c r="A47" s="18"/>
      <c r="B47" s="18"/>
      <c r="C47" s="18"/>
      <c r="D47" s="18"/>
      <c r="E47" s="18"/>
      <c r="F47" s="18"/>
      <c r="G47" s="18"/>
      <c r="H47" s="18"/>
      <c r="I47" s="18"/>
      <c r="J47" s="18"/>
      <c r="K47" s="18"/>
      <c r="L47" s="18"/>
      <c r="M47" s="18" t="s">
        <v>421</v>
      </c>
    </row>
    <row r="48" spans="1:13" x14ac:dyDescent="0.4">
      <c r="A48" s="18"/>
      <c r="B48" s="18"/>
      <c r="C48" s="18"/>
      <c r="D48" s="18"/>
      <c r="E48" s="18"/>
      <c r="F48" s="18"/>
      <c r="G48" s="18"/>
      <c r="H48" s="18"/>
      <c r="I48" s="18"/>
      <c r="J48" s="18"/>
      <c r="K48" s="18"/>
      <c r="L48" s="18"/>
      <c r="M48" s="5" t="s">
        <v>442</v>
      </c>
    </row>
    <row r="49" spans="1:13" x14ac:dyDescent="0.4">
      <c r="A49" s="18"/>
      <c r="B49" s="18"/>
      <c r="C49" s="18"/>
      <c r="D49" s="18"/>
      <c r="E49" s="18"/>
      <c r="F49" s="18"/>
      <c r="G49" s="18"/>
      <c r="H49" s="18"/>
      <c r="I49" s="18"/>
      <c r="J49" s="18"/>
      <c r="K49" s="18"/>
      <c r="L49" s="18"/>
      <c r="M49" s="18" t="s">
        <v>423</v>
      </c>
    </row>
    <row r="50" spans="1:13" x14ac:dyDescent="0.4">
      <c r="A50" s="18"/>
      <c r="B50" s="18"/>
      <c r="C50" s="18"/>
      <c r="D50" s="18"/>
      <c r="E50" s="18"/>
      <c r="F50" s="18"/>
      <c r="G50" s="18"/>
      <c r="H50" s="18"/>
      <c r="I50" s="18"/>
      <c r="J50" s="18"/>
      <c r="K50" s="18"/>
      <c r="L50" s="18"/>
      <c r="M50" s="5" t="s">
        <v>425</v>
      </c>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c r="J56" s="18"/>
      <c r="M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3" x14ac:dyDescent="0.4">
      <c r="A65"/>
      <c r="B65"/>
      <c r="C65"/>
      <c r="D65"/>
      <c r="E65"/>
      <c r="F65"/>
      <c r="G65"/>
      <c r="H65"/>
      <c r="I65"/>
      <c r="J65"/>
      <c r="K65"/>
    </row>
    <row r="66" spans="1:13" x14ac:dyDescent="0.4">
      <c r="A66"/>
      <c r="B66"/>
      <c r="C66"/>
      <c r="D66"/>
      <c r="E66"/>
      <c r="F66"/>
      <c r="G66"/>
      <c r="H66"/>
      <c r="I66"/>
      <c r="J66"/>
      <c r="K66"/>
    </row>
    <row r="67" spans="1:13" x14ac:dyDescent="0.4">
      <c r="A67"/>
      <c r="B67"/>
      <c r="C67"/>
      <c r="D67"/>
      <c r="E67"/>
      <c r="F67"/>
      <c r="G67"/>
      <c r="H67"/>
      <c r="I67"/>
      <c r="J67"/>
      <c r="K67"/>
    </row>
    <row r="68" spans="1:13" x14ac:dyDescent="0.4">
      <c r="A68"/>
      <c r="B68"/>
      <c r="C68"/>
      <c r="D68"/>
      <c r="E68"/>
      <c r="F68"/>
      <c r="G68"/>
      <c r="H68"/>
      <c r="I68"/>
      <c r="J68"/>
      <c r="K68"/>
    </row>
    <row r="69" spans="1:13" x14ac:dyDescent="0.4">
      <c r="A69"/>
      <c r="B69"/>
      <c r="C69"/>
      <c r="D69"/>
      <c r="E69"/>
      <c r="F69"/>
      <c r="G69"/>
      <c r="H69"/>
      <c r="I69"/>
      <c r="J69"/>
      <c r="K69"/>
    </row>
    <row r="70" spans="1:13" x14ac:dyDescent="0.4">
      <c r="A70"/>
      <c r="B70"/>
      <c r="C70"/>
      <c r="D70"/>
      <c r="E70"/>
      <c r="F70"/>
      <c r="G70"/>
      <c r="H70"/>
      <c r="I70"/>
      <c r="J70"/>
      <c r="K70"/>
    </row>
    <row r="71" spans="1:13" x14ac:dyDescent="0.4">
      <c r="A71"/>
      <c r="B71"/>
      <c r="C71"/>
      <c r="D71"/>
      <c r="E71"/>
      <c r="F71"/>
      <c r="G71"/>
      <c r="H71"/>
      <c r="I71"/>
      <c r="J71"/>
      <c r="K71"/>
    </row>
    <row r="72" spans="1:13" x14ac:dyDescent="0.4">
      <c r="A72"/>
      <c r="B72"/>
      <c r="C72"/>
      <c r="D72"/>
      <c r="E72"/>
      <c r="F72"/>
      <c r="G72"/>
      <c r="H72"/>
      <c r="I72"/>
      <c r="J72"/>
      <c r="K72"/>
    </row>
    <row r="73" spans="1:13" x14ac:dyDescent="0.4">
      <c r="A73"/>
      <c r="B73"/>
      <c r="C73"/>
      <c r="D73"/>
      <c r="E73"/>
      <c r="F73"/>
      <c r="G73"/>
      <c r="H73"/>
      <c r="I73"/>
      <c r="J73"/>
      <c r="K73"/>
    </row>
    <row r="74" spans="1:13" customFormat="1" ht="13.5" customHeight="1" x14ac:dyDescent="0.4">
      <c r="A74" s="14"/>
      <c r="B74" s="14"/>
      <c r="K74" s="38"/>
      <c r="M74" s="14"/>
    </row>
    <row r="75" spans="1:13" x14ac:dyDescent="0.4">
      <c r="A75"/>
      <c r="B75"/>
      <c r="C75"/>
      <c r="D75"/>
      <c r="E75"/>
      <c r="F75"/>
      <c r="G75"/>
      <c r="H75"/>
      <c r="I75"/>
      <c r="J75"/>
      <c r="K75"/>
      <c r="M75"/>
    </row>
    <row r="76" spans="1:13" x14ac:dyDescent="0.4">
      <c r="A76"/>
      <c r="B76"/>
      <c r="J76"/>
    </row>
  </sheetData>
  <sortState xmlns:xlrd2="http://schemas.microsoft.com/office/spreadsheetml/2017/richdata2" ref="M3:M49">
    <sortCondition ref="M3:M49"/>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990</v>
      </c>
      <c r="C9" s="4"/>
    </row>
    <row r="10" spans="2:3" x14ac:dyDescent="0.4">
      <c r="C10" s="4"/>
    </row>
    <row r="11" spans="2:3" x14ac:dyDescent="0.4">
      <c r="B11" t="s">
        <v>556</v>
      </c>
    </row>
    <row r="12" spans="2:3" x14ac:dyDescent="0.4">
      <c r="B12" t="s">
        <v>557</v>
      </c>
    </row>
    <row r="13" spans="2:3" x14ac:dyDescent="0.4">
      <c r="B13" t="s">
        <v>577</v>
      </c>
    </row>
    <row r="14" spans="2:3" x14ac:dyDescent="0.4">
      <c r="B14" t="s">
        <v>813</v>
      </c>
    </row>
    <row r="15" spans="2:3" x14ac:dyDescent="0.4">
      <c r="B15" t="s">
        <v>814</v>
      </c>
    </row>
    <row r="16" spans="2:3" x14ac:dyDescent="0.4">
      <c r="B16" t="s">
        <v>558</v>
      </c>
    </row>
    <row r="18" spans="2:2" x14ac:dyDescent="0.4">
      <c r="B18" t="s">
        <v>559</v>
      </c>
    </row>
    <row r="19" spans="2:2" x14ac:dyDescent="0.4">
      <c r="B19" t="s">
        <v>560</v>
      </c>
    </row>
    <row r="20" spans="2:2" x14ac:dyDescent="0.4">
      <c r="B20" t="s">
        <v>561</v>
      </c>
    </row>
    <row r="22" spans="2:2" x14ac:dyDescent="0.4">
      <c r="B22" t="s">
        <v>938</v>
      </c>
    </row>
    <row r="23" spans="2:2" x14ac:dyDescent="0.4">
      <c r="B23" t="s">
        <v>576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Other_exempt_spending_flag</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2026-09-25T07:53:38Z</dcterms:modified>
</cp:coreProperties>
</file>